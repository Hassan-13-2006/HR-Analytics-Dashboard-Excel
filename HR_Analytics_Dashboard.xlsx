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a8dc19c59d609/Desktop/PROJECTS/DATA ANALYTICS PROJECTS/Project2 HR ANALYTICS DASHBOARD/"/>
    </mc:Choice>
  </mc:AlternateContent>
  <xr:revisionPtr revIDLastSave="15" documentId="8_{19332CB8-F802-4127-88A1-FA38466FC394}" xr6:coauthVersionLast="47" xr6:coauthVersionMax="47" xr10:uidLastSave="{7FBD80ED-4D9A-4462-8619-A2843519A210}"/>
  <bookViews>
    <workbookView xWindow="-96" yWindow="0" windowWidth="1992" windowHeight="12336" xr2:uid="{DD8DFF5C-2235-41FA-9688-746484455612}"/>
  </bookViews>
  <sheets>
    <sheet name="Dashboard" sheetId="4" r:id="rId1"/>
    <sheet name="Pivot Tables" sheetId="3" r:id="rId2"/>
    <sheet name="HR Data" sheetId="1" r:id="rId3"/>
    <sheet name="AnalysisHR Analytics" sheetId="2" r:id="rId4"/>
  </sheets>
  <calcPr calcId="191029"/>
  <pivotCaches>
    <pivotCache cacheId="18" r:id="rId5"/>
    <pivotCache cacheId="2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8" i="2"/>
  <c r="M7" i="4" s="1"/>
  <c r="K7" i="4"/>
  <c r="H7" i="4"/>
  <c r="E7" i="4"/>
  <c r="B7" i="4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B9" i="2"/>
  <c r="B7" i="2"/>
  <c r="B5" i="2"/>
  <c r="B6" i="2" s="1"/>
  <c r="B4" i="2"/>
</calcChain>
</file>

<file path=xl/sharedStrings.xml><?xml version="1.0" encoding="utf-8"?>
<sst xmlns="http://schemas.openxmlformats.org/spreadsheetml/2006/main" count="22263" uniqueCount="90">
  <si>
    <t>employee_number</t>
  </si>
  <si>
    <t>age</t>
  </si>
  <si>
    <t>attrition</t>
  </si>
  <si>
    <t>business_travel</t>
  </si>
  <si>
    <t>department</t>
  </si>
  <si>
    <t>distance_from_home</t>
  </si>
  <si>
    <t>education</t>
  </si>
  <si>
    <t>education_field</t>
  </si>
  <si>
    <t>environment_satisfaction</t>
  </si>
  <si>
    <t>gender</t>
  </si>
  <si>
    <t>job_involvement</t>
  </si>
  <si>
    <t>job_role</t>
  </si>
  <si>
    <t>job_satisfaction</t>
  </si>
  <si>
    <t>marital_status</t>
  </si>
  <si>
    <t>monthly_income</t>
  </si>
  <si>
    <t>num_companies_worked</t>
  </si>
  <si>
    <t>over_time</t>
  </si>
  <si>
    <t>percent_salary_hike</t>
  </si>
  <si>
    <t>performance_rating</t>
  </si>
  <si>
    <t>relationship_satisfaction</t>
  </si>
  <si>
    <t>training_times_last_year</t>
  </si>
  <si>
    <t>work_life_balance</t>
  </si>
  <si>
    <t>Yes</t>
  </si>
  <si>
    <t>Travel_Rarely</t>
  </si>
  <si>
    <t>Sales</t>
  </si>
  <si>
    <t>Some college</t>
  </si>
  <si>
    <t>Life Sciences</t>
  </si>
  <si>
    <t>Medium</t>
  </si>
  <si>
    <t>Female</t>
  </si>
  <si>
    <t>High</t>
  </si>
  <si>
    <t>Sales Executive</t>
  </si>
  <si>
    <t>Very high</t>
  </si>
  <si>
    <t>Single</t>
  </si>
  <si>
    <t>Excellent</t>
  </si>
  <si>
    <t>Low</t>
  </si>
  <si>
    <t>Bad</t>
  </si>
  <si>
    <t>No</t>
  </si>
  <si>
    <t>Travel_Frequently</t>
  </si>
  <si>
    <t>Research &amp; Development</t>
  </si>
  <si>
    <t>No college</t>
  </si>
  <si>
    <t>Male</t>
  </si>
  <si>
    <t>Research Scientist</t>
  </si>
  <si>
    <t>Married</t>
  </si>
  <si>
    <t>Outstanding</t>
  </si>
  <si>
    <t>Better</t>
  </si>
  <si>
    <t>Other</t>
  </si>
  <si>
    <t>Laboratory Technician</t>
  </si>
  <si>
    <t>Masters</t>
  </si>
  <si>
    <t>Medical</t>
  </si>
  <si>
    <t>Good</t>
  </si>
  <si>
    <t>Bachelors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</si>
  <si>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</si>
  <si>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</si>
  <si>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</si>
  <si>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</si>
  <si>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</si>
  <si>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</si>
  <si>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</si>
  <si>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</si>
  <si>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Best</t>
  </si>
  <si>
    <t>Technical Degree</t>
  </si>
  <si>
    <t>Doctorate</t>
  </si>
  <si>
    <t>Human Resources</t>
  </si>
  <si>
    <t>HR Analytics-Key Performance Indicators</t>
  </si>
  <si>
    <t>KPI</t>
  </si>
  <si>
    <t>Value</t>
  </si>
  <si>
    <t>Total Employees</t>
  </si>
  <si>
    <t>Employees Left</t>
  </si>
  <si>
    <t>Attrition Rate</t>
  </si>
  <si>
    <t>Average Age</t>
  </si>
  <si>
    <t>Average Monthly Income</t>
  </si>
  <si>
    <t>Average Companies Worked</t>
  </si>
  <si>
    <t>Row Labels</t>
  </si>
  <si>
    <t>Grand Total</t>
  </si>
  <si>
    <t>Count of attrition</t>
  </si>
  <si>
    <t>Column Labels</t>
  </si>
  <si>
    <t>Age_Group</t>
  </si>
  <si>
    <t>25-34</t>
  </si>
  <si>
    <t>35-44</t>
  </si>
  <si>
    <t>45-54</t>
  </si>
  <si>
    <t>55+</t>
  </si>
  <si>
    <t>Under 25</t>
  </si>
  <si>
    <t>Income_Group</t>
  </si>
  <si>
    <t>3,000-4,999</t>
  </si>
  <si>
    <t>5,000-7,999</t>
  </si>
  <si>
    <t>8,000+</t>
  </si>
  <si>
    <t>Below 3,000</t>
  </si>
  <si>
    <t>HR ANALYTICS DASHBOARD</t>
  </si>
  <si>
    <t>Employee Attrition &amp; Workforce Analysis</t>
  </si>
  <si>
    <t>Average Companies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</si>
</sst>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24"/>
      <color theme="3" tint="9.9978637043366805E-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0" fillId="35" borderId="20" xfId="0" applyFont="1" applyFill="1" applyBorder="1" applyAlignment="1">
      <alignment horizontal="center"/>
    </xf>
    <xf numFmtId="0" fontId="20" fillId="35" borderId="21" xfId="0" applyFont="1" applyFill="1" applyBorder="1" applyAlignment="1">
      <alignment horizontal="center"/>
    </xf>
    <xf numFmtId="0" fontId="20" fillId="35" borderId="22" xfId="0" applyFont="1" applyFill="1" applyBorder="1" applyAlignment="1">
      <alignment horizontal="center"/>
    </xf>
    <xf numFmtId="0" fontId="20" fillId="35" borderId="26" xfId="0" applyFont="1" applyFill="1" applyBorder="1" applyAlignment="1">
      <alignment horizontal="center"/>
    </xf>
    <xf numFmtId="0" fontId="20" fillId="35" borderId="0" xfId="0" applyFont="1" applyFill="1" applyBorder="1" applyAlignment="1">
      <alignment horizontal="center"/>
    </xf>
    <xf numFmtId="0" fontId="20" fillId="35" borderId="27" xfId="0" applyFont="1" applyFill="1" applyBorder="1" applyAlignment="1">
      <alignment horizontal="center"/>
    </xf>
    <xf numFmtId="0" fontId="20" fillId="35" borderId="23" xfId="0" applyFont="1" applyFill="1" applyBorder="1" applyAlignment="1">
      <alignment horizontal="center"/>
    </xf>
    <xf numFmtId="0" fontId="20" fillId="35" borderId="24" xfId="0" applyFont="1" applyFill="1" applyBorder="1" applyAlignment="1">
      <alignment horizontal="center"/>
    </xf>
    <xf numFmtId="0" fontId="20" fillId="35" borderId="25" xfId="0" applyFont="1" applyFill="1" applyBorder="1" applyAlignment="1">
      <alignment horizontal="center"/>
    </xf>
    <xf numFmtId="9" fontId="20" fillId="35" borderId="20" xfId="1" applyFont="1" applyFill="1" applyBorder="1" applyAlignment="1">
      <alignment horizontal="center"/>
    </xf>
    <xf numFmtId="9" fontId="20" fillId="35" borderId="21" xfId="1" applyFont="1" applyFill="1" applyBorder="1" applyAlignment="1">
      <alignment horizontal="center"/>
    </xf>
    <xf numFmtId="9" fontId="20" fillId="35" borderId="22" xfId="1" applyFont="1" applyFill="1" applyBorder="1" applyAlignment="1">
      <alignment horizontal="center"/>
    </xf>
    <xf numFmtId="9" fontId="20" fillId="35" borderId="26" xfId="1" applyFont="1" applyFill="1" applyBorder="1" applyAlignment="1">
      <alignment horizontal="center"/>
    </xf>
    <xf numFmtId="9" fontId="20" fillId="35" borderId="0" xfId="1" applyFont="1" applyFill="1" applyBorder="1" applyAlignment="1">
      <alignment horizontal="center"/>
    </xf>
    <xf numFmtId="9" fontId="20" fillId="35" borderId="27" xfId="1" applyFont="1" applyFill="1" applyBorder="1" applyAlignment="1">
      <alignment horizontal="center"/>
    </xf>
    <xf numFmtId="9" fontId="20" fillId="35" borderId="23" xfId="1" applyFont="1" applyFill="1" applyBorder="1" applyAlignment="1">
      <alignment horizontal="center"/>
    </xf>
    <xf numFmtId="9" fontId="20" fillId="35" borderId="24" xfId="1" applyFont="1" applyFill="1" applyBorder="1" applyAlignment="1">
      <alignment horizontal="center"/>
    </xf>
    <xf numFmtId="9" fontId="20" fillId="35" borderId="25" xfId="1" applyFont="1" applyFill="1" applyBorder="1" applyAlignment="1">
      <alignment horizontal="center"/>
    </xf>
    <xf numFmtId="165" fontId="20" fillId="35" borderId="20" xfId="0" applyNumberFormat="1" applyFont="1" applyFill="1" applyBorder="1" applyAlignment="1">
      <alignment horizontal="center"/>
    </xf>
    <xf numFmtId="165" fontId="20" fillId="35" borderId="22" xfId="0" applyNumberFormat="1" applyFont="1" applyFill="1" applyBorder="1" applyAlignment="1">
      <alignment horizontal="center"/>
    </xf>
    <xf numFmtId="165" fontId="20" fillId="35" borderId="26" xfId="0" applyNumberFormat="1" applyFont="1" applyFill="1" applyBorder="1" applyAlignment="1">
      <alignment horizontal="center"/>
    </xf>
    <xf numFmtId="165" fontId="20" fillId="35" borderId="27" xfId="0" applyNumberFormat="1" applyFont="1" applyFill="1" applyBorder="1" applyAlignment="1">
      <alignment horizontal="center"/>
    </xf>
    <xf numFmtId="165" fontId="20" fillId="35" borderId="23" xfId="0" applyNumberFormat="1" applyFont="1" applyFill="1" applyBorder="1" applyAlignment="1">
      <alignment horizontal="center"/>
    </xf>
    <xf numFmtId="165" fontId="20" fillId="35" borderId="25" xfId="0" applyNumberFormat="1" applyFont="1" applyFill="1" applyBorder="1" applyAlignment="1">
      <alignment horizontal="center"/>
    </xf>
    <xf numFmtId="2" fontId="20" fillId="35" borderId="20" xfId="0" applyNumberFormat="1" applyFont="1" applyFill="1" applyBorder="1" applyAlignment="1">
      <alignment horizontal="center"/>
    </xf>
    <xf numFmtId="2" fontId="20" fillId="35" borderId="22" xfId="0" applyNumberFormat="1" applyFont="1" applyFill="1" applyBorder="1" applyAlignment="1">
      <alignment horizontal="center"/>
    </xf>
    <xf numFmtId="2" fontId="20" fillId="35" borderId="26" xfId="0" applyNumberFormat="1" applyFont="1" applyFill="1" applyBorder="1" applyAlignment="1">
      <alignment horizontal="center"/>
    </xf>
    <xf numFmtId="2" fontId="20" fillId="35" borderId="27" xfId="0" applyNumberFormat="1" applyFont="1" applyFill="1" applyBorder="1" applyAlignment="1">
      <alignment horizontal="center"/>
    </xf>
    <xf numFmtId="2" fontId="20" fillId="35" borderId="23" xfId="0" applyNumberFormat="1" applyFont="1" applyFill="1" applyBorder="1" applyAlignment="1">
      <alignment horizontal="center"/>
    </xf>
    <xf numFmtId="2" fontId="20" fillId="35" borderId="25" xfId="0" applyNumberFormat="1" applyFont="1" applyFill="1" applyBorder="1" applyAlignment="1">
      <alignment horizontal="center"/>
    </xf>
    <xf numFmtId="2" fontId="20" fillId="35" borderId="21" xfId="0" applyNumberFormat="1" applyFont="1" applyFill="1" applyBorder="1" applyAlignment="1">
      <alignment horizontal="center"/>
    </xf>
    <xf numFmtId="2" fontId="20" fillId="35" borderId="0" xfId="0" applyNumberFormat="1" applyFont="1" applyFill="1" applyBorder="1" applyAlignment="1">
      <alignment horizontal="center"/>
    </xf>
    <xf numFmtId="2" fontId="20" fillId="35" borderId="24" xfId="0" applyNumberFormat="1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Department</a:t>
            </a:r>
          </a:p>
        </c:rich>
      </c:tx>
      <c:overlay val="0"/>
      <c:spPr>
        <a:noFill/>
        <a:ln>
          <a:solidFill>
            <a:schemeClr val="tx2">
              <a:lumMod val="75000"/>
              <a:lumOff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Tables'!$F$5:$F$7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Tables'!$G$5:$G$7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B-4806-AEE5-05970C02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116703"/>
        <c:axId val="264688527"/>
      </c:barChart>
      <c:catAx>
        <c:axId val="7641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88527"/>
        <c:crosses val="autoZero"/>
        <c:auto val="1"/>
        <c:lblAlgn val="ctr"/>
        <c:lblOffset val="100"/>
        <c:noMultiLvlLbl val="0"/>
      </c:catAx>
      <c:valAx>
        <c:axId val="26468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1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Tables'!$F$12:$F$20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Tables'!$G$12:$G$20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5-45EC-8237-E51724D5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60751"/>
        <c:axId val="264633807"/>
      </c:barChart>
      <c:catAx>
        <c:axId val="6725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33807"/>
        <c:crosses val="autoZero"/>
        <c:auto val="1"/>
        <c:lblAlgn val="ctr"/>
        <c:lblOffset val="100"/>
        <c:noMultiLvlLbl val="0"/>
      </c:catAx>
      <c:valAx>
        <c:axId val="2646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Tables'!$F$24:$F$25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Tables'!$G$24:$G$25</c:f>
              <c:numCache>
                <c:formatCode>0.00%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A-4A35-A806-D20B591B3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834111"/>
        <c:axId val="264721167"/>
      </c:barChart>
      <c:catAx>
        <c:axId val="8168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21167"/>
        <c:crosses val="autoZero"/>
        <c:auto val="1"/>
        <c:lblAlgn val="ctr"/>
        <c:lblOffset val="100"/>
        <c:noMultiLvlLbl val="0"/>
      </c:catAx>
      <c:valAx>
        <c:axId val="2647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3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Overtime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Tables'!$F$31:$F$32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Tables'!$G$31:$G$32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9-4943-994C-675CB143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803951"/>
        <c:axId val="264749967"/>
      </c:barChart>
      <c:catAx>
        <c:axId val="8168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49967"/>
        <c:crosses val="autoZero"/>
        <c:auto val="1"/>
        <c:lblAlgn val="ctr"/>
        <c:lblOffset val="100"/>
        <c:noMultiLvlLbl val="0"/>
      </c:catAx>
      <c:valAx>
        <c:axId val="2647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0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Tables'!$G$35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Tables'!$F$36:$F$39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Tables'!$G$36:$G$39</c:f>
              <c:numCache>
                <c:formatCode>0.00%</c:formatCode>
                <c:ptCount val="4"/>
                <c:pt idx="0">
                  <c:v>0.16515837104072398</c:v>
                </c:pt>
                <c:pt idx="1">
                  <c:v>0.22837370242214533</c:v>
                </c:pt>
                <c:pt idx="2">
                  <c:v>0.16428571428571428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8-4C96-898A-CE472427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368703"/>
        <c:axId val="264686607"/>
      </c:barChart>
      <c:catAx>
        <c:axId val="59736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86607"/>
        <c:crosses val="autoZero"/>
        <c:auto val="1"/>
        <c:lblAlgn val="ctr"/>
        <c:lblOffset val="100"/>
        <c:noMultiLvlLbl val="0"/>
      </c:catAx>
      <c:valAx>
        <c:axId val="2646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6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Tables'!$F$44:$F$48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'Pivot Tables'!$G$44:$G$48</c:f>
              <c:numCache>
                <c:formatCode>0.00%</c:formatCode>
                <c:ptCount val="5"/>
                <c:pt idx="0">
                  <c:v>0.20216606498194944</c:v>
                </c:pt>
                <c:pt idx="1">
                  <c:v>0.100990099009901</c:v>
                </c:pt>
                <c:pt idx="2">
                  <c:v>0.10204081632653061</c:v>
                </c:pt>
                <c:pt idx="3">
                  <c:v>0.15942028985507245</c:v>
                </c:pt>
                <c:pt idx="4">
                  <c:v>0.39175257731958762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0A1-A14B-FC5186C47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63999"/>
        <c:axId val="264676047"/>
      </c:barChart>
      <c:catAx>
        <c:axId val="67256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76047"/>
        <c:crosses val="autoZero"/>
        <c:auto val="1"/>
        <c:lblAlgn val="ctr"/>
        <c:lblOffset val="100"/>
        <c:noMultiLvlLbl val="0"/>
      </c:catAx>
      <c:valAx>
        <c:axId val="2646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6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Tables'!$G$52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Tables'!$F$53:$F$55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Tables'!$G$53:$G$55</c:f>
              <c:numCache>
                <c:formatCode>0.00%</c:formatCode>
                <c:ptCount val="3"/>
                <c:pt idx="0">
                  <c:v>0.08</c:v>
                </c:pt>
                <c:pt idx="1">
                  <c:v>0.24909747292418771</c:v>
                </c:pt>
                <c:pt idx="2">
                  <c:v>0.14956855225311602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9-458E-9984-481788F23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6819727"/>
        <c:axId val="264713967"/>
      </c:barChart>
      <c:catAx>
        <c:axId val="81681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13967"/>
        <c:crosses val="autoZero"/>
        <c:auto val="1"/>
        <c:lblAlgn val="ctr"/>
        <c:lblOffset val="100"/>
        <c:noMultiLvlLbl val="0"/>
      </c:catAx>
      <c:valAx>
        <c:axId val="26471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1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Work-Life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Tables'!$F$60:$F$63</c:f>
              <c:strCache>
                <c:ptCount val="4"/>
                <c:pt idx="0">
                  <c:v>Bad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'Pivot Tables'!$G$60:$G$63</c:f>
              <c:numCache>
                <c:formatCode>0.00%</c:formatCode>
                <c:ptCount val="4"/>
                <c:pt idx="0">
                  <c:v>0.3125</c:v>
                </c:pt>
                <c:pt idx="1">
                  <c:v>0.17647058823529413</c:v>
                </c:pt>
                <c:pt idx="2">
                  <c:v>0.14221724524076149</c:v>
                </c:pt>
                <c:pt idx="3">
                  <c:v>0.16860465116279069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8-4D33-9DA6-1253034F9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849471"/>
        <c:axId val="264658287"/>
      </c:barChart>
      <c:catAx>
        <c:axId val="82584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58287"/>
        <c:crosses val="autoZero"/>
        <c:auto val="1"/>
        <c:lblAlgn val="ctr"/>
        <c:lblOffset val="100"/>
        <c:noMultiLvlLbl val="0"/>
      </c:catAx>
      <c:valAx>
        <c:axId val="2646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Tables'!$O$5:$O$9</c:f>
              <c:strCache>
                <c:ptCount val="5"/>
                <c:pt idx="0">
                  <c:v>Bachelors</c:v>
                </c:pt>
                <c:pt idx="1">
                  <c:v>Doctorate</c:v>
                </c:pt>
                <c:pt idx="2">
                  <c:v>Masters</c:v>
                </c:pt>
                <c:pt idx="3">
                  <c:v>No college</c:v>
                </c:pt>
                <c:pt idx="4">
                  <c:v>Some college</c:v>
                </c:pt>
              </c:strCache>
            </c:strRef>
          </c:cat>
          <c:val>
            <c:numRef>
              <c:f>'Pivot Tables'!$P$5:$P$9</c:f>
              <c:numCache>
                <c:formatCode>0.00%</c:formatCode>
                <c:ptCount val="5"/>
                <c:pt idx="0">
                  <c:v>0.17307692307692307</c:v>
                </c:pt>
                <c:pt idx="1">
                  <c:v>0.10416666666666667</c:v>
                </c:pt>
                <c:pt idx="2">
                  <c:v>0.14572864321608039</c:v>
                </c:pt>
                <c:pt idx="3">
                  <c:v>0.18235294117647058</c:v>
                </c:pt>
                <c:pt idx="4">
                  <c:v>0.15602836879432624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DCD-B332-014C1D31C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54255"/>
        <c:axId val="264677967"/>
      </c:barChart>
      <c:catAx>
        <c:axId val="6725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77967"/>
        <c:crosses val="autoZero"/>
        <c:auto val="1"/>
        <c:lblAlgn val="ctr"/>
        <c:lblOffset val="100"/>
        <c:noMultiLvlLbl val="0"/>
      </c:catAx>
      <c:valAx>
        <c:axId val="2646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5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Monthly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Tables'!$G$67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Tables'!$F$68:$F$71</c:f>
              <c:strCache>
                <c:ptCount val="4"/>
                <c:pt idx="0">
                  <c:v>3,000-4,999</c:v>
                </c:pt>
                <c:pt idx="1">
                  <c:v>5,000-7,999</c:v>
                </c:pt>
                <c:pt idx="2">
                  <c:v>8,000+</c:v>
                </c:pt>
                <c:pt idx="3">
                  <c:v>Below 3,000</c:v>
                </c:pt>
              </c:strCache>
            </c:strRef>
          </c:cat>
          <c:val>
            <c:numRef>
              <c:f>'Pivot Tables'!$G$68:$G$71</c:f>
              <c:numCache>
                <c:formatCode>0.00%</c:formatCode>
                <c:ptCount val="4"/>
                <c:pt idx="0">
                  <c:v>0.14124293785310735</c:v>
                </c:pt>
                <c:pt idx="1">
                  <c:v>0.1</c:v>
                </c:pt>
                <c:pt idx="2">
                  <c:v>0.10498687664041995</c:v>
                </c:pt>
                <c:pt idx="3">
                  <c:v>0.28607594936708863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2-413E-8EC2-6C762D5E9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818431"/>
        <c:axId val="264712047"/>
      </c:barChart>
      <c:catAx>
        <c:axId val="82081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12047"/>
        <c:crosses val="autoZero"/>
        <c:auto val="1"/>
        <c:lblAlgn val="ctr"/>
        <c:lblOffset val="100"/>
        <c:noMultiLvlLbl val="0"/>
      </c:catAx>
      <c:valAx>
        <c:axId val="26471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1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585107</xdr:colOff>
      <xdr:row>15</xdr:row>
      <xdr:rowOff>0</xdr:rowOff>
    </xdr:from>
    <xdr:to>
      <xdr:col>7</xdr:col>
      <xdr:colOff>244928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B156A-AD8C-44A9-9F53-12975E90D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346582</xdr:colOff>
      <xdr:row>14</xdr:row>
      <xdr:rowOff>179294</xdr:rowOff>
    </xdr:from>
    <xdr:to>
      <xdr:col>14</xdr:col>
      <xdr:colOff>25614</xdr:colOff>
      <xdr:row>29</xdr:row>
      <xdr:rowOff>139371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285C7F-6AC3-4C83-B4F9-9E26A8061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300958</xdr:colOff>
      <xdr:row>45</xdr:row>
      <xdr:rowOff>143435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32B54-9F16-4EE5-B803-BE67B73CC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406400</xdr:colOff>
      <xdr:row>31</xdr:row>
      <xdr:rowOff>0</xdr:rowOff>
    </xdr:from>
    <xdr:to>
      <xdr:col>14</xdr:col>
      <xdr:colOff>76200</xdr:colOff>
      <xdr:row>45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20FA08-6482-4AF7-A360-EF87BDC38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7</xdr:col>
      <xdr:colOff>333375</xdr:colOff>
      <xdr:row>61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C0DC3B-3F5C-43A1-9755-797B22988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446690</xdr:colOff>
      <xdr:row>47</xdr:row>
      <xdr:rowOff>0</xdr:rowOff>
    </xdr:from>
    <xdr:to>
      <xdr:col>14</xdr:col>
      <xdr:colOff>105103</xdr:colOff>
      <xdr:row>61</xdr:row>
      <xdr:rowOff>105104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857F6C-A6ED-401E-846B-F581C977D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7</xdr:col>
      <xdr:colOff>350345</xdr:colOff>
      <xdr:row>76</xdr:row>
      <xdr:rowOff>168165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127736-BB4F-45D0-99A7-B28F61105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487874</xdr:colOff>
      <xdr:row>77</xdr:row>
      <xdr:rowOff>129701</xdr:rowOff>
    </xdr:from>
    <xdr:to>
      <xdr:col>7</xdr:col>
      <xdr:colOff>392087</xdr:colOff>
      <xdr:row>92</xdr:row>
      <xdr:rowOff>119526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0299AA-4C58-4274-A7A7-35D26A3A4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472966</xdr:colOff>
      <xdr:row>78</xdr:row>
      <xdr:rowOff>0</xdr:rowOff>
    </xdr:from>
    <xdr:to>
      <xdr:col>14</xdr:col>
      <xdr:colOff>148896</xdr:colOff>
      <xdr:row>92</xdr:row>
      <xdr:rowOff>168166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4CD938-8156-4795-BEF9-76ABA6F8B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62</xdr:row>
      <xdr:rowOff>0</xdr:rowOff>
    </xdr:from>
    <xdr:to>
      <xdr:col>14</xdr:col>
      <xdr:colOff>174614</xdr:colOff>
      <xdr:row>76</xdr:row>
      <xdr:rowOff>168166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B964AE-7E0C-45F1-9D05-E6DFB3554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US" refreshedDate="46306.794356018516" createdVersion="8" refreshedVersion="8" minRefreshableVersion="3" recordCount="1470" xr:uid="{4D0064F3-0116-4ECB-966A-376D119D7D0E}">
  <cacheSource type="worksheet">
    <worksheetSource name="HR_Data"/>
  </cacheSource>
  <cacheFields count="24">
    <cacheField name="employee_number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_travel" numFmtId="0">
      <sharedItems count="3">
        <s v="Travel_Rarely"/>
        <s v="Travel_Frequently"/>
        <s v="Non-Travel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 count="5">
        <s v="Some college"/>
        <s v="No college"/>
        <s v="Masters"/>
        <s v="Bachelors"/>
        <s v="Doctorate"/>
      </sharedItems>
    </cacheField>
    <cacheField name="education_field" numFmtId="0">
      <sharedItems/>
    </cacheField>
    <cacheField name="environment_satisfaction" numFmtId="0">
      <sharedItems/>
    </cacheField>
    <cacheField name="gender" numFmtId="0">
      <sharedItems count="2">
        <s v="Female"/>
        <s v="Male"/>
      </sharedItems>
    </cacheField>
    <cacheField name="job_involvement" numFmtId="0">
      <sharedItems/>
    </cacheField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_satisfaction" numFmtId="0">
      <sharedItems count="4">
        <s v="Very high"/>
        <s v="Medium"/>
        <s v="High"/>
        <s v="Low"/>
      </sharedItems>
    </cacheField>
    <cacheField name="marital_status" numFmtId="0">
      <sharedItems/>
    </cacheField>
    <cacheField name="monthly_income" numFmtId="0">
      <sharedItems containsSemiMixedTypes="0" containsString="0" containsNumber="1" containsInteger="1" minValue="1009" maxValue="19999"/>
    </cacheField>
    <cacheField name="num_companies_worked" numFmtId="0">
      <sharedItems containsSemiMixedTypes="0" containsString="0" containsNumber="1" containsInteger="1" minValue="0" maxValue="9"/>
    </cacheField>
    <cacheField name="over_time" numFmtId="0">
      <sharedItems count="2">
        <s v="Yes"/>
        <s v="No"/>
      </sharedItems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/>
    </cacheField>
    <cacheField name="relationship_satisfaction" numFmtId="0">
      <sharedItems/>
    </cacheField>
    <cacheField name="training_times_last_year" numFmtId="0">
      <sharedItems containsSemiMixedTypes="0" containsString="0" containsNumber="1" containsInteger="1" minValue="0" maxValue="6"/>
    </cacheField>
    <cacheField name="work_life_balance" numFmtId="0">
      <sharedItems count="4">
        <s v="Bad"/>
        <s v="Better"/>
        <s v="Good"/>
        <s v="Best"/>
      </sharedItems>
    </cacheField>
    <cacheField name="Age_Group" numFmtId="0">
      <sharedItems count="5">
        <s v="35-44"/>
        <s v="45-54"/>
        <s v="25-34"/>
        <s v="55+"/>
        <s v="Under 25"/>
      </sharedItems>
    </cacheField>
    <cacheField name="Income_Group" numFmtId="0">
      <sharedItems count="4">
        <s v="5,000-7,999"/>
        <s v="Below 3,000"/>
        <s v="3,000-4,999"/>
        <s v="8,00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US" refreshedDate="46306.828390046299" createdVersion="8" refreshedVersion="8" minRefreshableVersion="3" recordCount="3" xr:uid="{A4BABC31-F8CE-4712-B81B-E1CF24536F28}">
  <cacheSource type="worksheet">
    <worksheetSource ref="F4:G7" sheet="Pivot Tables"/>
  </cacheSource>
  <cacheFields count="2">
    <cacheField name="Row Labels" numFmtId="0">
      <sharedItems/>
    </cacheField>
    <cacheField name="Yes" numFmtId="10">
      <sharedItems containsSemiMixedTypes="0" containsString="0" containsNumber="1" minValue="0.13839750260145681" maxValue="0.20627802690582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x v="0"/>
    <x v="0"/>
    <x v="0"/>
    <n v="1"/>
    <x v="0"/>
    <s v="Life Sciences"/>
    <s v="Medium"/>
    <x v="0"/>
    <s v="High"/>
    <x v="0"/>
    <x v="0"/>
    <s v="Single"/>
    <n v="5993"/>
    <n v="8"/>
    <x v="0"/>
    <n v="11"/>
    <s v="Excellent"/>
    <s v="Low"/>
    <n v="0"/>
    <x v="0"/>
    <x v="0"/>
    <x v="0"/>
  </r>
  <r>
    <n v="2"/>
    <n v="49"/>
    <x v="1"/>
    <x v="1"/>
    <x v="1"/>
    <n v="8"/>
    <x v="1"/>
    <s v="Life Sciences"/>
    <s v="High"/>
    <x v="1"/>
    <s v="Medium"/>
    <x v="1"/>
    <x v="1"/>
    <s v="Married"/>
    <n v="5130"/>
    <n v="1"/>
    <x v="1"/>
    <n v="23"/>
    <s v="Outstanding"/>
    <s v="Very high"/>
    <n v="3"/>
    <x v="1"/>
    <x v="1"/>
    <x v="0"/>
  </r>
  <r>
    <n v="4"/>
    <n v="37"/>
    <x v="0"/>
    <x v="0"/>
    <x v="1"/>
    <n v="2"/>
    <x v="0"/>
    <s v="Other"/>
    <s v="Very high"/>
    <x v="1"/>
    <s v="Medium"/>
    <x v="2"/>
    <x v="2"/>
    <s v="Single"/>
    <n v="2090"/>
    <n v="6"/>
    <x v="0"/>
    <n v="15"/>
    <s v="Excellent"/>
    <s v="Medium"/>
    <n v="3"/>
    <x v="1"/>
    <x v="0"/>
    <x v="1"/>
  </r>
  <r>
    <n v="5"/>
    <n v="33"/>
    <x v="1"/>
    <x v="1"/>
    <x v="1"/>
    <n v="3"/>
    <x v="2"/>
    <s v="Life Sciences"/>
    <s v="Very high"/>
    <x v="0"/>
    <s v="High"/>
    <x v="1"/>
    <x v="2"/>
    <s v="Married"/>
    <n v="2909"/>
    <n v="1"/>
    <x v="0"/>
    <n v="11"/>
    <s v="Excellent"/>
    <s v="High"/>
    <n v="3"/>
    <x v="1"/>
    <x v="2"/>
    <x v="1"/>
  </r>
  <r>
    <n v="7"/>
    <n v="27"/>
    <x v="1"/>
    <x v="0"/>
    <x v="1"/>
    <n v="2"/>
    <x v="1"/>
    <s v="Medical"/>
    <s v="Low"/>
    <x v="1"/>
    <s v="High"/>
    <x v="2"/>
    <x v="1"/>
    <s v="Married"/>
    <n v="3468"/>
    <n v="9"/>
    <x v="1"/>
    <n v="12"/>
    <s v="Excellent"/>
    <s v="Very high"/>
    <n v="3"/>
    <x v="1"/>
    <x v="2"/>
    <x v="2"/>
  </r>
  <r>
    <n v="8"/>
    <n v="32"/>
    <x v="1"/>
    <x v="1"/>
    <x v="1"/>
    <n v="2"/>
    <x v="0"/>
    <s v="Life Sciences"/>
    <s v="Very high"/>
    <x v="1"/>
    <s v="High"/>
    <x v="2"/>
    <x v="0"/>
    <s v="Single"/>
    <n v="3068"/>
    <n v="0"/>
    <x v="1"/>
    <n v="13"/>
    <s v="Excellent"/>
    <s v="High"/>
    <n v="2"/>
    <x v="2"/>
    <x v="2"/>
    <x v="2"/>
  </r>
  <r>
    <n v="10"/>
    <n v="59"/>
    <x v="1"/>
    <x v="0"/>
    <x v="1"/>
    <n v="3"/>
    <x v="3"/>
    <s v="Medical"/>
    <s v="High"/>
    <x v="0"/>
    <s v="Very high"/>
    <x v="2"/>
    <x v="3"/>
    <s v="Married"/>
    <n v="2670"/>
    <n v="4"/>
    <x v="0"/>
    <n v="20"/>
    <s v="Outstanding"/>
    <s v="Low"/>
    <n v="3"/>
    <x v="2"/>
    <x v="3"/>
    <x v="1"/>
  </r>
  <r>
    <n v="11"/>
    <n v="30"/>
    <x v="1"/>
    <x v="0"/>
    <x v="1"/>
    <n v="24"/>
    <x v="1"/>
    <s v="Life Sciences"/>
    <s v="Very high"/>
    <x v="1"/>
    <s v="High"/>
    <x v="2"/>
    <x v="2"/>
    <s v="Divorced"/>
    <n v="2693"/>
    <n v="1"/>
    <x v="1"/>
    <n v="22"/>
    <s v="Outstanding"/>
    <s v="Medium"/>
    <n v="2"/>
    <x v="1"/>
    <x v="2"/>
    <x v="1"/>
  </r>
  <r>
    <n v="12"/>
    <n v="38"/>
    <x v="1"/>
    <x v="1"/>
    <x v="1"/>
    <n v="23"/>
    <x v="3"/>
    <s v="Life Sciences"/>
    <s v="Very high"/>
    <x v="1"/>
    <s v="Medium"/>
    <x v="3"/>
    <x v="2"/>
    <s v="Single"/>
    <n v="9526"/>
    <n v="0"/>
    <x v="1"/>
    <n v="21"/>
    <s v="Outstanding"/>
    <s v="Medium"/>
    <n v="2"/>
    <x v="1"/>
    <x v="0"/>
    <x v="3"/>
  </r>
  <r>
    <n v="13"/>
    <n v="36"/>
    <x v="1"/>
    <x v="0"/>
    <x v="1"/>
    <n v="27"/>
    <x v="3"/>
    <s v="Medical"/>
    <s v="High"/>
    <x v="1"/>
    <s v="High"/>
    <x v="4"/>
    <x v="2"/>
    <s v="Married"/>
    <n v="5237"/>
    <n v="6"/>
    <x v="1"/>
    <n v="13"/>
    <s v="Excellent"/>
    <s v="Medium"/>
    <n v="3"/>
    <x v="2"/>
    <x v="0"/>
    <x v="0"/>
  </r>
  <r>
    <n v="14"/>
    <n v="35"/>
    <x v="1"/>
    <x v="0"/>
    <x v="1"/>
    <n v="16"/>
    <x v="3"/>
    <s v="Medical"/>
    <s v="Low"/>
    <x v="1"/>
    <s v="Very high"/>
    <x v="2"/>
    <x v="1"/>
    <s v="Married"/>
    <n v="2426"/>
    <n v="0"/>
    <x v="1"/>
    <n v="13"/>
    <s v="Excellent"/>
    <s v="High"/>
    <n v="5"/>
    <x v="1"/>
    <x v="0"/>
    <x v="1"/>
  </r>
  <r>
    <n v="15"/>
    <n v="29"/>
    <x v="1"/>
    <x v="0"/>
    <x v="1"/>
    <n v="15"/>
    <x v="0"/>
    <s v="Life Sciences"/>
    <s v="Very high"/>
    <x v="0"/>
    <s v="Medium"/>
    <x v="2"/>
    <x v="2"/>
    <s v="Single"/>
    <n v="4193"/>
    <n v="0"/>
    <x v="0"/>
    <n v="12"/>
    <s v="Excellent"/>
    <s v="Very high"/>
    <n v="3"/>
    <x v="1"/>
    <x v="2"/>
    <x v="2"/>
  </r>
  <r>
    <n v="16"/>
    <n v="31"/>
    <x v="1"/>
    <x v="0"/>
    <x v="1"/>
    <n v="26"/>
    <x v="1"/>
    <s v="Life Sciences"/>
    <s v="Low"/>
    <x v="1"/>
    <s v="High"/>
    <x v="1"/>
    <x v="2"/>
    <s v="Divorced"/>
    <n v="2911"/>
    <n v="1"/>
    <x v="1"/>
    <n v="17"/>
    <s v="Excellent"/>
    <s v="Very high"/>
    <n v="1"/>
    <x v="2"/>
    <x v="2"/>
    <x v="1"/>
  </r>
  <r>
    <n v="18"/>
    <n v="34"/>
    <x v="1"/>
    <x v="0"/>
    <x v="1"/>
    <n v="19"/>
    <x v="0"/>
    <s v="Medical"/>
    <s v="Medium"/>
    <x v="1"/>
    <s v="High"/>
    <x v="2"/>
    <x v="0"/>
    <s v="Divorced"/>
    <n v="2661"/>
    <n v="0"/>
    <x v="1"/>
    <n v="11"/>
    <s v="Excellent"/>
    <s v="High"/>
    <n v="2"/>
    <x v="1"/>
    <x v="2"/>
    <x v="1"/>
  </r>
  <r>
    <n v="19"/>
    <n v="28"/>
    <x v="0"/>
    <x v="0"/>
    <x v="1"/>
    <n v="24"/>
    <x v="3"/>
    <s v="Life Sciences"/>
    <s v="High"/>
    <x v="1"/>
    <s v="Medium"/>
    <x v="2"/>
    <x v="2"/>
    <s v="Single"/>
    <n v="2028"/>
    <n v="5"/>
    <x v="0"/>
    <n v="14"/>
    <s v="Excellent"/>
    <s v="Medium"/>
    <n v="4"/>
    <x v="1"/>
    <x v="2"/>
    <x v="1"/>
  </r>
  <r>
    <n v="20"/>
    <n v="29"/>
    <x v="1"/>
    <x v="0"/>
    <x v="1"/>
    <n v="21"/>
    <x v="2"/>
    <s v="Life Sciences"/>
    <s v="Medium"/>
    <x v="0"/>
    <s v="Very high"/>
    <x v="3"/>
    <x v="3"/>
    <s v="Divorced"/>
    <n v="9980"/>
    <n v="1"/>
    <x v="1"/>
    <n v="11"/>
    <s v="Excellent"/>
    <s v="High"/>
    <n v="1"/>
    <x v="1"/>
    <x v="2"/>
    <x v="3"/>
  </r>
  <r>
    <n v="21"/>
    <n v="32"/>
    <x v="1"/>
    <x v="0"/>
    <x v="1"/>
    <n v="5"/>
    <x v="0"/>
    <s v="Life Sciences"/>
    <s v="Low"/>
    <x v="1"/>
    <s v="Very high"/>
    <x v="1"/>
    <x v="1"/>
    <s v="Divorced"/>
    <n v="3298"/>
    <n v="0"/>
    <x v="0"/>
    <n v="12"/>
    <s v="Excellent"/>
    <s v="Very high"/>
    <n v="5"/>
    <x v="2"/>
    <x v="2"/>
    <x v="2"/>
  </r>
  <r>
    <n v="22"/>
    <n v="22"/>
    <x v="1"/>
    <x v="2"/>
    <x v="1"/>
    <n v="16"/>
    <x v="0"/>
    <s v="Medical"/>
    <s v="Very high"/>
    <x v="1"/>
    <s v="Very high"/>
    <x v="2"/>
    <x v="0"/>
    <s v="Divorced"/>
    <n v="2935"/>
    <n v="1"/>
    <x v="0"/>
    <n v="13"/>
    <s v="Excellent"/>
    <s v="Medium"/>
    <n v="2"/>
    <x v="2"/>
    <x v="4"/>
    <x v="1"/>
  </r>
  <r>
    <n v="23"/>
    <n v="53"/>
    <x v="1"/>
    <x v="0"/>
    <x v="0"/>
    <n v="2"/>
    <x v="2"/>
    <s v="Life Sciences"/>
    <s v="Low"/>
    <x v="0"/>
    <s v="Medium"/>
    <x v="5"/>
    <x v="0"/>
    <s v="Married"/>
    <n v="15427"/>
    <n v="2"/>
    <x v="1"/>
    <n v="16"/>
    <s v="Excellent"/>
    <s v="High"/>
    <n v="3"/>
    <x v="1"/>
    <x v="1"/>
    <x v="3"/>
  </r>
  <r>
    <n v="24"/>
    <n v="38"/>
    <x v="1"/>
    <x v="0"/>
    <x v="1"/>
    <n v="2"/>
    <x v="3"/>
    <s v="Life Sciences"/>
    <s v="Very high"/>
    <x v="1"/>
    <s v="High"/>
    <x v="1"/>
    <x v="0"/>
    <s v="Single"/>
    <n v="3944"/>
    <n v="5"/>
    <x v="0"/>
    <n v="11"/>
    <s v="Excellent"/>
    <s v="High"/>
    <n v="3"/>
    <x v="1"/>
    <x v="0"/>
    <x v="2"/>
  </r>
  <r>
    <n v="26"/>
    <n v="24"/>
    <x v="1"/>
    <x v="2"/>
    <x v="1"/>
    <n v="11"/>
    <x v="0"/>
    <s v="Other"/>
    <s v="Low"/>
    <x v="0"/>
    <s v="Very high"/>
    <x v="3"/>
    <x v="2"/>
    <s v="Divorced"/>
    <n v="4011"/>
    <n v="0"/>
    <x v="1"/>
    <n v="18"/>
    <s v="Excellent"/>
    <s v="Very high"/>
    <n v="5"/>
    <x v="2"/>
    <x v="4"/>
    <x v="2"/>
  </r>
  <r>
    <n v="27"/>
    <n v="36"/>
    <x v="0"/>
    <x v="0"/>
    <x v="0"/>
    <n v="9"/>
    <x v="2"/>
    <s v="Life Sciences"/>
    <s v="High"/>
    <x v="1"/>
    <s v="Medium"/>
    <x v="6"/>
    <x v="3"/>
    <s v="Single"/>
    <n v="3407"/>
    <n v="7"/>
    <x v="1"/>
    <n v="23"/>
    <s v="Outstanding"/>
    <s v="Medium"/>
    <n v="4"/>
    <x v="1"/>
    <x v="0"/>
    <x v="2"/>
  </r>
  <r>
    <n v="28"/>
    <n v="34"/>
    <x v="1"/>
    <x v="0"/>
    <x v="1"/>
    <n v="7"/>
    <x v="2"/>
    <s v="Life Sciences"/>
    <s v="Low"/>
    <x v="0"/>
    <s v="High"/>
    <x v="7"/>
    <x v="1"/>
    <s v="Single"/>
    <n v="11994"/>
    <n v="0"/>
    <x v="1"/>
    <n v="11"/>
    <s v="Excellent"/>
    <s v="High"/>
    <n v="4"/>
    <x v="1"/>
    <x v="2"/>
    <x v="3"/>
  </r>
  <r>
    <n v="30"/>
    <n v="21"/>
    <x v="1"/>
    <x v="0"/>
    <x v="1"/>
    <n v="15"/>
    <x v="0"/>
    <s v="Life Sciences"/>
    <s v="High"/>
    <x v="1"/>
    <s v="High"/>
    <x v="1"/>
    <x v="0"/>
    <s v="Single"/>
    <n v="1232"/>
    <n v="1"/>
    <x v="1"/>
    <n v="14"/>
    <s v="Excellent"/>
    <s v="Very high"/>
    <n v="6"/>
    <x v="1"/>
    <x v="4"/>
    <x v="1"/>
  </r>
  <r>
    <n v="31"/>
    <n v="34"/>
    <x v="0"/>
    <x v="0"/>
    <x v="1"/>
    <n v="6"/>
    <x v="1"/>
    <s v="Medical"/>
    <s v="Medium"/>
    <x v="1"/>
    <s v="High"/>
    <x v="1"/>
    <x v="3"/>
    <s v="Single"/>
    <n v="2960"/>
    <n v="2"/>
    <x v="1"/>
    <n v="11"/>
    <s v="Excellent"/>
    <s v="High"/>
    <n v="2"/>
    <x v="1"/>
    <x v="2"/>
    <x v="1"/>
  </r>
  <r>
    <n v="32"/>
    <n v="53"/>
    <x v="1"/>
    <x v="0"/>
    <x v="1"/>
    <n v="5"/>
    <x v="3"/>
    <s v="Other"/>
    <s v="High"/>
    <x v="0"/>
    <s v="High"/>
    <x v="5"/>
    <x v="2"/>
    <s v="Divorced"/>
    <n v="19094"/>
    <n v="4"/>
    <x v="1"/>
    <n v="11"/>
    <s v="Excellent"/>
    <s v="Very high"/>
    <n v="3"/>
    <x v="2"/>
    <x v="1"/>
    <x v="3"/>
  </r>
  <r>
    <n v="33"/>
    <n v="32"/>
    <x v="0"/>
    <x v="1"/>
    <x v="1"/>
    <n v="16"/>
    <x v="1"/>
    <s v="Life Sciences"/>
    <s v="Medium"/>
    <x v="0"/>
    <s v="Low"/>
    <x v="1"/>
    <x v="3"/>
    <s v="Single"/>
    <n v="3919"/>
    <n v="1"/>
    <x v="0"/>
    <n v="22"/>
    <s v="Outstanding"/>
    <s v="Medium"/>
    <n v="5"/>
    <x v="1"/>
    <x v="2"/>
    <x v="2"/>
  </r>
  <r>
    <n v="35"/>
    <n v="42"/>
    <x v="1"/>
    <x v="0"/>
    <x v="0"/>
    <n v="8"/>
    <x v="2"/>
    <s v="Marketing"/>
    <s v="High"/>
    <x v="1"/>
    <s v="High"/>
    <x v="0"/>
    <x v="1"/>
    <s v="Married"/>
    <n v="6825"/>
    <n v="0"/>
    <x v="1"/>
    <n v="11"/>
    <s v="Excellent"/>
    <s v="Very high"/>
    <n v="2"/>
    <x v="1"/>
    <x v="0"/>
    <x v="0"/>
  </r>
  <r>
    <n v="36"/>
    <n v="44"/>
    <x v="1"/>
    <x v="0"/>
    <x v="1"/>
    <n v="7"/>
    <x v="2"/>
    <s v="Medical"/>
    <s v="Low"/>
    <x v="0"/>
    <s v="Medium"/>
    <x v="4"/>
    <x v="0"/>
    <s v="Married"/>
    <n v="10248"/>
    <n v="3"/>
    <x v="1"/>
    <n v="14"/>
    <s v="Excellent"/>
    <s v="Very high"/>
    <n v="4"/>
    <x v="1"/>
    <x v="0"/>
    <x v="3"/>
  </r>
  <r>
    <n v="38"/>
    <n v="46"/>
    <x v="1"/>
    <x v="0"/>
    <x v="0"/>
    <n v="2"/>
    <x v="2"/>
    <s v="Marketing"/>
    <s v="Medium"/>
    <x v="0"/>
    <s v="High"/>
    <x v="5"/>
    <x v="3"/>
    <s v="Single"/>
    <n v="18947"/>
    <n v="3"/>
    <x v="1"/>
    <n v="12"/>
    <s v="Excellent"/>
    <s v="Very high"/>
    <n v="2"/>
    <x v="2"/>
    <x v="1"/>
    <x v="3"/>
  </r>
  <r>
    <n v="39"/>
    <n v="33"/>
    <x v="1"/>
    <x v="0"/>
    <x v="1"/>
    <n v="2"/>
    <x v="3"/>
    <s v="Medical"/>
    <s v="High"/>
    <x v="1"/>
    <s v="High"/>
    <x v="2"/>
    <x v="0"/>
    <s v="Single"/>
    <n v="2496"/>
    <n v="4"/>
    <x v="1"/>
    <n v="11"/>
    <s v="Excellent"/>
    <s v="Very high"/>
    <n v="3"/>
    <x v="1"/>
    <x v="2"/>
    <x v="1"/>
  </r>
  <r>
    <n v="40"/>
    <n v="44"/>
    <x v="1"/>
    <x v="0"/>
    <x v="1"/>
    <n v="10"/>
    <x v="2"/>
    <s v="Other"/>
    <s v="Very high"/>
    <x v="1"/>
    <s v="High"/>
    <x v="4"/>
    <x v="0"/>
    <s v="Married"/>
    <n v="6465"/>
    <n v="2"/>
    <x v="0"/>
    <n v="13"/>
    <s v="Excellent"/>
    <s v="Very high"/>
    <n v="5"/>
    <x v="3"/>
    <x v="0"/>
    <x v="0"/>
  </r>
  <r>
    <n v="41"/>
    <n v="30"/>
    <x v="1"/>
    <x v="0"/>
    <x v="1"/>
    <n v="9"/>
    <x v="0"/>
    <s v="Medical"/>
    <s v="Very high"/>
    <x v="1"/>
    <s v="Medium"/>
    <x v="2"/>
    <x v="2"/>
    <s v="Single"/>
    <n v="2206"/>
    <n v="1"/>
    <x v="1"/>
    <n v="13"/>
    <s v="Excellent"/>
    <s v="Low"/>
    <n v="5"/>
    <x v="1"/>
    <x v="2"/>
    <x v="1"/>
  </r>
  <r>
    <n v="42"/>
    <n v="39"/>
    <x v="0"/>
    <x v="0"/>
    <x v="0"/>
    <n v="5"/>
    <x v="3"/>
    <s v="Technical Degree"/>
    <s v="Very high"/>
    <x v="1"/>
    <s v="High"/>
    <x v="6"/>
    <x v="0"/>
    <s v="Married"/>
    <n v="2086"/>
    <n v="3"/>
    <x v="1"/>
    <n v="14"/>
    <s v="Excellent"/>
    <s v="High"/>
    <n v="6"/>
    <x v="3"/>
    <x v="0"/>
    <x v="1"/>
  </r>
  <r>
    <n v="45"/>
    <n v="24"/>
    <x v="0"/>
    <x v="0"/>
    <x v="1"/>
    <n v="1"/>
    <x v="3"/>
    <s v="Medical"/>
    <s v="Medium"/>
    <x v="1"/>
    <s v="High"/>
    <x v="1"/>
    <x v="0"/>
    <s v="Married"/>
    <n v="2293"/>
    <n v="2"/>
    <x v="0"/>
    <n v="16"/>
    <s v="Excellent"/>
    <s v="Low"/>
    <n v="2"/>
    <x v="2"/>
    <x v="4"/>
    <x v="1"/>
  </r>
  <r>
    <n v="46"/>
    <n v="43"/>
    <x v="1"/>
    <x v="0"/>
    <x v="1"/>
    <n v="2"/>
    <x v="0"/>
    <s v="Medical"/>
    <s v="Very high"/>
    <x v="0"/>
    <s v="Very high"/>
    <x v="1"/>
    <x v="2"/>
    <s v="Divorced"/>
    <n v="2645"/>
    <n v="1"/>
    <x v="1"/>
    <n v="12"/>
    <s v="Excellent"/>
    <s v="Very high"/>
    <n v="3"/>
    <x v="2"/>
    <x v="0"/>
    <x v="1"/>
  </r>
  <r>
    <n v="47"/>
    <n v="50"/>
    <x v="0"/>
    <x v="0"/>
    <x v="0"/>
    <n v="3"/>
    <x v="0"/>
    <s v="Marketing"/>
    <s v="Low"/>
    <x v="1"/>
    <s v="Medium"/>
    <x v="6"/>
    <x v="2"/>
    <s v="Married"/>
    <n v="2683"/>
    <n v="1"/>
    <x v="0"/>
    <n v="14"/>
    <s v="Excellent"/>
    <s v="High"/>
    <n v="2"/>
    <x v="1"/>
    <x v="1"/>
    <x v="1"/>
  </r>
  <r>
    <n v="49"/>
    <n v="35"/>
    <x v="1"/>
    <x v="0"/>
    <x v="0"/>
    <n v="2"/>
    <x v="3"/>
    <s v="Marketing"/>
    <s v="Very high"/>
    <x v="0"/>
    <s v="High"/>
    <x v="6"/>
    <x v="0"/>
    <s v="Married"/>
    <n v="2014"/>
    <n v="1"/>
    <x v="1"/>
    <n v="13"/>
    <s v="Excellent"/>
    <s v="Low"/>
    <n v="3"/>
    <x v="1"/>
    <x v="0"/>
    <x v="1"/>
  </r>
  <r>
    <n v="51"/>
    <n v="36"/>
    <x v="1"/>
    <x v="0"/>
    <x v="1"/>
    <n v="5"/>
    <x v="2"/>
    <s v="Life Sciences"/>
    <s v="Medium"/>
    <x v="0"/>
    <s v="Medium"/>
    <x v="1"/>
    <x v="3"/>
    <s v="Married"/>
    <n v="3419"/>
    <n v="9"/>
    <x v="0"/>
    <n v="14"/>
    <s v="Excellent"/>
    <s v="Very high"/>
    <n v="3"/>
    <x v="3"/>
    <x v="0"/>
    <x v="2"/>
  </r>
  <r>
    <n v="52"/>
    <n v="33"/>
    <x v="1"/>
    <x v="1"/>
    <x v="0"/>
    <n v="1"/>
    <x v="3"/>
    <s v="Life Sciences"/>
    <s v="High"/>
    <x v="0"/>
    <s v="Very high"/>
    <x v="0"/>
    <x v="3"/>
    <s v="Married"/>
    <n v="5376"/>
    <n v="2"/>
    <x v="1"/>
    <n v="19"/>
    <s v="Excellent"/>
    <s v="Low"/>
    <n v="3"/>
    <x v="1"/>
    <x v="2"/>
    <x v="0"/>
  </r>
  <r>
    <n v="53"/>
    <n v="35"/>
    <x v="1"/>
    <x v="0"/>
    <x v="1"/>
    <n v="4"/>
    <x v="0"/>
    <s v="Other"/>
    <s v="High"/>
    <x v="1"/>
    <s v="High"/>
    <x v="2"/>
    <x v="0"/>
    <s v="Divorced"/>
    <n v="1951"/>
    <n v="1"/>
    <x v="1"/>
    <n v="12"/>
    <s v="Excellent"/>
    <s v="High"/>
    <n v="3"/>
    <x v="1"/>
    <x v="0"/>
    <x v="1"/>
  </r>
  <r>
    <n v="54"/>
    <n v="27"/>
    <x v="1"/>
    <x v="0"/>
    <x v="1"/>
    <n v="2"/>
    <x v="2"/>
    <s v="Life Sciences"/>
    <s v="Very high"/>
    <x v="0"/>
    <s v="High"/>
    <x v="2"/>
    <x v="3"/>
    <s v="Divorced"/>
    <n v="2341"/>
    <n v="1"/>
    <x v="1"/>
    <n v="13"/>
    <s v="Excellent"/>
    <s v="Very high"/>
    <n v="6"/>
    <x v="1"/>
    <x v="2"/>
    <x v="1"/>
  </r>
  <r>
    <n v="55"/>
    <n v="26"/>
    <x v="0"/>
    <x v="0"/>
    <x v="1"/>
    <n v="25"/>
    <x v="3"/>
    <s v="Life Sciences"/>
    <s v="Low"/>
    <x v="1"/>
    <s v="Low"/>
    <x v="2"/>
    <x v="2"/>
    <s v="Single"/>
    <n v="2293"/>
    <n v="1"/>
    <x v="1"/>
    <n v="12"/>
    <s v="Excellent"/>
    <s v="High"/>
    <n v="2"/>
    <x v="2"/>
    <x v="2"/>
    <x v="1"/>
  </r>
  <r>
    <n v="56"/>
    <n v="27"/>
    <x v="1"/>
    <x v="1"/>
    <x v="0"/>
    <n v="8"/>
    <x v="3"/>
    <s v="Life Sciences"/>
    <s v="Very high"/>
    <x v="1"/>
    <s v="High"/>
    <x v="0"/>
    <x v="2"/>
    <s v="Single"/>
    <n v="8726"/>
    <n v="1"/>
    <x v="1"/>
    <n v="15"/>
    <s v="Excellent"/>
    <s v="Very high"/>
    <n v="0"/>
    <x v="1"/>
    <x v="2"/>
    <x v="3"/>
  </r>
  <r>
    <n v="57"/>
    <n v="30"/>
    <x v="1"/>
    <x v="1"/>
    <x v="1"/>
    <n v="1"/>
    <x v="0"/>
    <s v="Medical"/>
    <s v="High"/>
    <x v="0"/>
    <s v="High"/>
    <x v="2"/>
    <x v="0"/>
    <s v="Single"/>
    <n v="4011"/>
    <n v="1"/>
    <x v="1"/>
    <n v="23"/>
    <s v="Outstanding"/>
    <s v="Very high"/>
    <n v="2"/>
    <x v="1"/>
    <x v="2"/>
    <x v="2"/>
  </r>
  <r>
    <n v="58"/>
    <n v="41"/>
    <x v="0"/>
    <x v="0"/>
    <x v="1"/>
    <n v="12"/>
    <x v="3"/>
    <s v="Technical Degree"/>
    <s v="Medium"/>
    <x v="0"/>
    <s v="High"/>
    <x v="7"/>
    <x v="2"/>
    <s v="Married"/>
    <n v="19545"/>
    <n v="1"/>
    <x v="1"/>
    <n v="12"/>
    <s v="Excellent"/>
    <s v="Very high"/>
    <n v="0"/>
    <x v="1"/>
    <x v="0"/>
    <x v="3"/>
  </r>
  <r>
    <n v="60"/>
    <n v="34"/>
    <x v="1"/>
    <x v="2"/>
    <x v="0"/>
    <n v="23"/>
    <x v="2"/>
    <s v="Marketing"/>
    <s v="Medium"/>
    <x v="1"/>
    <s v="High"/>
    <x v="0"/>
    <x v="2"/>
    <s v="Single"/>
    <n v="4568"/>
    <n v="0"/>
    <x v="1"/>
    <n v="20"/>
    <s v="Outstanding"/>
    <s v="High"/>
    <n v="2"/>
    <x v="1"/>
    <x v="2"/>
    <x v="2"/>
  </r>
  <r>
    <n v="61"/>
    <n v="37"/>
    <x v="1"/>
    <x v="0"/>
    <x v="1"/>
    <n v="19"/>
    <x v="0"/>
    <s v="Life Sciences"/>
    <s v="Medium"/>
    <x v="1"/>
    <s v="High"/>
    <x v="1"/>
    <x v="1"/>
    <s v="Married"/>
    <n v="3022"/>
    <n v="4"/>
    <x v="1"/>
    <n v="21"/>
    <s v="Outstanding"/>
    <s v="Low"/>
    <n v="1"/>
    <x v="1"/>
    <x v="0"/>
    <x v="2"/>
  </r>
  <r>
    <n v="62"/>
    <n v="46"/>
    <x v="1"/>
    <x v="1"/>
    <x v="0"/>
    <n v="5"/>
    <x v="2"/>
    <s v="Marketing"/>
    <s v="Low"/>
    <x v="1"/>
    <s v="High"/>
    <x v="0"/>
    <x v="0"/>
    <s v="Single"/>
    <n v="5772"/>
    <n v="4"/>
    <x v="0"/>
    <n v="21"/>
    <s v="Outstanding"/>
    <s v="High"/>
    <n v="4"/>
    <x v="1"/>
    <x v="1"/>
    <x v="0"/>
  </r>
  <r>
    <n v="63"/>
    <n v="35"/>
    <x v="1"/>
    <x v="0"/>
    <x v="1"/>
    <n v="8"/>
    <x v="1"/>
    <s v="Life Sciences"/>
    <s v="Very high"/>
    <x v="1"/>
    <s v="Very high"/>
    <x v="2"/>
    <x v="0"/>
    <s v="Married"/>
    <n v="2269"/>
    <n v="1"/>
    <x v="1"/>
    <n v="19"/>
    <s v="Excellent"/>
    <s v="Very high"/>
    <n v="2"/>
    <x v="1"/>
    <x v="0"/>
    <x v="1"/>
  </r>
  <r>
    <n v="64"/>
    <n v="48"/>
    <x v="0"/>
    <x v="0"/>
    <x v="1"/>
    <n v="1"/>
    <x v="0"/>
    <s v="Life Sciences"/>
    <s v="Low"/>
    <x v="1"/>
    <s v="Medium"/>
    <x v="2"/>
    <x v="2"/>
    <s v="Single"/>
    <n v="5381"/>
    <n v="9"/>
    <x v="0"/>
    <n v="13"/>
    <s v="Excellent"/>
    <s v="Very high"/>
    <n v="2"/>
    <x v="1"/>
    <x v="1"/>
    <x v="0"/>
  </r>
  <r>
    <n v="65"/>
    <n v="28"/>
    <x v="0"/>
    <x v="0"/>
    <x v="1"/>
    <n v="5"/>
    <x v="2"/>
    <s v="Technical Degree"/>
    <s v="High"/>
    <x v="1"/>
    <s v="High"/>
    <x v="2"/>
    <x v="2"/>
    <s v="Single"/>
    <n v="3441"/>
    <n v="1"/>
    <x v="0"/>
    <n v="13"/>
    <s v="Excellent"/>
    <s v="High"/>
    <n v="3"/>
    <x v="2"/>
    <x v="2"/>
    <x v="2"/>
  </r>
  <r>
    <n v="68"/>
    <n v="44"/>
    <x v="1"/>
    <x v="0"/>
    <x v="0"/>
    <n v="1"/>
    <x v="4"/>
    <s v="Marketing"/>
    <s v="Medium"/>
    <x v="0"/>
    <s v="High"/>
    <x v="0"/>
    <x v="3"/>
    <s v="Divorced"/>
    <n v="5454"/>
    <n v="5"/>
    <x v="0"/>
    <n v="21"/>
    <s v="Outstanding"/>
    <s v="High"/>
    <n v="2"/>
    <x v="2"/>
    <x v="0"/>
    <x v="0"/>
  </r>
  <r>
    <n v="70"/>
    <n v="35"/>
    <x v="1"/>
    <x v="2"/>
    <x v="1"/>
    <n v="11"/>
    <x v="0"/>
    <s v="Medical"/>
    <s v="High"/>
    <x v="1"/>
    <s v="Medium"/>
    <x v="4"/>
    <x v="3"/>
    <s v="Married"/>
    <n v="9884"/>
    <n v="2"/>
    <x v="0"/>
    <n v="13"/>
    <s v="Excellent"/>
    <s v="High"/>
    <n v="3"/>
    <x v="1"/>
    <x v="0"/>
    <x v="3"/>
  </r>
  <r>
    <n v="72"/>
    <n v="26"/>
    <x v="1"/>
    <x v="0"/>
    <x v="0"/>
    <n v="23"/>
    <x v="3"/>
    <s v="Marketing"/>
    <s v="High"/>
    <x v="0"/>
    <s v="Medium"/>
    <x v="0"/>
    <x v="0"/>
    <s v="Married"/>
    <n v="4157"/>
    <n v="7"/>
    <x v="0"/>
    <n v="19"/>
    <s v="Excellent"/>
    <s v="High"/>
    <n v="2"/>
    <x v="2"/>
    <x v="2"/>
    <x v="2"/>
  </r>
  <r>
    <n v="73"/>
    <n v="33"/>
    <x v="1"/>
    <x v="1"/>
    <x v="1"/>
    <n v="1"/>
    <x v="0"/>
    <s v="Life Sciences"/>
    <s v="Low"/>
    <x v="0"/>
    <s v="High"/>
    <x v="7"/>
    <x v="0"/>
    <s v="Single"/>
    <n v="13458"/>
    <n v="1"/>
    <x v="0"/>
    <n v="12"/>
    <s v="Excellent"/>
    <s v="High"/>
    <n v="1"/>
    <x v="1"/>
    <x v="2"/>
    <x v="3"/>
  </r>
  <r>
    <n v="74"/>
    <n v="35"/>
    <x v="1"/>
    <x v="1"/>
    <x v="0"/>
    <n v="18"/>
    <x v="4"/>
    <s v="Life Sciences"/>
    <s v="Medium"/>
    <x v="1"/>
    <s v="High"/>
    <x v="0"/>
    <x v="3"/>
    <s v="Married"/>
    <n v="9069"/>
    <n v="1"/>
    <x v="1"/>
    <n v="22"/>
    <s v="Outstanding"/>
    <s v="Very high"/>
    <n v="3"/>
    <x v="2"/>
    <x v="0"/>
    <x v="3"/>
  </r>
  <r>
    <n v="75"/>
    <n v="35"/>
    <x v="1"/>
    <x v="0"/>
    <x v="1"/>
    <n v="23"/>
    <x v="2"/>
    <s v="Medical"/>
    <s v="High"/>
    <x v="0"/>
    <s v="High"/>
    <x v="2"/>
    <x v="3"/>
    <s v="Married"/>
    <n v="4014"/>
    <n v="3"/>
    <x v="0"/>
    <n v="15"/>
    <s v="Excellent"/>
    <s v="High"/>
    <n v="3"/>
    <x v="1"/>
    <x v="0"/>
    <x v="2"/>
  </r>
  <r>
    <n v="76"/>
    <n v="31"/>
    <x v="1"/>
    <x v="0"/>
    <x v="1"/>
    <n v="7"/>
    <x v="2"/>
    <s v="Life Sciences"/>
    <s v="Very high"/>
    <x v="1"/>
    <s v="High"/>
    <x v="2"/>
    <x v="0"/>
    <s v="Divorced"/>
    <n v="5915"/>
    <n v="3"/>
    <x v="1"/>
    <n v="22"/>
    <s v="Outstanding"/>
    <s v="Very high"/>
    <n v="3"/>
    <x v="2"/>
    <x v="2"/>
    <x v="0"/>
  </r>
  <r>
    <n v="77"/>
    <n v="37"/>
    <x v="1"/>
    <x v="0"/>
    <x v="1"/>
    <n v="1"/>
    <x v="2"/>
    <s v="Life Sciences"/>
    <s v="Low"/>
    <x v="1"/>
    <s v="Medium"/>
    <x v="3"/>
    <x v="2"/>
    <s v="Divorced"/>
    <n v="5993"/>
    <n v="1"/>
    <x v="1"/>
    <n v="18"/>
    <s v="Excellent"/>
    <s v="High"/>
    <n v="2"/>
    <x v="3"/>
    <x v="0"/>
    <x v="0"/>
  </r>
  <r>
    <n v="78"/>
    <n v="32"/>
    <x v="1"/>
    <x v="0"/>
    <x v="1"/>
    <n v="1"/>
    <x v="3"/>
    <s v="Medical"/>
    <s v="Low"/>
    <x v="1"/>
    <s v="High"/>
    <x v="3"/>
    <x v="0"/>
    <s v="Married"/>
    <n v="6162"/>
    <n v="1"/>
    <x v="0"/>
    <n v="22"/>
    <s v="Outstanding"/>
    <s v="Medium"/>
    <n v="3"/>
    <x v="1"/>
    <x v="2"/>
    <x v="0"/>
  </r>
  <r>
    <n v="79"/>
    <n v="38"/>
    <x v="1"/>
    <x v="1"/>
    <x v="1"/>
    <n v="29"/>
    <x v="4"/>
    <s v="Life Sciences"/>
    <s v="Very high"/>
    <x v="0"/>
    <s v="High"/>
    <x v="2"/>
    <x v="0"/>
    <s v="Single"/>
    <n v="2406"/>
    <n v="1"/>
    <x v="1"/>
    <n v="11"/>
    <s v="Excellent"/>
    <s v="Very high"/>
    <n v="2"/>
    <x v="1"/>
    <x v="0"/>
    <x v="1"/>
  </r>
  <r>
    <n v="80"/>
    <n v="50"/>
    <x v="1"/>
    <x v="0"/>
    <x v="1"/>
    <n v="7"/>
    <x v="0"/>
    <s v="Medical"/>
    <s v="Medium"/>
    <x v="0"/>
    <s v="Medium"/>
    <x v="7"/>
    <x v="2"/>
    <s v="Divorced"/>
    <n v="18740"/>
    <n v="5"/>
    <x v="0"/>
    <n v="12"/>
    <s v="Excellent"/>
    <s v="Very high"/>
    <n v="2"/>
    <x v="2"/>
    <x v="1"/>
    <x v="3"/>
  </r>
  <r>
    <n v="81"/>
    <n v="59"/>
    <x v="1"/>
    <x v="0"/>
    <x v="0"/>
    <n v="25"/>
    <x v="3"/>
    <s v="Life Sciences"/>
    <s v="Low"/>
    <x v="0"/>
    <s v="High"/>
    <x v="0"/>
    <x v="3"/>
    <s v="Single"/>
    <n v="7637"/>
    <n v="7"/>
    <x v="1"/>
    <n v="11"/>
    <s v="Excellent"/>
    <s v="Very high"/>
    <n v="3"/>
    <x v="2"/>
    <x v="3"/>
    <x v="0"/>
  </r>
  <r>
    <n v="83"/>
    <n v="36"/>
    <x v="1"/>
    <x v="0"/>
    <x v="1"/>
    <n v="8"/>
    <x v="3"/>
    <s v="Technical Degree"/>
    <s v="High"/>
    <x v="0"/>
    <s v="High"/>
    <x v="4"/>
    <x v="2"/>
    <s v="Divorced"/>
    <n v="10096"/>
    <n v="1"/>
    <x v="1"/>
    <n v="13"/>
    <s v="Excellent"/>
    <s v="Medium"/>
    <n v="2"/>
    <x v="1"/>
    <x v="0"/>
    <x v="3"/>
  </r>
  <r>
    <n v="84"/>
    <n v="55"/>
    <x v="1"/>
    <x v="0"/>
    <x v="1"/>
    <n v="8"/>
    <x v="3"/>
    <s v="Medical"/>
    <s v="Very high"/>
    <x v="0"/>
    <s v="High"/>
    <x v="5"/>
    <x v="2"/>
    <s v="Divorced"/>
    <n v="14756"/>
    <n v="2"/>
    <x v="0"/>
    <n v="14"/>
    <s v="Excellent"/>
    <s v="High"/>
    <n v="2"/>
    <x v="1"/>
    <x v="3"/>
    <x v="3"/>
  </r>
  <r>
    <n v="85"/>
    <n v="36"/>
    <x v="1"/>
    <x v="1"/>
    <x v="1"/>
    <n v="11"/>
    <x v="3"/>
    <s v="Life Sciences"/>
    <s v="Medium"/>
    <x v="1"/>
    <s v="Medium"/>
    <x v="3"/>
    <x v="1"/>
    <s v="Single"/>
    <n v="6499"/>
    <n v="1"/>
    <x v="1"/>
    <n v="13"/>
    <s v="Excellent"/>
    <s v="High"/>
    <n v="3"/>
    <x v="1"/>
    <x v="0"/>
    <x v="0"/>
  </r>
  <r>
    <n v="86"/>
    <n v="45"/>
    <x v="1"/>
    <x v="0"/>
    <x v="1"/>
    <n v="7"/>
    <x v="3"/>
    <s v="Life Sciences"/>
    <s v="Medium"/>
    <x v="1"/>
    <s v="High"/>
    <x v="1"/>
    <x v="3"/>
    <s v="Divorced"/>
    <n v="9724"/>
    <n v="2"/>
    <x v="1"/>
    <n v="17"/>
    <s v="Excellent"/>
    <s v="High"/>
    <n v="2"/>
    <x v="1"/>
    <x v="1"/>
    <x v="3"/>
  </r>
  <r>
    <n v="88"/>
    <n v="35"/>
    <x v="1"/>
    <x v="1"/>
    <x v="1"/>
    <n v="1"/>
    <x v="3"/>
    <s v="Medical"/>
    <s v="Medium"/>
    <x v="1"/>
    <s v="High"/>
    <x v="1"/>
    <x v="3"/>
    <s v="Married"/>
    <n v="2194"/>
    <n v="4"/>
    <x v="1"/>
    <n v="13"/>
    <s v="Excellent"/>
    <s v="Very high"/>
    <n v="2"/>
    <x v="2"/>
    <x v="0"/>
    <x v="1"/>
  </r>
  <r>
    <n v="90"/>
    <n v="36"/>
    <x v="0"/>
    <x v="0"/>
    <x v="1"/>
    <n v="9"/>
    <x v="3"/>
    <s v="Medical"/>
    <s v="Very high"/>
    <x v="1"/>
    <s v="Medium"/>
    <x v="1"/>
    <x v="2"/>
    <s v="Married"/>
    <n v="3388"/>
    <n v="0"/>
    <x v="0"/>
    <n v="17"/>
    <s v="Excellent"/>
    <s v="Low"/>
    <n v="0"/>
    <x v="2"/>
    <x v="0"/>
    <x v="2"/>
  </r>
  <r>
    <n v="91"/>
    <n v="59"/>
    <x v="1"/>
    <x v="1"/>
    <x v="0"/>
    <n v="1"/>
    <x v="1"/>
    <s v="Life Sciences"/>
    <s v="Low"/>
    <x v="0"/>
    <s v="Medium"/>
    <x v="0"/>
    <x v="2"/>
    <s v="Single"/>
    <n v="5473"/>
    <n v="7"/>
    <x v="1"/>
    <n v="11"/>
    <s v="Excellent"/>
    <s v="Very high"/>
    <n v="2"/>
    <x v="2"/>
    <x v="3"/>
    <x v="0"/>
  </r>
  <r>
    <n v="94"/>
    <n v="29"/>
    <x v="1"/>
    <x v="0"/>
    <x v="1"/>
    <n v="2"/>
    <x v="3"/>
    <s v="Life Sciences"/>
    <s v="High"/>
    <x v="1"/>
    <s v="High"/>
    <x v="1"/>
    <x v="1"/>
    <s v="Married"/>
    <n v="2703"/>
    <n v="0"/>
    <x v="1"/>
    <n v="23"/>
    <s v="Outstanding"/>
    <s v="Very high"/>
    <n v="3"/>
    <x v="1"/>
    <x v="2"/>
    <x v="1"/>
  </r>
  <r>
    <n v="95"/>
    <n v="31"/>
    <x v="1"/>
    <x v="0"/>
    <x v="1"/>
    <n v="1"/>
    <x v="2"/>
    <s v="Medical"/>
    <s v="High"/>
    <x v="1"/>
    <s v="High"/>
    <x v="1"/>
    <x v="1"/>
    <s v="Single"/>
    <n v="2501"/>
    <n v="1"/>
    <x v="1"/>
    <n v="17"/>
    <s v="Excellent"/>
    <s v="Medium"/>
    <n v="4"/>
    <x v="1"/>
    <x v="2"/>
    <x v="1"/>
  </r>
  <r>
    <n v="96"/>
    <n v="32"/>
    <x v="1"/>
    <x v="0"/>
    <x v="1"/>
    <n v="1"/>
    <x v="3"/>
    <s v="Life Sciences"/>
    <s v="Medium"/>
    <x v="1"/>
    <s v="High"/>
    <x v="1"/>
    <x v="1"/>
    <s v="Married"/>
    <n v="6220"/>
    <n v="1"/>
    <x v="1"/>
    <n v="17"/>
    <s v="Excellent"/>
    <s v="Medium"/>
    <n v="3"/>
    <x v="1"/>
    <x v="2"/>
    <x v="0"/>
  </r>
  <r>
    <n v="97"/>
    <n v="36"/>
    <x v="1"/>
    <x v="0"/>
    <x v="1"/>
    <n v="6"/>
    <x v="3"/>
    <s v="Life Sciences"/>
    <s v="Medium"/>
    <x v="0"/>
    <s v="Very high"/>
    <x v="2"/>
    <x v="0"/>
    <s v="Married"/>
    <n v="3038"/>
    <n v="3"/>
    <x v="1"/>
    <n v="12"/>
    <s v="Excellent"/>
    <s v="Medium"/>
    <n v="3"/>
    <x v="1"/>
    <x v="0"/>
    <x v="2"/>
  </r>
  <r>
    <n v="98"/>
    <n v="31"/>
    <x v="1"/>
    <x v="0"/>
    <x v="1"/>
    <n v="8"/>
    <x v="2"/>
    <s v="Life Sciences"/>
    <s v="High"/>
    <x v="0"/>
    <s v="High"/>
    <x v="3"/>
    <x v="0"/>
    <s v="Single"/>
    <n v="4424"/>
    <n v="1"/>
    <x v="1"/>
    <n v="23"/>
    <s v="Outstanding"/>
    <s v="Very high"/>
    <n v="2"/>
    <x v="1"/>
    <x v="2"/>
    <x v="2"/>
  </r>
  <r>
    <n v="100"/>
    <n v="35"/>
    <x v="1"/>
    <x v="0"/>
    <x v="0"/>
    <n v="1"/>
    <x v="2"/>
    <s v="Marketing"/>
    <s v="High"/>
    <x v="1"/>
    <s v="Medium"/>
    <x v="0"/>
    <x v="3"/>
    <s v="Single"/>
    <n v="4312"/>
    <n v="0"/>
    <x v="1"/>
    <n v="14"/>
    <s v="Excellent"/>
    <s v="Medium"/>
    <n v="2"/>
    <x v="1"/>
    <x v="0"/>
    <x v="2"/>
  </r>
  <r>
    <n v="101"/>
    <n v="45"/>
    <x v="1"/>
    <x v="0"/>
    <x v="1"/>
    <n v="6"/>
    <x v="2"/>
    <s v="Other"/>
    <s v="Very high"/>
    <x v="1"/>
    <s v="High"/>
    <x v="7"/>
    <x v="3"/>
    <s v="Married"/>
    <n v="13245"/>
    <n v="4"/>
    <x v="0"/>
    <n v="14"/>
    <s v="Excellent"/>
    <s v="Medium"/>
    <n v="3"/>
    <x v="3"/>
    <x v="1"/>
    <x v="3"/>
  </r>
  <r>
    <n v="102"/>
    <n v="37"/>
    <x v="1"/>
    <x v="0"/>
    <x v="1"/>
    <n v="7"/>
    <x v="2"/>
    <s v="Medical"/>
    <s v="Low"/>
    <x v="1"/>
    <s v="High"/>
    <x v="7"/>
    <x v="2"/>
    <s v="Single"/>
    <n v="13664"/>
    <n v="4"/>
    <x v="1"/>
    <n v="13"/>
    <s v="Excellent"/>
    <s v="Low"/>
    <n v="3"/>
    <x v="3"/>
    <x v="0"/>
    <x v="3"/>
  </r>
  <r>
    <n v="103"/>
    <n v="46"/>
    <x v="1"/>
    <x v="0"/>
    <x v="2"/>
    <n v="5"/>
    <x v="0"/>
    <s v="Medical"/>
    <s v="Medium"/>
    <x v="1"/>
    <s v="High"/>
    <x v="8"/>
    <x v="1"/>
    <s v="Divorced"/>
    <n v="5021"/>
    <n v="8"/>
    <x v="0"/>
    <n v="22"/>
    <s v="Outstanding"/>
    <s v="Very high"/>
    <n v="2"/>
    <x v="1"/>
    <x v="1"/>
    <x v="0"/>
  </r>
  <r>
    <n v="104"/>
    <n v="30"/>
    <x v="1"/>
    <x v="0"/>
    <x v="1"/>
    <n v="1"/>
    <x v="1"/>
    <s v="Life Sciences"/>
    <s v="Very high"/>
    <x v="1"/>
    <s v="Medium"/>
    <x v="2"/>
    <x v="0"/>
    <s v="Married"/>
    <n v="5126"/>
    <n v="1"/>
    <x v="0"/>
    <n v="12"/>
    <s v="Excellent"/>
    <s v="High"/>
    <n v="1"/>
    <x v="2"/>
    <x v="2"/>
    <x v="0"/>
  </r>
  <r>
    <n v="105"/>
    <n v="35"/>
    <x v="1"/>
    <x v="0"/>
    <x v="1"/>
    <n v="1"/>
    <x v="3"/>
    <s v="Medical"/>
    <s v="Medium"/>
    <x v="1"/>
    <s v="Medium"/>
    <x v="1"/>
    <x v="2"/>
    <s v="Single"/>
    <n v="2859"/>
    <n v="1"/>
    <x v="1"/>
    <n v="18"/>
    <s v="Excellent"/>
    <s v="Low"/>
    <n v="3"/>
    <x v="1"/>
    <x v="0"/>
    <x v="1"/>
  </r>
  <r>
    <n v="106"/>
    <n v="55"/>
    <x v="1"/>
    <x v="0"/>
    <x v="0"/>
    <n v="1"/>
    <x v="0"/>
    <s v="Life Sciences"/>
    <s v="Low"/>
    <x v="1"/>
    <s v="High"/>
    <x v="0"/>
    <x v="0"/>
    <s v="Married"/>
    <n v="10239"/>
    <n v="3"/>
    <x v="1"/>
    <n v="14"/>
    <s v="Excellent"/>
    <s v="Very high"/>
    <n v="4"/>
    <x v="1"/>
    <x v="3"/>
    <x v="3"/>
  </r>
  <r>
    <n v="107"/>
    <n v="38"/>
    <x v="1"/>
    <x v="2"/>
    <x v="1"/>
    <n v="6"/>
    <x v="3"/>
    <s v="Medical"/>
    <s v="Medium"/>
    <x v="0"/>
    <s v="Low"/>
    <x v="1"/>
    <x v="0"/>
    <s v="Divorced"/>
    <n v="5329"/>
    <n v="7"/>
    <x v="0"/>
    <n v="12"/>
    <s v="Excellent"/>
    <s v="Very high"/>
    <n v="3"/>
    <x v="1"/>
    <x v="0"/>
    <x v="0"/>
  </r>
  <r>
    <n v="110"/>
    <n v="34"/>
    <x v="1"/>
    <x v="0"/>
    <x v="1"/>
    <n v="1"/>
    <x v="0"/>
    <s v="Medical"/>
    <s v="Low"/>
    <x v="1"/>
    <s v="High"/>
    <x v="3"/>
    <x v="1"/>
    <s v="Married"/>
    <n v="4325"/>
    <n v="1"/>
    <x v="1"/>
    <n v="15"/>
    <s v="Excellent"/>
    <s v="High"/>
    <n v="2"/>
    <x v="1"/>
    <x v="2"/>
    <x v="2"/>
  </r>
  <r>
    <n v="112"/>
    <n v="56"/>
    <x v="1"/>
    <x v="0"/>
    <x v="1"/>
    <n v="7"/>
    <x v="3"/>
    <s v="Life Sciences"/>
    <s v="Very high"/>
    <x v="1"/>
    <s v="Low"/>
    <x v="3"/>
    <x v="0"/>
    <s v="Single"/>
    <n v="7260"/>
    <n v="4"/>
    <x v="1"/>
    <n v="11"/>
    <s v="Excellent"/>
    <s v="Low"/>
    <n v="3"/>
    <x v="2"/>
    <x v="3"/>
    <x v="0"/>
  </r>
  <r>
    <n v="113"/>
    <n v="23"/>
    <x v="1"/>
    <x v="0"/>
    <x v="0"/>
    <n v="2"/>
    <x v="1"/>
    <s v="Technical Degree"/>
    <s v="High"/>
    <x v="1"/>
    <s v="High"/>
    <x v="6"/>
    <x v="3"/>
    <s v="Divorced"/>
    <n v="2322"/>
    <n v="3"/>
    <x v="1"/>
    <n v="13"/>
    <s v="Excellent"/>
    <s v="High"/>
    <n v="3"/>
    <x v="1"/>
    <x v="4"/>
    <x v="1"/>
  </r>
  <r>
    <n v="116"/>
    <n v="51"/>
    <x v="1"/>
    <x v="0"/>
    <x v="1"/>
    <n v="9"/>
    <x v="2"/>
    <s v="Life Sciences"/>
    <s v="Very high"/>
    <x v="1"/>
    <s v="High"/>
    <x v="2"/>
    <x v="0"/>
    <s v="Married"/>
    <n v="2075"/>
    <n v="3"/>
    <x v="1"/>
    <n v="23"/>
    <s v="Outstanding"/>
    <s v="Medium"/>
    <n v="4"/>
    <x v="1"/>
    <x v="1"/>
    <x v="1"/>
  </r>
  <r>
    <n v="117"/>
    <n v="30"/>
    <x v="1"/>
    <x v="0"/>
    <x v="1"/>
    <n v="2"/>
    <x v="3"/>
    <s v="Life Sciences"/>
    <s v="High"/>
    <x v="1"/>
    <s v="Medium"/>
    <x v="4"/>
    <x v="0"/>
    <s v="Married"/>
    <n v="4152"/>
    <n v="1"/>
    <x v="1"/>
    <n v="19"/>
    <s v="Excellent"/>
    <s v="Low"/>
    <n v="3"/>
    <x v="1"/>
    <x v="2"/>
    <x v="2"/>
  </r>
  <r>
    <n v="118"/>
    <n v="46"/>
    <x v="0"/>
    <x v="0"/>
    <x v="0"/>
    <n v="9"/>
    <x v="0"/>
    <s v="Medical"/>
    <s v="High"/>
    <x v="1"/>
    <s v="Medium"/>
    <x v="0"/>
    <x v="0"/>
    <s v="Single"/>
    <n v="9619"/>
    <n v="1"/>
    <x v="1"/>
    <n v="16"/>
    <s v="Excellent"/>
    <s v="Very high"/>
    <n v="3"/>
    <x v="1"/>
    <x v="1"/>
    <x v="3"/>
  </r>
  <r>
    <n v="119"/>
    <n v="40"/>
    <x v="1"/>
    <x v="1"/>
    <x v="1"/>
    <n v="1"/>
    <x v="2"/>
    <s v="Life Sciences"/>
    <s v="High"/>
    <x v="1"/>
    <s v="Medium"/>
    <x v="4"/>
    <x v="1"/>
    <s v="Married"/>
    <n v="13503"/>
    <n v="1"/>
    <x v="1"/>
    <n v="22"/>
    <s v="Outstanding"/>
    <s v="Very high"/>
    <n v="3"/>
    <x v="2"/>
    <x v="0"/>
    <x v="3"/>
  </r>
  <r>
    <n v="120"/>
    <n v="51"/>
    <x v="1"/>
    <x v="0"/>
    <x v="0"/>
    <n v="21"/>
    <x v="2"/>
    <s v="Marketing"/>
    <s v="High"/>
    <x v="1"/>
    <s v="High"/>
    <x v="0"/>
    <x v="0"/>
    <s v="Single"/>
    <n v="5441"/>
    <n v="0"/>
    <x v="0"/>
    <n v="22"/>
    <s v="Outstanding"/>
    <s v="Very high"/>
    <n v="2"/>
    <x v="0"/>
    <x v="1"/>
    <x v="0"/>
  </r>
  <r>
    <n v="121"/>
    <n v="30"/>
    <x v="1"/>
    <x v="0"/>
    <x v="0"/>
    <n v="4"/>
    <x v="0"/>
    <s v="Medical"/>
    <s v="High"/>
    <x v="0"/>
    <s v="Medium"/>
    <x v="0"/>
    <x v="1"/>
    <s v="Divorced"/>
    <n v="5209"/>
    <n v="1"/>
    <x v="0"/>
    <n v="12"/>
    <s v="Excellent"/>
    <s v="Medium"/>
    <n v="4"/>
    <x v="2"/>
    <x v="2"/>
    <x v="0"/>
  </r>
  <r>
    <n v="124"/>
    <n v="46"/>
    <x v="1"/>
    <x v="1"/>
    <x v="1"/>
    <n v="1"/>
    <x v="3"/>
    <s v="Medical"/>
    <s v="High"/>
    <x v="1"/>
    <s v="Medium"/>
    <x v="4"/>
    <x v="3"/>
    <s v="Married"/>
    <n v="10673"/>
    <n v="2"/>
    <x v="0"/>
    <n v="13"/>
    <s v="Excellent"/>
    <s v="High"/>
    <n v="5"/>
    <x v="2"/>
    <x v="1"/>
    <x v="3"/>
  </r>
  <r>
    <n v="125"/>
    <n v="32"/>
    <x v="1"/>
    <x v="0"/>
    <x v="0"/>
    <n v="6"/>
    <x v="2"/>
    <s v="Medical"/>
    <s v="Medium"/>
    <x v="1"/>
    <s v="High"/>
    <x v="0"/>
    <x v="2"/>
    <s v="Single"/>
    <n v="5010"/>
    <n v="1"/>
    <x v="1"/>
    <n v="16"/>
    <s v="Excellent"/>
    <s v="Low"/>
    <n v="0"/>
    <x v="1"/>
    <x v="2"/>
    <x v="0"/>
  </r>
  <r>
    <n v="126"/>
    <n v="54"/>
    <x v="1"/>
    <x v="0"/>
    <x v="1"/>
    <n v="2"/>
    <x v="2"/>
    <s v="Technical Degree"/>
    <s v="Low"/>
    <x v="0"/>
    <s v="High"/>
    <x v="7"/>
    <x v="2"/>
    <s v="Married"/>
    <n v="13549"/>
    <n v="9"/>
    <x v="1"/>
    <n v="12"/>
    <s v="Excellent"/>
    <s v="Low"/>
    <n v="5"/>
    <x v="0"/>
    <x v="1"/>
    <x v="3"/>
  </r>
  <r>
    <n v="128"/>
    <n v="24"/>
    <x v="1"/>
    <x v="0"/>
    <x v="0"/>
    <n v="3"/>
    <x v="0"/>
    <s v="Other"/>
    <s v="Low"/>
    <x v="0"/>
    <s v="High"/>
    <x v="0"/>
    <x v="2"/>
    <s v="Married"/>
    <n v="4999"/>
    <n v="0"/>
    <x v="1"/>
    <n v="21"/>
    <s v="Outstanding"/>
    <s v="Low"/>
    <n v="2"/>
    <x v="2"/>
    <x v="4"/>
    <x v="2"/>
  </r>
  <r>
    <n v="129"/>
    <n v="28"/>
    <x v="1"/>
    <x v="2"/>
    <x v="0"/>
    <n v="4"/>
    <x v="3"/>
    <s v="Medical"/>
    <s v="Medium"/>
    <x v="1"/>
    <s v="High"/>
    <x v="0"/>
    <x v="2"/>
    <s v="Married"/>
    <n v="4221"/>
    <n v="1"/>
    <x v="1"/>
    <n v="15"/>
    <s v="Excellent"/>
    <s v="Medium"/>
    <n v="3"/>
    <x v="3"/>
    <x v="2"/>
    <x v="2"/>
  </r>
  <r>
    <n v="131"/>
    <n v="58"/>
    <x v="1"/>
    <x v="0"/>
    <x v="0"/>
    <n v="10"/>
    <x v="2"/>
    <s v="Medical"/>
    <s v="Very high"/>
    <x v="1"/>
    <s v="High"/>
    <x v="0"/>
    <x v="2"/>
    <s v="Single"/>
    <n v="13872"/>
    <n v="0"/>
    <x v="1"/>
    <n v="13"/>
    <s v="Excellent"/>
    <s v="High"/>
    <n v="1"/>
    <x v="2"/>
    <x v="3"/>
    <x v="3"/>
  </r>
  <r>
    <n v="132"/>
    <n v="44"/>
    <x v="1"/>
    <x v="2"/>
    <x v="1"/>
    <n v="23"/>
    <x v="3"/>
    <s v="Medical"/>
    <s v="Medium"/>
    <x v="1"/>
    <s v="High"/>
    <x v="2"/>
    <x v="1"/>
    <s v="Married"/>
    <n v="2042"/>
    <n v="4"/>
    <x v="1"/>
    <n v="12"/>
    <s v="Excellent"/>
    <s v="High"/>
    <n v="3"/>
    <x v="3"/>
    <x v="0"/>
    <x v="1"/>
  </r>
  <r>
    <n v="133"/>
    <n v="37"/>
    <x v="0"/>
    <x v="0"/>
    <x v="2"/>
    <n v="6"/>
    <x v="2"/>
    <s v="Human Resources"/>
    <s v="High"/>
    <x v="1"/>
    <s v="High"/>
    <x v="8"/>
    <x v="3"/>
    <s v="Divorced"/>
    <n v="2073"/>
    <n v="4"/>
    <x v="0"/>
    <n v="22"/>
    <s v="Outstanding"/>
    <s v="Very high"/>
    <n v="3"/>
    <x v="1"/>
    <x v="0"/>
    <x v="1"/>
  </r>
  <r>
    <n v="134"/>
    <n v="32"/>
    <x v="1"/>
    <x v="0"/>
    <x v="1"/>
    <n v="1"/>
    <x v="1"/>
    <s v="Life Sciences"/>
    <s v="Very high"/>
    <x v="1"/>
    <s v="High"/>
    <x v="1"/>
    <x v="3"/>
    <s v="Single"/>
    <n v="2956"/>
    <n v="1"/>
    <x v="1"/>
    <n v="13"/>
    <s v="Excellent"/>
    <s v="Very high"/>
    <n v="2"/>
    <x v="1"/>
    <x v="2"/>
    <x v="1"/>
  </r>
  <r>
    <n v="137"/>
    <n v="20"/>
    <x v="0"/>
    <x v="1"/>
    <x v="1"/>
    <n v="6"/>
    <x v="3"/>
    <s v="Life Sciences"/>
    <s v="Very high"/>
    <x v="0"/>
    <s v="Medium"/>
    <x v="2"/>
    <x v="0"/>
    <s v="Single"/>
    <n v="2926"/>
    <n v="1"/>
    <x v="0"/>
    <n v="18"/>
    <s v="Excellent"/>
    <s v="Medium"/>
    <n v="5"/>
    <x v="1"/>
    <x v="4"/>
    <x v="1"/>
  </r>
  <r>
    <n v="138"/>
    <n v="34"/>
    <x v="1"/>
    <x v="0"/>
    <x v="1"/>
    <n v="6"/>
    <x v="2"/>
    <s v="Other"/>
    <s v="Low"/>
    <x v="0"/>
    <s v="High"/>
    <x v="1"/>
    <x v="2"/>
    <s v="Single"/>
    <n v="4809"/>
    <n v="1"/>
    <x v="1"/>
    <n v="14"/>
    <s v="Excellent"/>
    <s v="High"/>
    <n v="3"/>
    <x v="1"/>
    <x v="2"/>
    <x v="2"/>
  </r>
  <r>
    <n v="139"/>
    <n v="37"/>
    <x v="1"/>
    <x v="2"/>
    <x v="1"/>
    <n v="2"/>
    <x v="0"/>
    <s v="Life Sciences"/>
    <s v="High"/>
    <x v="1"/>
    <s v="Medium"/>
    <x v="4"/>
    <x v="0"/>
    <s v="Divorced"/>
    <n v="5163"/>
    <n v="5"/>
    <x v="1"/>
    <n v="14"/>
    <s v="Excellent"/>
    <s v="Very high"/>
    <n v="2"/>
    <x v="3"/>
    <x v="0"/>
    <x v="0"/>
  </r>
  <r>
    <n v="140"/>
    <n v="59"/>
    <x v="1"/>
    <x v="2"/>
    <x v="2"/>
    <n v="2"/>
    <x v="2"/>
    <s v="Human Resources"/>
    <s v="High"/>
    <x v="0"/>
    <s v="Medium"/>
    <x v="5"/>
    <x v="0"/>
    <s v="Married"/>
    <n v="18844"/>
    <n v="9"/>
    <x v="1"/>
    <n v="21"/>
    <s v="Outstanding"/>
    <s v="Very high"/>
    <n v="3"/>
    <x v="1"/>
    <x v="3"/>
    <x v="3"/>
  </r>
  <r>
    <n v="141"/>
    <n v="50"/>
    <x v="1"/>
    <x v="1"/>
    <x v="1"/>
    <n v="1"/>
    <x v="3"/>
    <s v="Life Sciences"/>
    <s v="Low"/>
    <x v="0"/>
    <s v="High"/>
    <x v="7"/>
    <x v="1"/>
    <s v="Married"/>
    <n v="18172"/>
    <n v="3"/>
    <x v="0"/>
    <n v="19"/>
    <s v="Excellent"/>
    <s v="Low"/>
    <n v="1"/>
    <x v="2"/>
    <x v="1"/>
    <x v="3"/>
  </r>
  <r>
    <n v="142"/>
    <n v="25"/>
    <x v="0"/>
    <x v="0"/>
    <x v="0"/>
    <n v="5"/>
    <x v="3"/>
    <s v="Marketing"/>
    <s v="High"/>
    <x v="1"/>
    <s v="Medium"/>
    <x v="0"/>
    <x v="2"/>
    <s v="Single"/>
    <n v="5744"/>
    <n v="1"/>
    <x v="0"/>
    <n v="11"/>
    <s v="Excellent"/>
    <s v="Very high"/>
    <n v="1"/>
    <x v="1"/>
    <x v="2"/>
    <x v="0"/>
  </r>
  <r>
    <n v="143"/>
    <n v="25"/>
    <x v="1"/>
    <x v="0"/>
    <x v="1"/>
    <n v="7"/>
    <x v="1"/>
    <s v="Medical"/>
    <s v="Very high"/>
    <x v="1"/>
    <s v="Medium"/>
    <x v="1"/>
    <x v="0"/>
    <s v="Married"/>
    <n v="2889"/>
    <n v="1"/>
    <x v="1"/>
    <n v="11"/>
    <s v="Excellent"/>
    <s v="High"/>
    <n v="2"/>
    <x v="1"/>
    <x v="2"/>
    <x v="1"/>
  </r>
  <r>
    <n v="144"/>
    <n v="22"/>
    <x v="1"/>
    <x v="0"/>
    <x v="1"/>
    <n v="15"/>
    <x v="3"/>
    <s v="Medical"/>
    <s v="Medium"/>
    <x v="0"/>
    <s v="High"/>
    <x v="2"/>
    <x v="0"/>
    <s v="Single"/>
    <n v="2871"/>
    <n v="1"/>
    <x v="1"/>
    <n v="15"/>
    <s v="Excellent"/>
    <s v="High"/>
    <n v="5"/>
    <x v="1"/>
    <x v="4"/>
    <x v="1"/>
  </r>
  <r>
    <n v="145"/>
    <n v="51"/>
    <x v="1"/>
    <x v="1"/>
    <x v="1"/>
    <n v="1"/>
    <x v="2"/>
    <s v="Medical"/>
    <s v="Low"/>
    <x v="0"/>
    <s v="Medium"/>
    <x v="4"/>
    <x v="3"/>
    <s v="Single"/>
    <n v="7484"/>
    <n v="3"/>
    <x v="1"/>
    <n v="20"/>
    <s v="Outstanding"/>
    <s v="High"/>
    <n v="1"/>
    <x v="2"/>
    <x v="1"/>
    <x v="0"/>
  </r>
  <r>
    <n v="147"/>
    <n v="34"/>
    <x v="0"/>
    <x v="1"/>
    <x v="1"/>
    <n v="7"/>
    <x v="3"/>
    <s v="Life Sciences"/>
    <s v="Low"/>
    <x v="1"/>
    <s v="Low"/>
    <x v="2"/>
    <x v="2"/>
    <s v="Single"/>
    <n v="6074"/>
    <n v="1"/>
    <x v="0"/>
    <n v="24"/>
    <s v="Outstanding"/>
    <s v="Very high"/>
    <n v="3"/>
    <x v="1"/>
    <x v="2"/>
    <x v="0"/>
  </r>
  <r>
    <n v="148"/>
    <n v="54"/>
    <x v="1"/>
    <x v="2"/>
    <x v="2"/>
    <n v="26"/>
    <x v="3"/>
    <s v="Human Resources"/>
    <s v="Very high"/>
    <x v="0"/>
    <s v="Very high"/>
    <x v="5"/>
    <x v="0"/>
    <s v="Single"/>
    <n v="17328"/>
    <n v="2"/>
    <x v="0"/>
    <n v="12"/>
    <s v="Excellent"/>
    <s v="High"/>
    <n v="3"/>
    <x v="1"/>
    <x v="1"/>
    <x v="3"/>
  </r>
  <r>
    <n v="150"/>
    <n v="24"/>
    <x v="1"/>
    <x v="0"/>
    <x v="1"/>
    <n v="18"/>
    <x v="1"/>
    <s v="Life Sciences"/>
    <s v="Medium"/>
    <x v="1"/>
    <s v="High"/>
    <x v="2"/>
    <x v="2"/>
    <s v="Married"/>
    <n v="2774"/>
    <n v="0"/>
    <x v="1"/>
    <n v="12"/>
    <s v="Excellent"/>
    <s v="High"/>
    <n v="2"/>
    <x v="1"/>
    <x v="4"/>
    <x v="1"/>
  </r>
  <r>
    <n v="151"/>
    <n v="34"/>
    <x v="1"/>
    <x v="0"/>
    <x v="1"/>
    <n v="6"/>
    <x v="2"/>
    <s v="Life Sciences"/>
    <s v="High"/>
    <x v="0"/>
    <s v="Medium"/>
    <x v="1"/>
    <x v="1"/>
    <s v="Divorced"/>
    <n v="4505"/>
    <n v="6"/>
    <x v="1"/>
    <n v="15"/>
    <s v="Excellent"/>
    <s v="High"/>
    <n v="3"/>
    <x v="1"/>
    <x v="2"/>
    <x v="2"/>
  </r>
  <r>
    <n v="152"/>
    <n v="37"/>
    <x v="1"/>
    <x v="0"/>
    <x v="0"/>
    <n v="3"/>
    <x v="3"/>
    <s v="Life Sciences"/>
    <s v="High"/>
    <x v="1"/>
    <s v="High"/>
    <x v="0"/>
    <x v="0"/>
    <s v="Single"/>
    <n v="7428"/>
    <n v="2"/>
    <x v="1"/>
    <n v="12"/>
    <s v="Excellent"/>
    <s v="Low"/>
    <n v="3"/>
    <x v="1"/>
    <x v="0"/>
    <x v="0"/>
  </r>
  <r>
    <n v="153"/>
    <n v="34"/>
    <x v="1"/>
    <x v="0"/>
    <x v="1"/>
    <n v="5"/>
    <x v="3"/>
    <s v="Medical"/>
    <s v="High"/>
    <x v="0"/>
    <s v="Medium"/>
    <x v="5"/>
    <x v="3"/>
    <s v="Single"/>
    <n v="11631"/>
    <n v="2"/>
    <x v="1"/>
    <n v="12"/>
    <s v="Excellent"/>
    <s v="Very high"/>
    <n v="6"/>
    <x v="1"/>
    <x v="2"/>
    <x v="3"/>
  </r>
  <r>
    <n v="154"/>
    <n v="36"/>
    <x v="1"/>
    <x v="1"/>
    <x v="0"/>
    <n v="11"/>
    <x v="0"/>
    <s v="Technical Degree"/>
    <s v="Medium"/>
    <x v="0"/>
    <s v="High"/>
    <x v="0"/>
    <x v="0"/>
    <s v="Married"/>
    <n v="9738"/>
    <n v="0"/>
    <x v="1"/>
    <n v="14"/>
    <s v="Excellent"/>
    <s v="High"/>
    <n v="6"/>
    <x v="1"/>
    <x v="0"/>
    <x v="3"/>
  </r>
  <r>
    <n v="155"/>
    <n v="36"/>
    <x v="1"/>
    <x v="0"/>
    <x v="1"/>
    <n v="3"/>
    <x v="0"/>
    <s v="Life Sciences"/>
    <s v="Low"/>
    <x v="0"/>
    <s v="High"/>
    <x v="2"/>
    <x v="0"/>
    <s v="Divorced"/>
    <n v="2835"/>
    <n v="5"/>
    <x v="1"/>
    <n v="22"/>
    <s v="Outstanding"/>
    <s v="Low"/>
    <n v="2"/>
    <x v="1"/>
    <x v="0"/>
    <x v="1"/>
  </r>
  <r>
    <n v="158"/>
    <n v="43"/>
    <x v="1"/>
    <x v="1"/>
    <x v="0"/>
    <n v="26"/>
    <x v="0"/>
    <s v="Life Sciences"/>
    <s v="High"/>
    <x v="1"/>
    <s v="High"/>
    <x v="5"/>
    <x v="0"/>
    <s v="Married"/>
    <n v="16959"/>
    <n v="1"/>
    <x v="0"/>
    <n v="12"/>
    <s v="Excellent"/>
    <s v="Very high"/>
    <n v="3"/>
    <x v="3"/>
    <x v="0"/>
    <x v="3"/>
  </r>
  <r>
    <n v="159"/>
    <n v="30"/>
    <x v="1"/>
    <x v="1"/>
    <x v="1"/>
    <n v="23"/>
    <x v="3"/>
    <s v="Life Sciences"/>
    <s v="Low"/>
    <x v="1"/>
    <s v="Low"/>
    <x v="1"/>
    <x v="2"/>
    <s v="Divorced"/>
    <n v="2613"/>
    <n v="1"/>
    <x v="1"/>
    <n v="25"/>
    <s v="Outstanding"/>
    <s v="High"/>
    <n v="2"/>
    <x v="2"/>
    <x v="2"/>
    <x v="1"/>
  </r>
  <r>
    <n v="160"/>
    <n v="33"/>
    <x v="1"/>
    <x v="2"/>
    <x v="0"/>
    <n v="22"/>
    <x v="0"/>
    <s v="Marketing"/>
    <s v="High"/>
    <x v="1"/>
    <s v="High"/>
    <x v="0"/>
    <x v="1"/>
    <s v="Married"/>
    <n v="6146"/>
    <n v="0"/>
    <x v="1"/>
    <n v="13"/>
    <s v="Excellent"/>
    <s v="Low"/>
    <n v="2"/>
    <x v="3"/>
    <x v="2"/>
    <x v="0"/>
  </r>
  <r>
    <n v="161"/>
    <n v="56"/>
    <x v="0"/>
    <x v="0"/>
    <x v="1"/>
    <n v="14"/>
    <x v="2"/>
    <s v="Life Sciences"/>
    <s v="Medium"/>
    <x v="0"/>
    <s v="High"/>
    <x v="1"/>
    <x v="1"/>
    <s v="Married"/>
    <n v="4963"/>
    <n v="9"/>
    <x v="0"/>
    <n v="18"/>
    <s v="Excellent"/>
    <s v="Low"/>
    <n v="2"/>
    <x v="1"/>
    <x v="3"/>
    <x v="2"/>
  </r>
  <r>
    <n v="162"/>
    <n v="51"/>
    <x v="1"/>
    <x v="0"/>
    <x v="1"/>
    <n v="6"/>
    <x v="3"/>
    <s v="Life Sciences"/>
    <s v="Low"/>
    <x v="1"/>
    <s v="High"/>
    <x v="7"/>
    <x v="2"/>
    <s v="Single"/>
    <n v="19537"/>
    <n v="7"/>
    <x v="1"/>
    <n v="13"/>
    <s v="Excellent"/>
    <s v="High"/>
    <n v="5"/>
    <x v="1"/>
    <x v="1"/>
    <x v="3"/>
  </r>
  <r>
    <n v="163"/>
    <n v="31"/>
    <x v="0"/>
    <x v="0"/>
    <x v="0"/>
    <n v="6"/>
    <x v="2"/>
    <s v="Life Sciences"/>
    <s v="Medium"/>
    <x v="1"/>
    <s v="Low"/>
    <x v="0"/>
    <x v="2"/>
    <s v="Married"/>
    <n v="6172"/>
    <n v="4"/>
    <x v="0"/>
    <n v="18"/>
    <s v="Excellent"/>
    <s v="Medium"/>
    <n v="3"/>
    <x v="2"/>
    <x v="2"/>
    <x v="0"/>
  </r>
  <r>
    <n v="164"/>
    <n v="26"/>
    <x v="1"/>
    <x v="0"/>
    <x v="1"/>
    <n v="6"/>
    <x v="3"/>
    <s v="Other"/>
    <s v="High"/>
    <x v="0"/>
    <s v="Medium"/>
    <x v="1"/>
    <x v="1"/>
    <s v="Married"/>
    <n v="2368"/>
    <n v="1"/>
    <x v="1"/>
    <n v="19"/>
    <s v="Excellent"/>
    <s v="High"/>
    <n v="3"/>
    <x v="2"/>
    <x v="2"/>
    <x v="1"/>
  </r>
  <r>
    <n v="165"/>
    <n v="58"/>
    <x v="0"/>
    <x v="0"/>
    <x v="1"/>
    <n v="23"/>
    <x v="2"/>
    <s v="Medical"/>
    <s v="Very high"/>
    <x v="0"/>
    <s v="High"/>
    <x v="4"/>
    <x v="0"/>
    <s v="Married"/>
    <n v="10312"/>
    <n v="1"/>
    <x v="1"/>
    <n v="12"/>
    <s v="Excellent"/>
    <s v="Very high"/>
    <n v="3"/>
    <x v="2"/>
    <x v="3"/>
    <x v="3"/>
  </r>
  <r>
    <n v="167"/>
    <n v="19"/>
    <x v="0"/>
    <x v="0"/>
    <x v="0"/>
    <n v="22"/>
    <x v="1"/>
    <s v="Marketing"/>
    <s v="Very high"/>
    <x v="1"/>
    <s v="High"/>
    <x v="6"/>
    <x v="2"/>
    <s v="Single"/>
    <n v="1675"/>
    <n v="1"/>
    <x v="0"/>
    <n v="19"/>
    <s v="Excellent"/>
    <s v="Very high"/>
    <n v="2"/>
    <x v="2"/>
    <x v="4"/>
    <x v="1"/>
  </r>
  <r>
    <n v="169"/>
    <n v="22"/>
    <x v="1"/>
    <x v="0"/>
    <x v="1"/>
    <n v="2"/>
    <x v="1"/>
    <s v="Technical Degree"/>
    <s v="High"/>
    <x v="1"/>
    <s v="High"/>
    <x v="2"/>
    <x v="0"/>
    <s v="Married"/>
    <n v="2523"/>
    <n v="0"/>
    <x v="1"/>
    <n v="14"/>
    <s v="Excellent"/>
    <s v="High"/>
    <n v="2"/>
    <x v="1"/>
    <x v="4"/>
    <x v="1"/>
  </r>
  <r>
    <n v="170"/>
    <n v="49"/>
    <x v="1"/>
    <x v="0"/>
    <x v="1"/>
    <n v="20"/>
    <x v="2"/>
    <s v="Medical"/>
    <s v="High"/>
    <x v="0"/>
    <s v="High"/>
    <x v="3"/>
    <x v="3"/>
    <s v="Married"/>
    <n v="6567"/>
    <n v="1"/>
    <x v="1"/>
    <n v="14"/>
    <s v="Excellent"/>
    <s v="High"/>
    <n v="2"/>
    <x v="2"/>
    <x v="1"/>
    <x v="0"/>
  </r>
  <r>
    <n v="171"/>
    <n v="43"/>
    <x v="1"/>
    <x v="1"/>
    <x v="1"/>
    <n v="28"/>
    <x v="3"/>
    <s v="Medical"/>
    <s v="Medium"/>
    <x v="0"/>
    <s v="Very high"/>
    <x v="1"/>
    <x v="2"/>
    <s v="Single"/>
    <n v="4739"/>
    <n v="4"/>
    <x v="1"/>
    <n v="12"/>
    <s v="Excellent"/>
    <s v="Very high"/>
    <n v="2"/>
    <x v="1"/>
    <x v="0"/>
    <x v="2"/>
  </r>
  <r>
    <n v="174"/>
    <n v="50"/>
    <x v="1"/>
    <x v="1"/>
    <x v="0"/>
    <n v="12"/>
    <x v="3"/>
    <s v="Marketing"/>
    <s v="High"/>
    <x v="0"/>
    <s v="High"/>
    <x v="0"/>
    <x v="0"/>
    <s v="Single"/>
    <n v="9208"/>
    <n v="4"/>
    <x v="1"/>
    <n v="11"/>
    <s v="Excellent"/>
    <s v="Very high"/>
    <n v="3"/>
    <x v="1"/>
    <x v="1"/>
    <x v="3"/>
  </r>
  <r>
    <n v="175"/>
    <n v="31"/>
    <x v="0"/>
    <x v="0"/>
    <x v="0"/>
    <n v="20"/>
    <x v="3"/>
    <s v="Life Sciences"/>
    <s v="Medium"/>
    <x v="0"/>
    <s v="Low"/>
    <x v="0"/>
    <x v="2"/>
    <s v="Married"/>
    <n v="4559"/>
    <n v="3"/>
    <x v="0"/>
    <n v="11"/>
    <s v="Excellent"/>
    <s v="High"/>
    <n v="2"/>
    <x v="1"/>
    <x v="2"/>
    <x v="2"/>
  </r>
  <r>
    <n v="176"/>
    <n v="41"/>
    <x v="1"/>
    <x v="0"/>
    <x v="0"/>
    <n v="9"/>
    <x v="1"/>
    <s v="Life Sciences"/>
    <s v="High"/>
    <x v="1"/>
    <s v="High"/>
    <x v="0"/>
    <x v="2"/>
    <s v="Divorced"/>
    <n v="8189"/>
    <n v="3"/>
    <x v="0"/>
    <n v="13"/>
    <s v="Excellent"/>
    <s v="High"/>
    <n v="2"/>
    <x v="1"/>
    <x v="0"/>
    <x v="3"/>
  </r>
  <r>
    <n v="177"/>
    <n v="26"/>
    <x v="1"/>
    <x v="0"/>
    <x v="2"/>
    <n v="25"/>
    <x v="1"/>
    <s v="Life Sciences"/>
    <s v="High"/>
    <x v="0"/>
    <s v="High"/>
    <x v="8"/>
    <x v="2"/>
    <s v="Married"/>
    <n v="2942"/>
    <n v="1"/>
    <x v="1"/>
    <n v="23"/>
    <s v="Outstanding"/>
    <s v="Very high"/>
    <n v="3"/>
    <x v="1"/>
    <x v="2"/>
    <x v="1"/>
  </r>
  <r>
    <n v="178"/>
    <n v="36"/>
    <x v="1"/>
    <x v="0"/>
    <x v="1"/>
    <n v="6"/>
    <x v="0"/>
    <s v="Medical"/>
    <s v="Medium"/>
    <x v="1"/>
    <s v="High"/>
    <x v="3"/>
    <x v="1"/>
    <s v="Divorced"/>
    <n v="4941"/>
    <n v="6"/>
    <x v="1"/>
    <n v="20"/>
    <s v="Outstanding"/>
    <s v="Very high"/>
    <n v="0"/>
    <x v="1"/>
    <x v="0"/>
    <x v="2"/>
  </r>
  <r>
    <n v="179"/>
    <n v="51"/>
    <x v="0"/>
    <x v="1"/>
    <x v="1"/>
    <n v="8"/>
    <x v="2"/>
    <s v="Life Sciences"/>
    <s v="Low"/>
    <x v="1"/>
    <s v="Low"/>
    <x v="3"/>
    <x v="0"/>
    <s v="Single"/>
    <n v="10650"/>
    <n v="2"/>
    <x v="1"/>
    <n v="15"/>
    <s v="Excellent"/>
    <s v="Very high"/>
    <n v="2"/>
    <x v="1"/>
    <x v="1"/>
    <x v="3"/>
  </r>
  <r>
    <n v="182"/>
    <n v="39"/>
    <x v="1"/>
    <x v="0"/>
    <x v="0"/>
    <n v="4"/>
    <x v="2"/>
    <s v="Life Sciences"/>
    <s v="Very high"/>
    <x v="0"/>
    <s v="Medium"/>
    <x v="0"/>
    <x v="2"/>
    <s v="Married"/>
    <n v="5902"/>
    <n v="4"/>
    <x v="1"/>
    <n v="14"/>
    <s v="Excellent"/>
    <s v="High"/>
    <n v="1"/>
    <x v="3"/>
    <x v="0"/>
    <x v="0"/>
  </r>
  <r>
    <n v="183"/>
    <n v="25"/>
    <x v="1"/>
    <x v="0"/>
    <x v="0"/>
    <n v="28"/>
    <x v="3"/>
    <s v="Life Sciences"/>
    <s v="Low"/>
    <x v="1"/>
    <s v="Medium"/>
    <x v="0"/>
    <x v="2"/>
    <s v="Married"/>
    <n v="8639"/>
    <n v="2"/>
    <x v="1"/>
    <n v="18"/>
    <s v="Excellent"/>
    <s v="Very high"/>
    <n v="3"/>
    <x v="1"/>
    <x v="2"/>
    <x v="3"/>
  </r>
  <r>
    <n v="184"/>
    <n v="30"/>
    <x v="1"/>
    <x v="0"/>
    <x v="2"/>
    <n v="9"/>
    <x v="3"/>
    <s v="Human Resources"/>
    <s v="High"/>
    <x v="1"/>
    <s v="High"/>
    <x v="8"/>
    <x v="0"/>
    <s v="Married"/>
    <n v="6347"/>
    <n v="0"/>
    <x v="0"/>
    <n v="19"/>
    <s v="Excellent"/>
    <s v="Very high"/>
    <n v="2"/>
    <x v="0"/>
    <x v="2"/>
    <x v="0"/>
  </r>
  <r>
    <n v="190"/>
    <n v="32"/>
    <x v="0"/>
    <x v="0"/>
    <x v="1"/>
    <n v="9"/>
    <x v="3"/>
    <s v="Medical"/>
    <s v="Low"/>
    <x v="0"/>
    <s v="High"/>
    <x v="2"/>
    <x v="3"/>
    <s v="Single"/>
    <n v="4200"/>
    <n v="7"/>
    <x v="1"/>
    <n v="22"/>
    <s v="Outstanding"/>
    <s v="Low"/>
    <n v="2"/>
    <x v="3"/>
    <x v="2"/>
    <x v="2"/>
  </r>
  <r>
    <n v="192"/>
    <n v="45"/>
    <x v="1"/>
    <x v="0"/>
    <x v="1"/>
    <n v="29"/>
    <x v="3"/>
    <s v="Medical"/>
    <s v="High"/>
    <x v="1"/>
    <s v="High"/>
    <x v="1"/>
    <x v="0"/>
    <s v="Single"/>
    <n v="3452"/>
    <n v="5"/>
    <x v="1"/>
    <n v="13"/>
    <s v="Excellent"/>
    <s v="Medium"/>
    <n v="2"/>
    <x v="2"/>
    <x v="1"/>
    <x v="2"/>
  </r>
  <r>
    <n v="193"/>
    <n v="38"/>
    <x v="1"/>
    <x v="0"/>
    <x v="1"/>
    <n v="3"/>
    <x v="4"/>
    <s v="Technical Degree"/>
    <s v="Very high"/>
    <x v="0"/>
    <s v="High"/>
    <x v="1"/>
    <x v="2"/>
    <s v="Single"/>
    <n v="4317"/>
    <n v="3"/>
    <x v="0"/>
    <n v="20"/>
    <s v="Outstanding"/>
    <s v="Medium"/>
    <n v="2"/>
    <x v="1"/>
    <x v="0"/>
    <x v="2"/>
  </r>
  <r>
    <n v="194"/>
    <n v="30"/>
    <x v="1"/>
    <x v="0"/>
    <x v="1"/>
    <n v="18"/>
    <x v="3"/>
    <s v="Life Sciences"/>
    <s v="Low"/>
    <x v="0"/>
    <s v="High"/>
    <x v="1"/>
    <x v="2"/>
    <s v="Single"/>
    <n v="2632"/>
    <n v="1"/>
    <x v="1"/>
    <n v="14"/>
    <s v="Excellent"/>
    <s v="High"/>
    <n v="4"/>
    <x v="2"/>
    <x v="2"/>
    <x v="1"/>
  </r>
  <r>
    <n v="195"/>
    <n v="32"/>
    <x v="1"/>
    <x v="1"/>
    <x v="0"/>
    <n v="9"/>
    <x v="0"/>
    <s v="Medical"/>
    <s v="Very high"/>
    <x v="1"/>
    <s v="Low"/>
    <x v="0"/>
    <x v="0"/>
    <s v="Divorced"/>
    <n v="4668"/>
    <n v="0"/>
    <x v="1"/>
    <n v="17"/>
    <s v="Excellent"/>
    <s v="Very high"/>
    <n v="2"/>
    <x v="3"/>
    <x v="2"/>
    <x v="2"/>
  </r>
  <r>
    <n v="197"/>
    <n v="30"/>
    <x v="1"/>
    <x v="0"/>
    <x v="1"/>
    <n v="5"/>
    <x v="3"/>
    <s v="Technical Degree"/>
    <s v="Very high"/>
    <x v="0"/>
    <s v="High"/>
    <x v="1"/>
    <x v="3"/>
    <s v="Divorced"/>
    <n v="3204"/>
    <n v="5"/>
    <x v="1"/>
    <n v="14"/>
    <s v="Excellent"/>
    <s v="Very high"/>
    <n v="3"/>
    <x v="1"/>
    <x v="2"/>
    <x v="2"/>
  </r>
  <r>
    <n v="198"/>
    <n v="30"/>
    <x v="1"/>
    <x v="0"/>
    <x v="1"/>
    <n v="2"/>
    <x v="1"/>
    <s v="Medical"/>
    <s v="Medium"/>
    <x v="1"/>
    <s v="Medium"/>
    <x v="2"/>
    <x v="0"/>
    <s v="Single"/>
    <n v="2720"/>
    <n v="0"/>
    <x v="1"/>
    <n v="13"/>
    <s v="Excellent"/>
    <s v="Very high"/>
    <n v="3"/>
    <x v="1"/>
    <x v="2"/>
    <x v="1"/>
  </r>
  <r>
    <n v="199"/>
    <n v="41"/>
    <x v="1"/>
    <x v="1"/>
    <x v="1"/>
    <n v="10"/>
    <x v="3"/>
    <s v="Life Sciences"/>
    <s v="Very high"/>
    <x v="1"/>
    <s v="Medium"/>
    <x v="5"/>
    <x v="3"/>
    <s v="Divorced"/>
    <n v="17181"/>
    <n v="4"/>
    <x v="1"/>
    <n v="13"/>
    <s v="Excellent"/>
    <s v="Medium"/>
    <n v="2"/>
    <x v="2"/>
    <x v="0"/>
    <x v="3"/>
  </r>
  <r>
    <n v="200"/>
    <n v="41"/>
    <x v="1"/>
    <x v="0"/>
    <x v="1"/>
    <n v="9"/>
    <x v="2"/>
    <s v="Life Sciences"/>
    <s v="High"/>
    <x v="1"/>
    <s v="High"/>
    <x v="2"/>
    <x v="3"/>
    <s v="Married"/>
    <n v="2238"/>
    <n v="2"/>
    <x v="1"/>
    <n v="21"/>
    <s v="Outstanding"/>
    <s v="Very high"/>
    <n v="2"/>
    <x v="1"/>
    <x v="0"/>
    <x v="1"/>
  </r>
  <r>
    <n v="201"/>
    <n v="19"/>
    <x v="1"/>
    <x v="0"/>
    <x v="1"/>
    <n v="3"/>
    <x v="1"/>
    <s v="Medical"/>
    <s v="Medium"/>
    <x v="0"/>
    <s v="High"/>
    <x v="2"/>
    <x v="1"/>
    <s v="Single"/>
    <n v="1483"/>
    <n v="1"/>
    <x v="1"/>
    <n v="14"/>
    <s v="Excellent"/>
    <s v="Very high"/>
    <n v="3"/>
    <x v="1"/>
    <x v="4"/>
    <x v="1"/>
  </r>
  <r>
    <n v="202"/>
    <n v="40"/>
    <x v="1"/>
    <x v="1"/>
    <x v="1"/>
    <n v="26"/>
    <x v="3"/>
    <s v="Medical"/>
    <s v="Medium"/>
    <x v="0"/>
    <s v="High"/>
    <x v="1"/>
    <x v="1"/>
    <s v="Divorced"/>
    <n v="5605"/>
    <n v="1"/>
    <x v="1"/>
    <n v="11"/>
    <s v="Excellent"/>
    <s v="Low"/>
    <n v="2"/>
    <x v="1"/>
    <x v="0"/>
    <x v="0"/>
  </r>
  <r>
    <n v="204"/>
    <n v="35"/>
    <x v="1"/>
    <x v="0"/>
    <x v="0"/>
    <n v="1"/>
    <x v="4"/>
    <s v="Marketing"/>
    <s v="High"/>
    <x v="1"/>
    <s v="High"/>
    <x v="0"/>
    <x v="1"/>
    <s v="Married"/>
    <n v="7295"/>
    <n v="1"/>
    <x v="1"/>
    <n v="13"/>
    <s v="Excellent"/>
    <s v="Low"/>
    <n v="3"/>
    <x v="1"/>
    <x v="0"/>
    <x v="0"/>
  </r>
  <r>
    <n v="205"/>
    <n v="53"/>
    <x v="1"/>
    <x v="0"/>
    <x v="0"/>
    <n v="6"/>
    <x v="0"/>
    <s v="Marketing"/>
    <s v="Medium"/>
    <x v="1"/>
    <s v="High"/>
    <x v="6"/>
    <x v="2"/>
    <s v="Married"/>
    <n v="2306"/>
    <n v="2"/>
    <x v="0"/>
    <n v="20"/>
    <s v="Outstanding"/>
    <s v="Very high"/>
    <n v="3"/>
    <x v="0"/>
    <x v="1"/>
    <x v="1"/>
  </r>
  <r>
    <n v="206"/>
    <n v="45"/>
    <x v="1"/>
    <x v="0"/>
    <x v="1"/>
    <n v="9"/>
    <x v="3"/>
    <s v="Life Sciences"/>
    <s v="Medium"/>
    <x v="1"/>
    <s v="High"/>
    <x v="2"/>
    <x v="1"/>
    <s v="Divorced"/>
    <n v="2348"/>
    <n v="8"/>
    <x v="1"/>
    <n v="18"/>
    <s v="Excellent"/>
    <s v="High"/>
    <n v="2"/>
    <x v="0"/>
    <x v="1"/>
    <x v="1"/>
  </r>
  <r>
    <n v="207"/>
    <n v="32"/>
    <x v="1"/>
    <x v="1"/>
    <x v="0"/>
    <n v="8"/>
    <x v="3"/>
    <s v="Marketing"/>
    <s v="Medium"/>
    <x v="0"/>
    <s v="High"/>
    <x v="0"/>
    <x v="0"/>
    <s v="Single"/>
    <n v="8998"/>
    <n v="1"/>
    <x v="1"/>
    <n v="14"/>
    <s v="Excellent"/>
    <s v="Very high"/>
    <n v="2"/>
    <x v="1"/>
    <x v="2"/>
    <x v="3"/>
  </r>
  <r>
    <n v="208"/>
    <n v="29"/>
    <x v="1"/>
    <x v="2"/>
    <x v="1"/>
    <n v="1"/>
    <x v="1"/>
    <s v="Technical Degree"/>
    <s v="Very high"/>
    <x v="1"/>
    <s v="High"/>
    <x v="3"/>
    <x v="2"/>
    <s v="Married"/>
    <n v="4319"/>
    <n v="1"/>
    <x v="1"/>
    <n v="13"/>
    <s v="Excellent"/>
    <s v="Low"/>
    <n v="1"/>
    <x v="1"/>
    <x v="2"/>
    <x v="2"/>
  </r>
  <r>
    <n v="211"/>
    <n v="51"/>
    <x v="1"/>
    <x v="0"/>
    <x v="1"/>
    <n v="7"/>
    <x v="2"/>
    <s v="Medical"/>
    <s v="Medium"/>
    <x v="1"/>
    <s v="Medium"/>
    <x v="3"/>
    <x v="2"/>
    <s v="Married"/>
    <n v="6132"/>
    <n v="2"/>
    <x v="1"/>
    <n v="17"/>
    <s v="Excellent"/>
    <s v="High"/>
    <n v="2"/>
    <x v="1"/>
    <x v="1"/>
    <x v="0"/>
  </r>
  <r>
    <n v="214"/>
    <n v="58"/>
    <x v="1"/>
    <x v="0"/>
    <x v="1"/>
    <n v="9"/>
    <x v="3"/>
    <s v="Medical"/>
    <s v="Medium"/>
    <x v="0"/>
    <s v="Medium"/>
    <x v="1"/>
    <x v="1"/>
    <s v="Married"/>
    <n v="3346"/>
    <n v="4"/>
    <x v="0"/>
    <n v="20"/>
    <s v="Outstanding"/>
    <s v="Medium"/>
    <n v="3"/>
    <x v="2"/>
    <x v="3"/>
    <x v="2"/>
  </r>
  <r>
    <n v="215"/>
    <n v="40"/>
    <x v="1"/>
    <x v="0"/>
    <x v="0"/>
    <n v="4"/>
    <x v="2"/>
    <s v="Marketing"/>
    <s v="High"/>
    <x v="1"/>
    <s v="Medium"/>
    <x v="0"/>
    <x v="0"/>
    <s v="Married"/>
    <n v="10855"/>
    <n v="7"/>
    <x v="1"/>
    <n v="11"/>
    <s v="Excellent"/>
    <s v="Low"/>
    <n v="2"/>
    <x v="2"/>
    <x v="0"/>
    <x v="3"/>
  </r>
  <r>
    <n v="216"/>
    <n v="34"/>
    <x v="1"/>
    <x v="1"/>
    <x v="0"/>
    <n v="2"/>
    <x v="2"/>
    <s v="Marketing"/>
    <s v="High"/>
    <x v="0"/>
    <s v="High"/>
    <x v="6"/>
    <x v="2"/>
    <s v="Married"/>
    <n v="2231"/>
    <n v="6"/>
    <x v="1"/>
    <n v="18"/>
    <s v="Excellent"/>
    <s v="Very high"/>
    <n v="3"/>
    <x v="1"/>
    <x v="2"/>
    <x v="1"/>
  </r>
  <r>
    <n v="217"/>
    <n v="22"/>
    <x v="1"/>
    <x v="0"/>
    <x v="1"/>
    <n v="19"/>
    <x v="1"/>
    <s v="Medical"/>
    <s v="High"/>
    <x v="1"/>
    <s v="High"/>
    <x v="1"/>
    <x v="0"/>
    <s v="Married"/>
    <n v="2323"/>
    <n v="1"/>
    <x v="1"/>
    <n v="24"/>
    <s v="Outstanding"/>
    <s v="Low"/>
    <n v="6"/>
    <x v="1"/>
    <x v="4"/>
    <x v="1"/>
  </r>
  <r>
    <n v="218"/>
    <n v="27"/>
    <x v="1"/>
    <x v="2"/>
    <x v="1"/>
    <n v="9"/>
    <x v="3"/>
    <s v="Medical"/>
    <s v="Very high"/>
    <x v="1"/>
    <s v="High"/>
    <x v="1"/>
    <x v="1"/>
    <s v="Divorced"/>
    <n v="2024"/>
    <n v="6"/>
    <x v="1"/>
    <n v="18"/>
    <s v="Excellent"/>
    <s v="Very high"/>
    <n v="1"/>
    <x v="0"/>
    <x v="2"/>
    <x v="1"/>
  </r>
  <r>
    <n v="221"/>
    <n v="28"/>
    <x v="1"/>
    <x v="0"/>
    <x v="1"/>
    <n v="21"/>
    <x v="3"/>
    <s v="Medical"/>
    <s v="High"/>
    <x v="1"/>
    <s v="High"/>
    <x v="1"/>
    <x v="0"/>
    <s v="Married"/>
    <n v="2713"/>
    <n v="1"/>
    <x v="1"/>
    <n v="11"/>
    <s v="Excellent"/>
    <s v="High"/>
    <n v="2"/>
    <x v="0"/>
    <x v="2"/>
    <x v="1"/>
  </r>
  <r>
    <n v="223"/>
    <n v="57"/>
    <x v="1"/>
    <x v="0"/>
    <x v="1"/>
    <n v="24"/>
    <x v="0"/>
    <s v="Life Sciences"/>
    <s v="High"/>
    <x v="1"/>
    <s v="Very high"/>
    <x v="4"/>
    <x v="0"/>
    <s v="Divorced"/>
    <n v="9439"/>
    <n v="3"/>
    <x v="0"/>
    <n v="16"/>
    <s v="Excellent"/>
    <s v="Medium"/>
    <n v="2"/>
    <x v="0"/>
    <x v="3"/>
    <x v="3"/>
  </r>
  <r>
    <n v="224"/>
    <n v="27"/>
    <x v="1"/>
    <x v="2"/>
    <x v="1"/>
    <n v="3"/>
    <x v="3"/>
    <s v="Medical"/>
    <s v="High"/>
    <x v="1"/>
    <s v="Medium"/>
    <x v="1"/>
    <x v="2"/>
    <s v="Divorced"/>
    <n v="2566"/>
    <n v="1"/>
    <x v="0"/>
    <n v="15"/>
    <s v="Excellent"/>
    <s v="Very high"/>
    <n v="2"/>
    <x v="2"/>
    <x v="2"/>
    <x v="1"/>
  </r>
  <r>
    <n v="226"/>
    <n v="50"/>
    <x v="1"/>
    <x v="0"/>
    <x v="1"/>
    <n v="11"/>
    <x v="3"/>
    <s v="Life Sciences"/>
    <s v="High"/>
    <x v="0"/>
    <s v="High"/>
    <x v="5"/>
    <x v="1"/>
    <s v="Single"/>
    <n v="19926"/>
    <n v="3"/>
    <x v="1"/>
    <n v="15"/>
    <s v="Excellent"/>
    <s v="Medium"/>
    <n v="5"/>
    <x v="1"/>
    <x v="1"/>
    <x v="3"/>
  </r>
  <r>
    <n v="227"/>
    <n v="41"/>
    <x v="1"/>
    <x v="0"/>
    <x v="1"/>
    <n v="14"/>
    <x v="3"/>
    <s v="Life Sciences"/>
    <s v="Low"/>
    <x v="1"/>
    <s v="High"/>
    <x v="1"/>
    <x v="2"/>
    <s v="Divorced"/>
    <n v="2451"/>
    <n v="4"/>
    <x v="1"/>
    <n v="12"/>
    <s v="Excellent"/>
    <s v="Low"/>
    <n v="2"/>
    <x v="1"/>
    <x v="0"/>
    <x v="1"/>
  </r>
  <r>
    <n v="228"/>
    <n v="30"/>
    <x v="1"/>
    <x v="0"/>
    <x v="0"/>
    <n v="5"/>
    <x v="3"/>
    <s v="Life Sciences"/>
    <s v="Medium"/>
    <x v="0"/>
    <s v="High"/>
    <x v="0"/>
    <x v="0"/>
    <s v="Married"/>
    <n v="9419"/>
    <n v="2"/>
    <x v="1"/>
    <n v="12"/>
    <s v="Excellent"/>
    <s v="High"/>
    <n v="2"/>
    <x v="1"/>
    <x v="2"/>
    <x v="3"/>
  </r>
  <r>
    <n v="230"/>
    <n v="38"/>
    <x v="1"/>
    <x v="0"/>
    <x v="0"/>
    <n v="1"/>
    <x v="2"/>
    <s v="Life Sciences"/>
    <s v="Low"/>
    <x v="0"/>
    <s v="Medium"/>
    <x v="0"/>
    <x v="0"/>
    <s v="Single"/>
    <n v="8686"/>
    <n v="4"/>
    <x v="1"/>
    <n v="22"/>
    <s v="Outstanding"/>
    <s v="High"/>
    <n v="2"/>
    <x v="3"/>
    <x v="0"/>
    <x v="3"/>
  </r>
  <r>
    <n v="231"/>
    <n v="32"/>
    <x v="1"/>
    <x v="0"/>
    <x v="1"/>
    <n v="6"/>
    <x v="4"/>
    <s v="Life Sciences"/>
    <s v="High"/>
    <x v="1"/>
    <s v="High"/>
    <x v="1"/>
    <x v="2"/>
    <s v="Single"/>
    <n v="3038"/>
    <n v="3"/>
    <x v="1"/>
    <n v="20"/>
    <s v="Outstanding"/>
    <s v="Low"/>
    <n v="2"/>
    <x v="1"/>
    <x v="2"/>
    <x v="2"/>
  </r>
  <r>
    <n v="233"/>
    <n v="27"/>
    <x v="1"/>
    <x v="0"/>
    <x v="1"/>
    <n v="17"/>
    <x v="3"/>
    <s v="Technical Degree"/>
    <s v="High"/>
    <x v="1"/>
    <s v="High"/>
    <x v="1"/>
    <x v="1"/>
    <s v="Married"/>
    <n v="3058"/>
    <n v="0"/>
    <x v="0"/>
    <n v="16"/>
    <s v="Excellent"/>
    <s v="Very high"/>
    <n v="3"/>
    <x v="2"/>
    <x v="2"/>
    <x v="2"/>
  </r>
  <r>
    <n v="235"/>
    <n v="19"/>
    <x v="0"/>
    <x v="1"/>
    <x v="0"/>
    <n v="1"/>
    <x v="1"/>
    <s v="Technical Degree"/>
    <s v="High"/>
    <x v="0"/>
    <s v="Low"/>
    <x v="6"/>
    <x v="3"/>
    <s v="Single"/>
    <n v="2325"/>
    <n v="0"/>
    <x v="1"/>
    <n v="21"/>
    <s v="Outstanding"/>
    <s v="Low"/>
    <n v="5"/>
    <x v="3"/>
    <x v="4"/>
    <x v="1"/>
  </r>
  <r>
    <n v="238"/>
    <n v="36"/>
    <x v="1"/>
    <x v="1"/>
    <x v="1"/>
    <n v="3"/>
    <x v="0"/>
    <s v="Medical"/>
    <s v="Very high"/>
    <x v="1"/>
    <s v="High"/>
    <x v="2"/>
    <x v="1"/>
    <s v="Single"/>
    <n v="2088"/>
    <n v="4"/>
    <x v="1"/>
    <n v="12"/>
    <s v="Excellent"/>
    <s v="High"/>
    <n v="3"/>
    <x v="2"/>
    <x v="0"/>
    <x v="1"/>
  </r>
  <r>
    <n v="239"/>
    <n v="30"/>
    <x v="1"/>
    <x v="2"/>
    <x v="1"/>
    <n v="9"/>
    <x v="3"/>
    <s v="Medical"/>
    <s v="High"/>
    <x v="1"/>
    <s v="High"/>
    <x v="2"/>
    <x v="3"/>
    <s v="Divorced"/>
    <n v="3072"/>
    <n v="1"/>
    <x v="1"/>
    <n v="11"/>
    <s v="Excellent"/>
    <s v="High"/>
    <n v="4"/>
    <x v="1"/>
    <x v="2"/>
    <x v="2"/>
  </r>
  <r>
    <n v="240"/>
    <n v="45"/>
    <x v="1"/>
    <x v="0"/>
    <x v="0"/>
    <n v="4"/>
    <x v="0"/>
    <s v="Life Sciences"/>
    <s v="High"/>
    <x v="0"/>
    <s v="High"/>
    <x v="0"/>
    <x v="3"/>
    <s v="Divorced"/>
    <n v="5006"/>
    <n v="4"/>
    <x v="0"/>
    <n v="11"/>
    <s v="Excellent"/>
    <s v="Low"/>
    <n v="3"/>
    <x v="3"/>
    <x v="1"/>
    <x v="0"/>
  </r>
  <r>
    <n v="241"/>
    <n v="56"/>
    <x v="1"/>
    <x v="0"/>
    <x v="1"/>
    <n v="8"/>
    <x v="3"/>
    <s v="Life Sciences"/>
    <s v="High"/>
    <x v="0"/>
    <s v="High"/>
    <x v="1"/>
    <x v="3"/>
    <s v="Divorced"/>
    <n v="4257"/>
    <n v="4"/>
    <x v="0"/>
    <n v="18"/>
    <s v="Excellent"/>
    <s v="High"/>
    <n v="3"/>
    <x v="1"/>
    <x v="3"/>
    <x v="2"/>
  </r>
  <r>
    <n v="242"/>
    <n v="33"/>
    <x v="1"/>
    <x v="0"/>
    <x v="1"/>
    <n v="2"/>
    <x v="3"/>
    <s v="Life Sciences"/>
    <s v="High"/>
    <x v="1"/>
    <s v="High"/>
    <x v="1"/>
    <x v="0"/>
    <s v="Single"/>
    <n v="2500"/>
    <n v="0"/>
    <x v="1"/>
    <n v="14"/>
    <s v="Excellent"/>
    <s v="Low"/>
    <n v="2"/>
    <x v="3"/>
    <x v="2"/>
    <x v="1"/>
  </r>
  <r>
    <n v="243"/>
    <n v="19"/>
    <x v="0"/>
    <x v="0"/>
    <x v="1"/>
    <n v="2"/>
    <x v="3"/>
    <s v="Life Sciences"/>
    <s v="Medium"/>
    <x v="1"/>
    <s v="Medium"/>
    <x v="2"/>
    <x v="0"/>
    <s v="Single"/>
    <n v="1102"/>
    <n v="1"/>
    <x v="1"/>
    <n v="22"/>
    <s v="Outstanding"/>
    <s v="High"/>
    <n v="3"/>
    <x v="2"/>
    <x v="4"/>
    <x v="1"/>
  </r>
  <r>
    <n v="244"/>
    <n v="46"/>
    <x v="1"/>
    <x v="0"/>
    <x v="0"/>
    <n v="1"/>
    <x v="0"/>
    <s v="Marketing"/>
    <s v="Medium"/>
    <x v="0"/>
    <s v="High"/>
    <x v="0"/>
    <x v="3"/>
    <s v="Divorced"/>
    <n v="10453"/>
    <n v="1"/>
    <x v="1"/>
    <n v="25"/>
    <s v="Outstanding"/>
    <s v="High"/>
    <n v="2"/>
    <x v="1"/>
    <x v="1"/>
    <x v="3"/>
  </r>
  <r>
    <n v="245"/>
    <n v="38"/>
    <x v="1"/>
    <x v="0"/>
    <x v="1"/>
    <n v="9"/>
    <x v="0"/>
    <s v="Life Sciences"/>
    <s v="High"/>
    <x v="0"/>
    <s v="High"/>
    <x v="2"/>
    <x v="0"/>
    <s v="Single"/>
    <n v="2288"/>
    <n v="1"/>
    <x v="1"/>
    <n v="12"/>
    <s v="Excellent"/>
    <s v="High"/>
    <n v="3"/>
    <x v="1"/>
    <x v="0"/>
    <x v="1"/>
  </r>
  <r>
    <n v="246"/>
    <n v="31"/>
    <x v="1"/>
    <x v="0"/>
    <x v="1"/>
    <n v="12"/>
    <x v="1"/>
    <s v="Medical"/>
    <s v="High"/>
    <x v="0"/>
    <s v="High"/>
    <x v="1"/>
    <x v="0"/>
    <s v="Married"/>
    <n v="3929"/>
    <n v="8"/>
    <x v="0"/>
    <n v="23"/>
    <s v="Outstanding"/>
    <s v="High"/>
    <n v="0"/>
    <x v="1"/>
    <x v="2"/>
    <x v="2"/>
  </r>
  <r>
    <n v="247"/>
    <n v="34"/>
    <x v="1"/>
    <x v="0"/>
    <x v="1"/>
    <n v="27"/>
    <x v="0"/>
    <s v="Medical"/>
    <s v="Very high"/>
    <x v="0"/>
    <s v="High"/>
    <x v="1"/>
    <x v="1"/>
    <s v="Single"/>
    <n v="2311"/>
    <n v="2"/>
    <x v="1"/>
    <n v="15"/>
    <s v="Excellent"/>
    <s v="Very high"/>
    <n v="3"/>
    <x v="1"/>
    <x v="2"/>
    <x v="1"/>
  </r>
  <r>
    <n v="248"/>
    <n v="41"/>
    <x v="0"/>
    <x v="0"/>
    <x v="0"/>
    <n v="20"/>
    <x v="0"/>
    <s v="Marketing"/>
    <s v="Medium"/>
    <x v="0"/>
    <s v="High"/>
    <x v="6"/>
    <x v="1"/>
    <s v="Single"/>
    <n v="3140"/>
    <n v="1"/>
    <x v="0"/>
    <n v="22"/>
    <s v="Outstanding"/>
    <s v="Very high"/>
    <n v="5"/>
    <x v="2"/>
    <x v="0"/>
    <x v="2"/>
  </r>
  <r>
    <n v="249"/>
    <n v="50"/>
    <x v="1"/>
    <x v="0"/>
    <x v="1"/>
    <n v="1"/>
    <x v="3"/>
    <s v="Medical"/>
    <s v="High"/>
    <x v="1"/>
    <s v="Medium"/>
    <x v="2"/>
    <x v="2"/>
    <s v="Married"/>
    <n v="3690"/>
    <n v="2"/>
    <x v="1"/>
    <n v="15"/>
    <s v="Excellent"/>
    <s v="Very high"/>
    <n v="2"/>
    <x v="2"/>
    <x v="1"/>
    <x v="2"/>
  </r>
  <r>
    <n v="250"/>
    <n v="53"/>
    <x v="1"/>
    <x v="0"/>
    <x v="1"/>
    <n v="13"/>
    <x v="0"/>
    <s v="Medical"/>
    <s v="Very high"/>
    <x v="0"/>
    <s v="Very high"/>
    <x v="3"/>
    <x v="3"/>
    <s v="Divorced"/>
    <n v="4450"/>
    <n v="1"/>
    <x v="1"/>
    <n v="11"/>
    <s v="Excellent"/>
    <s v="High"/>
    <n v="3"/>
    <x v="1"/>
    <x v="1"/>
    <x v="2"/>
  </r>
  <r>
    <n v="252"/>
    <n v="33"/>
    <x v="1"/>
    <x v="0"/>
    <x v="1"/>
    <n v="14"/>
    <x v="3"/>
    <s v="Medical"/>
    <s v="Very high"/>
    <x v="0"/>
    <s v="High"/>
    <x v="1"/>
    <x v="1"/>
    <s v="Married"/>
    <n v="2756"/>
    <n v="1"/>
    <x v="1"/>
    <n v="13"/>
    <s v="Excellent"/>
    <s v="Very high"/>
    <n v="5"/>
    <x v="1"/>
    <x v="2"/>
    <x v="1"/>
  </r>
  <r>
    <n v="253"/>
    <n v="40"/>
    <x v="1"/>
    <x v="0"/>
    <x v="1"/>
    <n v="4"/>
    <x v="1"/>
    <s v="Medical"/>
    <s v="Very high"/>
    <x v="0"/>
    <s v="High"/>
    <x v="5"/>
    <x v="2"/>
    <s v="Married"/>
    <n v="19033"/>
    <n v="1"/>
    <x v="1"/>
    <n v="14"/>
    <s v="Excellent"/>
    <s v="Medium"/>
    <n v="2"/>
    <x v="1"/>
    <x v="0"/>
    <x v="3"/>
  </r>
  <r>
    <n v="254"/>
    <n v="55"/>
    <x v="1"/>
    <x v="0"/>
    <x v="1"/>
    <n v="14"/>
    <x v="2"/>
    <s v="Medical"/>
    <s v="High"/>
    <x v="1"/>
    <s v="Very high"/>
    <x v="7"/>
    <x v="1"/>
    <s v="Single"/>
    <n v="18722"/>
    <n v="8"/>
    <x v="1"/>
    <n v="11"/>
    <s v="Excellent"/>
    <s v="Very high"/>
    <n v="3"/>
    <x v="1"/>
    <x v="3"/>
    <x v="3"/>
  </r>
  <r>
    <n v="256"/>
    <n v="34"/>
    <x v="1"/>
    <x v="1"/>
    <x v="1"/>
    <n v="2"/>
    <x v="1"/>
    <s v="Life Sciences"/>
    <s v="Very high"/>
    <x v="1"/>
    <s v="Medium"/>
    <x v="3"/>
    <x v="2"/>
    <s v="Married"/>
    <n v="9547"/>
    <n v="1"/>
    <x v="1"/>
    <n v="17"/>
    <s v="Excellent"/>
    <s v="High"/>
    <n v="2"/>
    <x v="2"/>
    <x v="2"/>
    <x v="3"/>
  </r>
  <r>
    <n v="258"/>
    <n v="51"/>
    <x v="1"/>
    <x v="0"/>
    <x v="1"/>
    <n v="3"/>
    <x v="3"/>
    <s v="Medical"/>
    <s v="Very high"/>
    <x v="0"/>
    <s v="High"/>
    <x v="4"/>
    <x v="1"/>
    <s v="Single"/>
    <n v="13734"/>
    <n v="3"/>
    <x v="1"/>
    <n v="18"/>
    <s v="Excellent"/>
    <s v="High"/>
    <n v="6"/>
    <x v="1"/>
    <x v="1"/>
    <x v="3"/>
  </r>
  <r>
    <n v="259"/>
    <n v="52"/>
    <x v="1"/>
    <x v="0"/>
    <x v="1"/>
    <n v="1"/>
    <x v="2"/>
    <s v="Life Sciences"/>
    <s v="High"/>
    <x v="1"/>
    <s v="Medium"/>
    <x v="5"/>
    <x v="2"/>
    <s v="Married"/>
    <n v="19999"/>
    <n v="0"/>
    <x v="1"/>
    <n v="14"/>
    <s v="Excellent"/>
    <s v="Low"/>
    <n v="5"/>
    <x v="1"/>
    <x v="1"/>
    <x v="3"/>
  </r>
  <r>
    <n v="260"/>
    <n v="27"/>
    <x v="1"/>
    <x v="0"/>
    <x v="1"/>
    <n v="9"/>
    <x v="3"/>
    <s v="Medical"/>
    <s v="Very high"/>
    <x v="0"/>
    <s v="High"/>
    <x v="1"/>
    <x v="1"/>
    <s v="Single"/>
    <n v="2279"/>
    <n v="1"/>
    <x v="1"/>
    <n v="16"/>
    <s v="Excellent"/>
    <s v="Very high"/>
    <n v="2"/>
    <x v="2"/>
    <x v="2"/>
    <x v="1"/>
  </r>
  <r>
    <n v="261"/>
    <n v="35"/>
    <x v="0"/>
    <x v="0"/>
    <x v="1"/>
    <n v="23"/>
    <x v="0"/>
    <s v="Life Sciences"/>
    <s v="Medium"/>
    <x v="1"/>
    <s v="Medium"/>
    <x v="3"/>
    <x v="2"/>
    <s v="Married"/>
    <n v="5916"/>
    <n v="3"/>
    <x v="0"/>
    <n v="13"/>
    <s v="Excellent"/>
    <s v="Low"/>
    <n v="1"/>
    <x v="1"/>
    <x v="0"/>
    <x v="0"/>
  </r>
  <r>
    <n v="262"/>
    <n v="43"/>
    <x v="1"/>
    <x v="2"/>
    <x v="1"/>
    <n v="7"/>
    <x v="3"/>
    <s v="Medical"/>
    <s v="Very high"/>
    <x v="1"/>
    <s v="Very high"/>
    <x v="1"/>
    <x v="0"/>
    <s v="Divorced"/>
    <n v="2089"/>
    <n v="4"/>
    <x v="1"/>
    <n v="14"/>
    <s v="Excellent"/>
    <s v="Very high"/>
    <n v="3"/>
    <x v="3"/>
    <x v="0"/>
    <x v="1"/>
  </r>
  <r>
    <n v="264"/>
    <n v="45"/>
    <x v="1"/>
    <x v="2"/>
    <x v="1"/>
    <n v="2"/>
    <x v="0"/>
    <s v="Medical"/>
    <s v="Low"/>
    <x v="1"/>
    <s v="Medium"/>
    <x v="5"/>
    <x v="0"/>
    <s v="Married"/>
    <n v="16792"/>
    <n v="9"/>
    <x v="1"/>
    <n v="23"/>
    <s v="Outstanding"/>
    <s v="Very high"/>
    <n v="1"/>
    <x v="1"/>
    <x v="1"/>
    <x v="3"/>
  </r>
  <r>
    <n v="267"/>
    <n v="37"/>
    <x v="1"/>
    <x v="0"/>
    <x v="1"/>
    <n v="21"/>
    <x v="3"/>
    <s v="Life Sciences"/>
    <s v="Medium"/>
    <x v="1"/>
    <s v="Very high"/>
    <x v="1"/>
    <x v="3"/>
    <s v="Married"/>
    <n v="3564"/>
    <n v="1"/>
    <x v="0"/>
    <n v="12"/>
    <s v="Excellent"/>
    <s v="Low"/>
    <n v="3"/>
    <x v="2"/>
    <x v="0"/>
    <x v="2"/>
  </r>
  <r>
    <n v="269"/>
    <n v="35"/>
    <x v="1"/>
    <x v="1"/>
    <x v="1"/>
    <n v="2"/>
    <x v="3"/>
    <s v="Medical"/>
    <s v="Medium"/>
    <x v="0"/>
    <s v="High"/>
    <x v="2"/>
    <x v="1"/>
    <s v="Single"/>
    <n v="4425"/>
    <n v="5"/>
    <x v="1"/>
    <n v="11"/>
    <s v="Excellent"/>
    <s v="Very high"/>
    <n v="5"/>
    <x v="1"/>
    <x v="0"/>
    <x v="2"/>
  </r>
  <r>
    <n v="270"/>
    <n v="42"/>
    <x v="1"/>
    <x v="2"/>
    <x v="1"/>
    <n v="21"/>
    <x v="0"/>
    <s v="Medical"/>
    <s v="High"/>
    <x v="0"/>
    <s v="High"/>
    <x v="3"/>
    <x v="2"/>
    <s v="Divorced"/>
    <n v="5265"/>
    <n v="2"/>
    <x v="1"/>
    <n v="16"/>
    <s v="Excellent"/>
    <s v="Medium"/>
    <n v="5"/>
    <x v="1"/>
    <x v="0"/>
    <x v="0"/>
  </r>
  <r>
    <n v="271"/>
    <n v="38"/>
    <x v="1"/>
    <x v="0"/>
    <x v="1"/>
    <n v="2"/>
    <x v="2"/>
    <s v="Life Sciences"/>
    <s v="Very high"/>
    <x v="1"/>
    <s v="High"/>
    <x v="3"/>
    <x v="2"/>
    <s v="Married"/>
    <n v="6553"/>
    <n v="9"/>
    <x v="1"/>
    <n v="14"/>
    <s v="Excellent"/>
    <s v="Medium"/>
    <n v="3"/>
    <x v="1"/>
    <x v="0"/>
    <x v="0"/>
  </r>
  <r>
    <n v="273"/>
    <n v="38"/>
    <x v="1"/>
    <x v="0"/>
    <x v="1"/>
    <n v="29"/>
    <x v="3"/>
    <s v="Technical Degree"/>
    <s v="Very high"/>
    <x v="1"/>
    <s v="High"/>
    <x v="3"/>
    <x v="0"/>
    <s v="Married"/>
    <n v="6261"/>
    <n v="3"/>
    <x v="1"/>
    <n v="18"/>
    <s v="Excellent"/>
    <s v="Low"/>
    <n v="3"/>
    <x v="0"/>
    <x v="0"/>
    <x v="0"/>
  </r>
  <r>
    <n v="274"/>
    <n v="27"/>
    <x v="1"/>
    <x v="1"/>
    <x v="1"/>
    <n v="1"/>
    <x v="1"/>
    <s v="Technical Degree"/>
    <s v="High"/>
    <x v="1"/>
    <s v="Medium"/>
    <x v="3"/>
    <x v="3"/>
    <s v="Married"/>
    <n v="4298"/>
    <n v="5"/>
    <x v="1"/>
    <n v="19"/>
    <s v="Excellent"/>
    <s v="High"/>
    <n v="1"/>
    <x v="1"/>
    <x v="2"/>
    <x v="2"/>
  </r>
  <r>
    <n v="275"/>
    <n v="49"/>
    <x v="1"/>
    <x v="2"/>
    <x v="1"/>
    <n v="18"/>
    <x v="2"/>
    <s v="Life Sciences"/>
    <s v="Very high"/>
    <x v="1"/>
    <s v="High"/>
    <x v="3"/>
    <x v="0"/>
    <s v="Divorced"/>
    <n v="6804"/>
    <n v="1"/>
    <x v="0"/>
    <n v="15"/>
    <s v="Excellent"/>
    <s v="Low"/>
    <n v="0"/>
    <x v="1"/>
    <x v="1"/>
    <x v="0"/>
  </r>
  <r>
    <n v="277"/>
    <n v="34"/>
    <x v="1"/>
    <x v="1"/>
    <x v="1"/>
    <n v="10"/>
    <x v="2"/>
    <s v="Medical"/>
    <s v="Very high"/>
    <x v="1"/>
    <s v="High"/>
    <x v="1"/>
    <x v="2"/>
    <s v="Divorced"/>
    <n v="3815"/>
    <n v="1"/>
    <x v="0"/>
    <n v="17"/>
    <s v="Excellent"/>
    <s v="Very high"/>
    <n v="4"/>
    <x v="3"/>
    <x v="2"/>
    <x v="2"/>
  </r>
  <r>
    <n v="281"/>
    <n v="40"/>
    <x v="1"/>
    <x v="0"/>
    <x v="1"/>
    <n v="19"/>
    <x v="0"/>
    <s v="Medical"/>
    <s v="High"/>
    <x v="1"/>
    <s v="High"/>
    <x v="2"/>
    <x v="0"/>
    <s v="Married"/>
    <n v="2741"/>
    <n v="8"/>
    <x v="0"/>
    <n v="15"/>
    <s v="Excellent"/>
    <s v="High"/>
    <n v="2"/>
    <x v="3"/>
    <x v="0"/>
    <x v="1"/>
  </r>
  <r>
    <n v="282"/>
    <n v="38"/>
    <x v="0"/>
    <x v="0"/>
    <x v="1"/>
    <n v="29"/>
    <x v="1"/>
    <s v="Medical"/>
    <s v="Medium"/>
    <x v="1"/>
    <s v="High"/>
    <x v="4"/>
    <x v="3"/>
    <s v="Married"/>
    <n v="6673"/>
    <n v="7"/>
    <x v="0"/>
    <n v="19"/>
    <s v="Excellent"/>
    <s v="Medium"/>
    <n v="2"/>
    <x v="1"/>
    <x v="0"/>
    <x v="0"/>
  </r>
  <r>
    <n v="283"/>
    <n v="29"/>
    <x v="0"/>
    <x v="0"/>
    <x v="0"/>
    <n v="27"/>
    <x v="3"/>
    <s v="Marketing"/>
    <s v="Medium"/>
    <x v="0"/>
    <s v="High"/>
    <x v="0"/>
    <x v="0"/>
    <s v="Married"/>
    <n v="7639"/>
    <n v="1"/>
    <x v="1"/>
    <n v="22"/>
    <s v="Outstanding"/>
    <s v="Very high"/>
    <n v="3"/>
    <x v="2"/>
    <x v="2"/>
    <x v="0"/>
  </r>
  <r>
    <n v="284"/>
    <n v="22"/>
    <x v="1"/>
    <x v="0"/>
    <x v="1"/>
    <n v="5"/>
    <x v="3"/>
    <s v="Life Sciences"/>
    <s v="Very high"/>
    <x v="1"/>
    <s v="Very high"/>
    <x v="1"/>
    <x v="1"/>
    <s v="Divorced"/>
    <n v="2328"/>
    <n v="1"/>
    <x v="0"/>
    <n v="16"/>
    <s v="Excellent"/>
    <s v="Low"/>
    <n v="2"/>
    <x v="2"/>
    <x v="4"/>
    <x v="1"/>
  </r>
  <r>
    <n v="286"/>
    <n v="36"/>
    <x v="1"/>
    <x v="1"/>
    <x v="1"/>
    <n v="18"/>
    <x v="1"/>
    <s v="Medical"/>
    <s v="Medium"/>
    <x v="0"/>
    <s v="High"/>
    <x v="2"/>
    <x v="0"/>
    <s v="Single"/>
    <n v="2153"/>
    <n v="1"/>
    <x v="1"/>
    <n v="13"/>
    <s v="Excellent"/>
    <s v="Low"/>
    <n v="2"/>
    <x v="1"/>
    <x v="0"/>
    <x v="1"/>
  </r>
  <r>
    <n v="287"/>
    <n v="40"/>
    <x v="1"/>
    <x v="2"/>
    <x v="1"/>
    <n v="9"/>
    <x v="4"/>
    <s v="Life Sciences"/>
    <s v="Very high"/>
    <x v="1"/>
    <s v="Medium"/>
    <x v="4"/>
    <x v="0"/>
    <s v="Married"/>
    <n v="4876"/>
    <n v="9"/>
    <x v="1"/>
    <n v="14"/>
    <s v="Excellent"/>
    <s v="Very high"/>
    <n v="5"/>
    <x v="0"/>
    <x v="0"/>
    <x v="2"/>
  </r>
  <r>
    <n v="288"/>
    <n v="46"/>
    <x v="1"/>
    <x v="0"/>
    <x v="1"/>
    <n v="1"/>
    <x v="2"/>
    <s v="Medical"/>
    <s v="Very high"/>
    <x v="1"/>
    <s v="High"/>
    <x v="4"/>
    <x v="3"/>
    <s v="Divorced"/>
    <n v="9396"/>
    <n v="7"/>
    <x v="1"/>
    <n v="16"/>
    <s v="Excellent"/>
    <s v="High"/>
    <n v="3"/>
    <x v="1"/>
    <x v="1"/>
    <x v="3"/>
  </r>
  <r>
    <n v="291"/>
    <n v="32"/>
    <x v="0"/>
    <x v="0"/>
    <x v="0"/>
    <n v="4"/>
    <x v="2"/>
    <s v="Medical"/>
    <s v="Very high"/>
    <x v="1"/>
    <s v="Low"/>
    <x v="0"/>
    <x v="0"/>
    <s v="Married"/>
    <n v="10400"/>
    <n v="1"/>
    <x v="1"/>
    <n v="11"/>
    <s v="Excellent"/>
    <s v="High"/>
    <n v="2"/>
    <x v="2"/>
    <x v="2"/>
    <x v="3"/>
  </r>
  <r>
    <n v="292"/>
    <n v="30"/>
    <x v="1"/>
    <x v="2"/>
    <x v="1"/>
    <n v="1"/>
    <x v="1"/>
    <s v="Life Sciences"/>
    <s v="High"/>
    <x v="1"/>
    <s v="Medium"/>
    <x v="3"/>
    <x v="2"/>
    <s v="Single"/>
    <n v="8474"/>
    <n v="1"/>
    <x v="1"/>
    <n v="22"/>
    <s v="Outstanding"/>
    <s v="High"/>
    <n v="2"/>
    <x v="1"/>
    <x v="2"/>
    <x v="3"/>
  </r>
  <r>
    <n v="293"/>
    <n v="27"/>
    <x v="1"/>
    <x v="1"/>
    <x v="0"/>
    <n v="20"/>
    <x v="3"/>
    <s v="Life Sciences"/>
    <s v="Very high"/>
    <x v="0"/>
    <s v="High"/>
    <x v="0"/>
    <x v="2"/>
    <s v="Single"/>
    <n v="9981"/>
    <n v="1"/>
    <x v="1"/>
    <n v="14"/>
    <s v="Excellent"/>
    <s v="Very high"/>
    <n v="2"/>
    <x v="1"/>
    <x v="2"/>
    <x v="3"/>
  </r>
  <r>
    <n v="296"/>
    <n v="51"/>
    <x v="1"/>
    <x v="0"/>
    <x v="1"/>
    <n v="8"/>
    <x v="2"/>
    <s v="Life Sciences"/>
    <s v="Medium"/>
    <x v="1"/>
    <s v="Medium"/>
    <x v="7"/>
    <x v="1"/>
    <s v="Married"/>
    <n v="12490"/>
    <n v="5"/>
    <x v="1"/>
    <n v="16"/>
    <s v="Excellent"/>
    <s v="Very high"/>
    <n v="5"/>
    <x v="0"/>
    <x v="1"/>
    <x v="3"/>
  </r>
  <r>
    <n v="297"/>
    <n v="30"/>
    <x v="0"/>
    <x v="0"/>
    <x v="1"/>
    <n v="3"/>
    <x v="3"/>
    <s v="Technical Degree"/>
    <s v="Very high"/>
    <x v="0"/>
    <s v="High"/>
    <x v="1"/>
    <x v="3"/>
    <s v="Single"/>
    <n v="2657"/>
    <n v="5"/>
    <x v="0"/>
    <n v="11"/>
    <s v="Excellent"/>
    <s v="High"/>
    <n v="5"/>
    <x v="1"/>
    <x v="2"/>
    <x v="1"/>
  </r>
  <r>
    <n v="298"/>
    <n v="41"/>
    <x v="1"/>
    <x v="0"/>
    <x v="0"/>
    <n v="6"/>
    <x v="3"/>
    <s v="Life Sciences"/>
    <s v="Very high"/>
    <x v="0"/>
    <s v="High"/>
    <x v="5"/>
    <x v="0"/>
    <s v="Single"/>
    <n v="13591"/>
    <n v="3"/>
    <x v="0"/>
    <n v="18"/>
    <s v="Excellent"/>
    <s v="High"/>
    <n v="3"/>
    <x v="1"/>
    <x v="0"/>
    <x v="3"/>
  </r>
  <r>
    <n v="299"/>
    <n v="30"/>
    <x v="0"/>
    <x v="1"/>
    <x v="0"/>
    <n v="26"/>
    <x v="2"/>
    <s v="Marketing"/>
    <s v="High"/>
    <x v="0"/>
    <s v="Medium"/>
    <x v="0"/>
    <x v="3"/>
    <s v="Single"/>
    <n v="6696"/>
    <n v="5"/>
    <x v="1"/>
    <n v="15"/>
    <s v="Excellent"/>
    <s v="High"/>
    <n v="5"/>
    <x v="2"/>
    <x v="2"/>
    <x v="0"/>
  </r>
  <r>
    <n v="300"/>
    <n v="29"/>
    <x v="0"/>
    <x v="0"/>
    <x v="1"/>
    <n v="1"/>
    <x v="3"/>
    <s v="Technical Degree"/>
    <s v="High"/>
    <x v="1"/>
    <s v="High"/>
    <x v="1"/>
    <x v="2"/>
    <s v="Single"/>
    <n v="2058"/>
    <n v="0"/>
    <x v="1"/>
    <n v="14"/>
    <s v="Excellent"/>
    <s v="Very high"/>
    <n v="1"/>
    <x v="2"/>
    <x v="2"/>
    <x v="1"/>
  </r>
  <r>
    <n v="302"/>
    <n v="45"/>
    <x v="1"/>
    <x v="2"/>
    <x v="0"/>
    <n v="6"/>
    <x v="3"/>
    <s v="Medical"/>
    <s v="Very high"/>
    <x v="0"/>
    <s v="Medium"/>
    <x v="0"/>
    <x v="0"/>
    <s v="Single"/>
    <n v="8865"/>
    <n v="6"/>
    <x v="1"/>
    <n v="12"/>
    <s v="Excellent"/>
    <s v="Very high"/>
    <n v="2"/>
    <x v="1"/>
    <x v="1"/>
    <x v="3"/>
  </r>
  <r>
    <n v="303"/>
    <n v="54"/>
    <x v="1"/>
    <x v="0"/>
    <x v="0"/>
    <n v="3"/>
    <x v="3"/>
    <s v="Marketing"/>
    <s v="Very high"/>
    <x v="0"/>
    <s v="High"/>
    <x v="0"/>
    <x v="3"/>
    <s v="Married"/>
    <n v="5940"/>
    <n v="2"/>
    <x v="1"/>
    <n v="14"/>
    <s v="Excellent"/>
    <s v="Very high"/>
    <n v="4"/>
    <x v="1"/>
    <x v="1"/>
    <x v="0"/>
  </r>
  <r>
    <n v="304"/>
    <n v="36"/>
    <x v="1"/>
    <x v="0"/>
    <x v="1"/>
    <n v="5"/>
    <x v="0"/>
    <s v="Life Sciences"/>
    <s v="Very high"/>
    <x v="1"/>
    <s v="High"/>
    <x v="2"/>
    <x v="1"/>
    <s v="Single"/>
    <n v="5914"/>
    <n v="8"/>
    <x v="1"/>
    <n v="16"/>
    <s v="Excellent"/>
    <s v="Very high"/>
    <n v="3"/>
    <x v="3"/>
    <x v="0"/>
    <x v="0"/>
  </r>
  <r>
    <n v="305"/>
    <n v="33"/>
    <x v="1"/>
    <x v="0"/>
    <x v="1"/>
    <n v="4"/>
    <x v="2"/>
    <s v="Medical"/>
    <s v="High"/>
    <x v="0"/>
    <s v="Medium"/>
    <x v="1"/>
    <x v="1"/>
    <s v="Married"/>
    <n v="2622"/>
    <n v="6"/>
    <x v="1"/>
    <n v="21"/>
    <s v="Outstanding"/>
    <s v="Very high"/>
    <n v="3"/>
    <x v="1"/>
    <x v="2"/>
    <x v="1"/>
  </r>
  <r>
    <n v="306"/>
    <n v="37"/>
    <x v="1"/>
    <x v="1"/>
    <x v="1"/>
    <n v="11"/>
    <x v="3"/>
    <s v="Other"/>
    <s v="Medium"/>
    <x v="1"/>
    <s v="High"/>
    <x v="7"/>
    <x v="0"/>
    <s v="Divorced"/>
    <n v="12185"/>
    <n v="1"/>
    <x v="0"/>
    <n v="14"/>
    <s v="Excellent"/>
    <s v="High"/>
    <n v="1"/>
    <x v="1"/>
    <x v="0"/>
    <x v="3"/>
  </r>
  <r>
    <n v="307"/>
    <n v="38"/>
    <x v="1"/>
    <x v="0"/>
    <x v="0"/>
    <n v="3"/>
    <x v="3"/>
    <s v="Life Sciences"/>
    <s v="Low"/>
    <x v="1"/>
    <s v="High"/>
    <x v="0"/>
    <x v="2"/>
    <s v="Divorced"/>
    <n v="10609"/>
    <n v="0"/>
    <x v="1"/>
    <n v="12"/>
    <s v="Excellent"/>
    <s v="High"/>
    <n v="6"/>
    <x v="2"/>
    <x v="0"/>
    <x v="3"/>
  </r>
  <r>
    <n v="308"/>
    <n v="31"/>
    <x v="1"/>
    <x v="2"/>
    <x v="1"/>
    <n v="1"/>
    <x v="2"/>
    <s v="Medical"/>
    <s v="High"/>
    <x v="1"/>
    <s v="Low"/>
    <x v="3"/>
    <x v="2"/>
    <s v="Married"/>
    <n v="4345"/>
    <n v="0"/>
    <x v="1"/>
    <n v="12"/>
    <s v="Excellent"/>
    <s v="Very high"/>
    <n v="2"/>
    <x v="1"/>
    <x v="2"/>
    <x v="2"/>
  </r>
  <r>
    <n v="309"/>
    <n v="59"/>
    <x v="1"/>
    <x v="0"/>
    <x v="1"/>
    <n v="3"/>
    <x v="3"/>
    <s v="Life Sciences"/>
    <s v="High"/>
    <x v="1"/>
    <s v="Medium"/>
    <x v="1"/>
    <x v="0"/>
    <s v="Married"/>
    <n v="2177"/>
    <n v="3"/>
    <x v="1"/>
    <n v="17"/>
    <s v="Excellent"/>
    <s v="Low"/>
    <n v="6"/>
    <x v="1"/>
    <x v="3"/>
    <x v="1"/>
  </r>
  <r>
    <n v="311"/>
    <n v="37"/>
    <x v="1"/>
    <x v="1"/>
    <x v="0"/>
    <n v="4"/>
    <x v="2"/>
    <s v="Marketing"/>
    <s v="Low"/>
    <x v="1"/>
    <s v="High"/>
    <x v="6"/>
    <x v="0"/>
    <s v="Divorced"/>
    <n v="2793"/>
    <n v="4"/>
    <x v="1"/>
    <n v="17"/>
    <s v="Excellent"/>
    <s v="High"/>
    <n v="2"/>
    <x v="1"/>
    <x v="0"/>
    <x v="1"/>
  </r>
  <r>
    <n v="312"/>
    <n v="29"/>
    <x v="1"/>
    <x v="1"/>
    <x v="0"/>
    <n v="1"/>
    <x v="1"/>
    <s v="Medical"/>
    <s v="Medium"/>
    <x v="0"/>
    <s v="High"/>
    <x v="0"/>
    <x v="0"/>
    <s v="Married"/>
    <n v="7918"/>
    <n v="1"/>
    <x v="1"/>
    <n v="14"/>
    <s v="Excellent"/>
    <s v="Very high"/>
    <n v="5"/>
    <x v="1"/>
    <x v="2"/>
    <x v="0"/>
  </r>
  <r>
    <n v="314"/>
    <n v="35"/>
    <x v="1"/>
    <x v="1"/>
    <x v="0"/>
    <n v="1"/>
    <x v="3"/>
    <s v="Marketing"/>
    <s v="High"/>
    <x v="0"/>
    <s v="High"/>
    <x v="0"/>
    <x v="2"/>
    <s v="Single"/>
    <n v="8789"/>
    <n v="1"/>
    <x v="1"/>
    <n v="14"/>
    <s v="Excellent"/>
    <s v="Low"/>
    <n v="3"/>
    <x v="3"/>
    <x v="0"/>
    <x v="3"/>
  </r>
  <r>
    <n v="315"/>
    <n v="29"/>
    <x v="0"/>
    <x v="0"/>
    <x v="1"/>
    <n v="18"/>
    <x v="1"/>
    <s v="Medical"/>
    <s v="High"/>
    <x v="1"/>
    <s v="Medium"/>
    <x v="1"/>
    <x v="0"/>
    <s v="Single"/>
    <n v="2389"/>
    <n v="1"/>
    <x v="0"/>
    <n v="13"/>
    <s v="Excellent"/>
    <s v="High"/>
    <n v="3"/>
    <x v="2"/>
    <x v="2"/>
    <x v="1"/>
  </r>
  <r>
    <n v="316"/>
    <n v="52"/>
    <x v="1"/>
    <x v="0"/>
    <x v="1"/>
    <n v="2"/>
    <x v="3"/>
    <s v="Life Sciences"/>
    <s v="High"/>
    <x v="0"/>
    <s v="Medium"/>
    <x v="2"/>
    <x v="0"/>
    <s v="Single"/>
    <n v="3212"/>
    <n v="7"/>
    <x v="1"/>
    <n v="15"/>
    <s v="Excellent"/>
    <s v="Medium"/>
    <n v="3"/>
    <x v="2"/>
    <x v="1"/>
    <x v="2"/>
  </r>
  <r>
    <n v="319"/>
    <n v="42"/>
    <x v="1"/>
    <x v="0"/>
    <x v="1"/>
    <n v="4"/>
    <x v="0"/>
    <s v="Technical Degree"/>
    <s v="High"/>
    <x v="1"/>
    <s v="High"/>
    <x v="5"/>
    <x v="0"/>
    <s v="Married"/>
    <n v="19232"/>
    <n v="1"/>
    <x v="1"/>
    <n v="11"/>
    <s v="Excellent"/>
    <s v="Very high"/>
    <n v="3"/>
    <x v="1"/>
    <x v="0"/>
    <x v="3"/>
  </r>
  <r>
    <n v="321"/>
    <n v="59"/>
    <x v="1"/>
    <x v="0"/>
    <x v="2"/>
    <n v="6"/>
    <x v="0"/>
    <s v="Medical"/>
    <s v="Medium"/>
    <x v="1"/>
    <s v="High"/>
    <x v="8"/>
    <x v="2"/>
    <s v="Married"/>
    <n v="2267"/>
    <n v="8"/>
    <x v="1"/>
    <n v="17"/>
    <s v="Excellent"/>
    <s v="Very high"/>
    <n v="2"/>
    <x v="2"/>
    <x v="3"/>
    <x v="1"/>
  </r>
  <r>
    <n v="323"/>
    <n v="50"/>
    <x v="1"/>
    <x v="0"/>
    <x v="0"/>
    <n v="1"/>
    <x v="2"/>
    <s v="Medical"/>
    <s v="Very high"/>
    <x v="0"/>
    <s v="High"/>
    <x v="5"/>
    <x v="0"/>
    <s v="Divorced"/>
    <n v="19517"/>
    <n v="3"/>
    <x v="1"/>
    <n v="11"/>
    <s v="Excellent"/>
    <s v="High"/>
    <n v="3"/>
    <x v="2"/>
    <x v="1"/>
    <x v="3"/>
  </r>
  <r>
    <n v="325"/>
    <n v="33"/>
    <x v="0"/>
    <x v="0"/>
    <x v="1"/>
    <n v="14"/>
    <x v="3"/>
    <s v="Medical"/>
    <s v="High"/>
    <x v="1"/>
    <s v="High"/>
    <x v="2"/>
    <x v="0"/>
    <s v="Married"/>
    <n v="2436"/>
    <n v="5"/>
    <x v="0"/>
    <n v="13"/>
    <s v="Excellent"/>
    <s v="High"/>
    <n v="2"/>
    <x v="0"/>
    <x v="2"/>
    <x v="1"/>
  </r>
  <r>
    <n v="327"/>
    <n v="43"/>
    <x v="1"/>
    <x v="0"/>
    <x v="0"/>
    <n v="16"/>
    <x v="3"/>
    <s v="Marketing"/>
    <s v="Very high"/>
    <x v="0"/>
    <s v="High"/>
    <x v="5"/>
    <x v="0"/>
    <s v="Married"/>
    <n v="16064"/>
    <n v="5"/>
    <x v="0"/>
    <n v="22"/>
    <s v="Outstanding"/>
    <s v="High"/>
    <n v="3"/>
    <x v="1"/>
    <x v="0"/>
    <x v="3"/>
  </r>
  <r>
    <n v="328"/>
    <n v="33"/>
    <x v="0"/>
    <x v="0"/>
    <x v="1"/>
    <n v="2"/>
    <x v="0"/>
    <s v="Life Sciences"/>
    <s v="Low"/>
    <x v="0"/>
    <s v="High"/>
    <x v="2"/>
    <x v="3"/>
    <s v="Married"/>
    <n v="2707"/>
    <n v="7"/>
    <x v="1"/>
    <n v="20"/>
    <s v="Outstanding"/>
    <s v="Low"/>
    <n v="3"/>
    <x v="3"/>
    <x v="2"/>
    <x v="1"/>
  </r>
  <r>
    <n v="329"/>
    <n v="52"/>
    <x v="1"/>
    <x v="2"/>
    <x v="0"/>
    <n v="2"/>
    <x v="2"/>
    <s v="Life Sciences"/>
    <s v="Low"/>
    <x v="1"/>
    <s v="Medium"/>
    <x v="5"/>
    <x v="2"/>
    <s v="Single"/>
    <n v="19068"/>
    <n v="1"/>
    <x v="0"/>
    <n v="18"/>
    <s v="Excellent"/>
    <s v="Very high"/>
    <n v="2"/>
    <x v="3"/>
    <x v="1"/>
    <x v="3"/>
  </r>
  <r>
    <n v="330"/>
    <n v="32"/>
    <x v="1"/>
    <x v="0"/>
    <x v="0"/>
    <n v="4"/>
    <x v="0"/>
    <s v="Life Sciences"/>
    <s v="High"/>
    <x v="0"/>
    <s v="High"/>
    <x v="6"/>
    <x v="1"/>
    <s v="Married"/>
    <n v="3931"/>
    <n v="2"/>
    <x v="1"/>
    <n v="11"/>
    <s v="Excellent"/>
    <s v="Low"/>
    <n v="5"/>
    <x v="1"/>
    <x v="2"/>
    <x v="2"/>
  </r>
  <r>
    <n v="331"/>
    <n v="32"/>
    <x v="0"/>
    <x v="0"/>
    <x v="1"/>
    <n v="1"/>
    <x v="3"/>
    <s v="Life Sciences"/>
    <s v="Very high"/>
    <x v="1"/>
    <s v="Medium"/>
    <x v="2"/>
    <x v="2"/>
    <s v="Single"/>
    <n v="3730"/>
    <n v="0"/>
    <x v="0"/>
    <n v="14"/>
    <s v="Excellent"/>
    <s v="Very high"/>
    <n v="2"/>
    <x v="0"/>
    <x v="2"/>
    <x v="2"/>
  </r>
  <r>
    <n v="332"/>
    <n v="39"/>
    <x v="1"/>
    <x v="0"/>
    <x v="1"/>
    <n v="1"/>
    <x v="2"/>
    <s v="Medical"/>
    <s v="High"/>
    <x v="0"/>
    <s v="High"/>
    <x v="2"/>
    <x v="2"/>
    <s v="Divorced"/>
    <n v="2232"/>
    <n v="7"/>
    <x v="1"/>
    <n v="14"/>
    <s v="Excellent"/>
    <s v="High"/>
    <n v="1"/>
    <x v="1"/>
    <x v="0"/>
    <x v="1"/>
  </r>
  <r>
    <n v="333"/>
    <n v="32"/>
    <x v="1"/>
    <x v="2"/>
    <x v="0"/>
    <n v="26"/>
    <x v="2"/>
    <s v="Marketing"/>
    <s v="High"/>
    <x v="1"/>
    <s v="High"/>
    <x v="0"/>
    <x v="0"/>
    <s v="Married"/>
    <n v="4465"/>
    <n v="0"/>
    <x v="1"/>
    <n v="18"/>
    <s v="Excellent"/>
    <s v="Low"/>
    <n v="2"/>
    <x v="1"/>
    <x v="2"/>
    <x v="2"/>
  </r>
  <r>
    <n v="334"/>
    <n v="41"/>
    <x v="1"/>
    <x v="0"/>
    <x v="1"/>
    <n v="19"/>
    <x v="0"/>
    <s v="Life Sciences"/>
    <s v="High"/>
    <x v="1"/>
    <s v="High"/>
    <x v="1"/>
    <x v="3"/>
    <s v="Divorced"/>
    <n v="3072"/>
    <n v="2"/>
    <x v="1"/>
    <n v="16"/>
    <s v="Excellent"/>
    <s v="Low"/>
    <n v="2"/>
    <x v="2"/>
    <x v="0"/>
    <x v="2"/>
  </r>
  <r>
    <n v="335"/>
    <n v="40"/>
    <x v="1"/>
    <x v="0"/>
    <x v="1"/>
    <n v="24"/>
    <x v="0"/>
    <s v="Technical Degree"/>
    <s v="Low"/>
    <x v="1"/>
    <s v="High"/>
    <x v="1"/>
    <x v="0"/>
    <s v="Divorced"/>
    <n v="3319"/>
    <n v="1"/>
    <x v="1"/>
    <n v="17"/>
    <s v="Excellent"/>
    <s v="Low"/>
    <n v="3"/>
    <x v="1"/>
    <x v="0"/>
    <x v="2"/>
  </r>
  <r>
    <n v="336"/>
    <n v="45"/>
    <x v="1"/>
    <x v="0"/>
    <x v="1"/>
    <n v="1"/>
    <x v="3"/>
    <s v="Other"/>
    <s v="High"/>
    <x v="1"/>
    <s v="Very high"/>
    <x v="5"/>
    <x v="0"/>
    <s v="Married"/>
    <n v="19202"/>
    <n v="0"/>
    <x v="1"/>
    <n v="11"/>
    <s v="Excellent"/>
    <s v="High"/>
    <n v="2"/>
    <x v="1"/>
    <x v="1"/>
    <x v="3"/>
  </r>
  <r>
    <n v="337"/>
    <n v="31"/>
    <x v="1"/>
    <x v="1"/>
    <x v="1"/>
    <n v="3"/>
    <x v="2"/>
    <s v="Medical"/>
    <s v="Medium"/>
    <x v="1"/>
    <s v="High"/>
    <x v="7"/>
    <x v="2"/>
    <s v="Divorced"/>
    <n v="13675"/>
    <n v="9"/>
    <x v="1"/>
    <n v="12"/>
    <s v="Excellent"/>
    <s v="Low"/>
    <n v="3"/>
    <x v="1"/>
    <x v="2"/>
    <x v="3"/>
  </r>
  <r>
    <n v="338"/>
    <n v="33"/>
    <x v="1"/>
    <x v="0"/>
    <x v="1"/>
    <n v="5"/>
    <x v="2"/>
    <s v="Life Sciences"/>
    <s v="High"/>
    <x v="0"/>
    <s v="Medium"/>
    <x v="1"/>
    <x v="0"/>
    <s v="Married"/>
    <n v="2911"/>
    <n v="1"/>
    <x v="1"/>
    <n v="13"/>
    <s v="Excellent"/>
    <s v="High"/>
    <n v="2"/>
    <x v="2"/>
    <x v="2"/>
    <x v="1"/>
  </r>
  <r>
    <n v="339"/>
    <n v="34"/>
    <x v="1"/>
    <x v="0"/>
    <x v="1"/>
    <n v="2"/>
    <x v="2"/>
    <s v="Life Sciences"/>
    <s v="Very high"/>
    <x v="1"/>
    <s v="Medium"/>
    <x v="3"/>
    <x v="3"/>
    <s v="Married"/>
    <n v="5957"/>
    <n v="6"/>
    <x v="1"/>
    <n v="13"/>
    <s v="Excellent"/>
    <s v="Medium"/>
    <n v="3"/>
    <x v="1"/>
    <x v="2"/>
    <x v="0"/>
  </r>
  <r>
    <n v="340"/>
    <n v="37"/>
    <x v="1"/>
    <x v="0"/>
    <x v="1"/>
    <n v="1"/>
    <x v="0"/>
    <s v="Medical"/>
    <s v="High"/>
    <x v="0"/>
    <s v="Medium"/>
    <x v="1"/>
    <x v="3"/>
    <s v="Married"/>
    <n v="3920"/>
    <n v="2"/>
    <x v="1"/>
    <n v="14"/>
    <s v="Excellent"/>
    <s v="Low"/>
    <n v="2"/>
    <x v="2"/>
    <x v="0"/>
    <x v="2"/>
  </r>
  <r>
    <n v="341"/>
    <n v="45"/>
    <x v="1"/>
    <x v="1"/>
    <x v="1"/>
    <n v="7"/>
    <x v="2"/>
    <s v="Life Sciences"/>
    <s v="Low"/>
    <x v="1"/>
    <s v="Very high"/>
    <x v="3"/>
    <x v="2"/>
    <s v="Married"/>
    <n v="6434"/>
    <n v="4"/>
    <x v="1"/>
    <n v="17"/>
    <s v="Excellent"/>
    <s v="Very high"/>
    <n v="1"/>
    <x v="1"/>
    <x v="1"/>
    <x v="0"/>
  </r>
  <r>
    <n v="342"/>
    <n v="37"/>
    <x v="0"/>
    <x v="1"/>
    <x v="1"/>
    <n v="10"/>
    <x v="3"/>
    <s v="Medical"/>
    <s v="Low"/>
    <x v="1"/>
    <s v="High"/>
    <x v="3"/>
    <x v="2"/>
    <s v="Divorced"/>
    <n v="10048"/>
    <n v="6"/>
    <x v="1"/>
    <n v="11"/>
    <s v="Excellent"/>
    <s v="Medium"/>
    <n v="5"/>
    <x v="1"/>
    <x v="0"/>
    <x v="3"/>
  </r>
  <r>
    <n v="343"/>
    <n v="39"/>
    <x v="1"/>
    <x v="1"/>
    <x v="1"/>
    <n v="2"/>
    <x v="2"/>
    <s v="Technical Degree"/>
    <s v="High"/>
    <x v="0"/>
    <s v="High"/>
    <x v="4"/>
    <x v="2"/>
    <s v="Single"/>
    <n v="10938"/>
    <n v="0"/>
    <x v="1"/>
    <n v="25"/>
    <s v="Outstanding"/>
    <s v="Very high"/>
    <n v="1"/>
    <x v="1"/>
    <x v="0"/>
    <x v="3"/>
  </r>
  <r>
    <n v="346"/>
    <n v="29"/>
    <x v="1"/>
    <x v="0"/>
    <x v="1"/>
    <n v="15"/>
    <x v="3"/>
    <s v="Life Sciences"/>
    <s v="High"/>
    <x v="1"/>
    <s v="High"/>
    <x v="1"/>
    <x v="0"/>
    <s v="Single"/>
    <n v="2340"/>
    <n v="1"/>
    <x v="1"/>
    <n v="19"/>
    <s v="Excellent"/>
    <s v="Low"/>
    <n v="1"/>
    <x v="1"/>
    <x v="2"/>
    <x v="1"/>
  </r>
  <r>
    <n v="347"/>
    <n v="42"/>
    <x v="1"/>
    <x v="0"/>
    <x v="1"/>
    <n v="17"/>
    <x v="0"/>
    <s v="Life Sciences"/>
    <s v="Very high"/>
    <x v="0"/>
    <s v="Very high"/>
    <x v="1"/>
    <x v="3"/>
    <s v="Single"/>
    <n v="6545"/>
    <n v="3"/>
    <x v="0"/>
    <n v="13"/>
    <s v="Excellent"/>
    <s v="High"/>
    <n v="1"/>
    <x v="1"/>
    <x v="0"/>
    <x v="0"/>
  </r>
  <r>
    <n v="349"/>
    <n v="29"/>
    <x v="1"/>
    <x v="0"/>
    <x v="0"/>
    <n v="20"/>
    <x v="0"/>
    <s v="Marketing"/>
    <s v="Very high"/>
    <x v="1"/>
    <s v="High"/>
    <x v="0"/>
    <x v="0"/>
    <s v="Divorced"/>
    <n v="6931"/>
    <n v="2"/>
    <x v="1"/>
    <n v="14"/>
    <s v="Excellent"/>
    <s v="Very high"/>
    <n v="2"/>
    <x v="1"/>
    <x v="2"/>
    <x v="0"/>
  </r>
  <r>
    <n v="350"/>
    <n v="25"/>
    <x v="1"/>
    <x v="0"/>
    <x v="1"/>
    <n v="1"/>
    <x v="3"/>
    <s v="Life Sciences"/>
    <s v="Low"/>
    <x v="0"/>
    <s v="High"/>
    <x v="3"/>
    <x v="2"/>
    <s v="Married"/>
    <n v="4898"/>
    <n v="0"/>
    <x v="1"/>
    <n v="12"/>
    <s v="Excellent"/>
    <s v="Very high"/>
    <n v="3"/>
    <x v="1"/>
    <x v="2"/>
    <x v="2"/>
  </r>
  <r>
    <n v="351"/>
    <n v="42"/>
    <x v="1"/>
    <x v="0"/>
    <x v="1"/>
    <n v="2"/>
    <x v="3"/>
    <s v="Medical"/>
    <s v="Very high"/>
    <x v="0"/>
    <s v="Medium"/>
    <x v="2"/>
    <x v="3"/>
    <s v="Divorced"/>
    <n v="2593"/>
    <n v="0"/>
    <x v="0"/>
    <n v="11"/>
    <s v="Excellent"/>
    <s v="High"/>
    <n v="4"/>
    <x v="1"/>
    <x v="0"/>
    <x v="1"/>
  </r>
  <r>
    <n v="352"/>
    <n v="40"/>
    <x v="1"/>
    <x v="0"/>
    <x v="1"/>
    <n v="2"/>
    <x v="0"/>
    <s v="Medical"/>
    <s v="Low"/>
    <x v="1"/>
    <s v="High"/>
    <x v="7"/>
    <x v="2"/>
    <s v="Divorced"/>
    <n v="19436"/>
    <n v="0"/>
    <x v="1"/>
    <n v="19"/>
    <s v="Excellent"/>
    <s v="Very high"/>
    <n v="5"/>
    <x v="1"/>
    <x v="0"/>
    <x v="3"/>
  </r>
  <r>
    <n v="353"/>
    <n v="51"/>
    <x v="1"/>
    <x v="0"/>
    <x v="1"/>
    <n v="1"/>
    <x v="3"/>
    <s v="Life Sciences"/>
    <s v="High"/>
    <x v="1"/>
    <s v="High"/>
    <x v="1"/>
    <x v="0"/>
    <s v="Married"/>
    <n v="2723"/>
    <n v="1"/>
    <x v="1"/>
    <n v="11"/>
    <s v="Excellent"/>
    <s v="Medium"/>
    <n v="0"/>
    <x v="2"/>
    <x v="1"/>
    <x v="1"/>
  </r>
  <r>
    <n v="355"/>
    <n v="31"/>
    <x v="0"/>
    <x v="1"/>
    <x v="1"/>
    <n v="29"/>
    <x v="0"/>
    <s v="Medical"/>
    <s v="High"/>
    <x v="1"/>
    <s v="Medium"/>
    <x v="2"/>
    <x v="1"/>
    <s v="Single"/>
    <n v="3479"/>
    <n v="0"/>
    <x v="1"/>
    <n v="11"/>
    <s v="Excellent"/>
    <s v="Medium"/>
    <n v="2"/>
    <x v="3"/>
    <x v="2"/>
    <x v="2"/>
  </r>
  <r>
    <n v="359"/>
    <n v="32"/>
    <x v="1"/>
    <x v="1"/>
    <x v="1"/>
    <n v="7"/>
    <x v="3"/>
    <s v="Life Sciences"/>
    <s v="Medium"/>
    <x v="1"/>
    <s v="Very high"/>
    <x v="2"/>
    <x v="1"/>
    <s v="Married"/>
    <n v="2794"/>
    <n v="1"/>
    <x v="1"/>
    <n v="20"/>
    <s v="Outstanding"/>
    <s v="High"/>
    <n v="3"/>
    <x v="0"/>
    <x v="2"/>
    <x v="1"/>
  </r>
  <r>
    <n v="361"/>
    <n v="38"/>
    <x v="1"/>
    <x v="2"/>
    <x v="0"/>
    <n v="2"/>
    <x v="0"/>
    <s v="Life Sciences"/>
    <s v="Very high"/>
    <x v="1"/>
    <s v="Medium"/>
    <x v="0"/>
    <x v="0"/>
    <s v="Married"/>
    <n v="5249"/>
    <n v="3"/>
    <x v="1"/>
    <n v="18"/>
    <s v="Excellent"/>
    <s v="Very high"/>
    <n v="0"/>
    <x v="1"/>
    <x v="0"/>
    <x v="0"/>
  </r>
  <r>
    <n v="362"/>
    <n v="32"/>
    <x v="1"/>
    <x v="0"/>
    <x v="1"/>
    <n v="2"/>
    <x v="1"/>
    <s v="Technical Degree"/>
    <s v="Very high"/>
    <x v="1"/>
    <s v="Medium"/>
    <x v="2"/>
    <x v="3"/>
    <s v="Single"/>
    <n v="2176"/>
    <n v="4"/>
    <x v="1"/>
    <n v="13"/>
    <s v="Excellent"/>
    <s v="Very high"/>
    <n v="5"/>
    <x v="1"/>
    <x v="2"/>
    <x v="1"/>
  </r>
  <r>
    <n v="363"/>
    <n v="46"/>
    <x v="1"/>
    <x v="0"/>
    <x v="0"/>
    <n v="2"/>
    <x v="3"/>
    <s v="Technical Degree"/>
    <s v="High"/>
    <x v="0"/>
    <s v="Low"/>
    <x v="5"/>
    <x v="1"/>
    <s v="Married"/>
    <n v="16872"/>
    <n v="3"/>
    <x v="0"/>
    <n v="12"/>
    <s v="Excellent"/>
    <s v="Medium"/>
    <n v="2"/>
    <x v="2"/>
    <x v="1"/>
    <x v="3"/>
  </r>
  <r>
    <n v="364"/>
    <n v="28"/>
    <x v="0"/>
    <x v="0"/>
    <x v="1"/>
    <n v="2"/>
    <x v="2"/>
    <s v="Life Sciences"/>
    <s v="Low"/>
    <x v="1"/>
    <s v="High"/>
    <x v="2"/>
    <x v="2"/>
    <s v="Single"/>
    <n v="3485"/>
    <n v="2"/>
    <x v="1"/>
    <n v="11"/>
    <s v="Excellent"/>
    <s v="High"/>
    <n v="5"/>
    <x v="0"/>
    <x v="2"/>
    <x v="2"/>
  </r>
  <r>
    <n v="366"/>
    <n v="29"/>
    <x v="1"/>
    <x v="0"/>
    <x v="0"/>
    <n v="2"/>
    <x v="3"/>
    <s v="Medical"/>
    <s v="Low"/>
    <x v="1"/>
    <s v="Medium"/>
    <x v="0"/>
    <x v="1"/>
    <s v="Married"/>
    <n v="6644"/>
    <n v="2"/>
    <x v="1"/>
    <n v="19"/>
    <s v="Excellent"/>
    <s v="Medium"/>
    <n v="2"/>
    <x v="1"/>
    <x v="2"/>
    <x v="0"/>
  </r>
  <r>
    <n v="367"/>
    <n v="31"/>
    <x v="1"/>
    <x v="0"/>
    <x v="1"/>
    <n v="23"/>
    <x v="3"/>
    <s v="Medical"/>
    <s v="Medium"/>
    <x v="1"/>
    <s v="Medium"/>
    <x v="4"/>
    <x v="0"/>
    <s v="Married"/>
    <n v="5582"/>
    <n v="0"/>
    <x v="1"/>
    <n v="21"/>
    <s v="Outstanding"/>
    <s v="Medium"/>
    <n v="2"/>
    <x v="1"/>
    <x v="2"/>
    <x v="0"/>
  </r>
  <r>
    <n v="369"/>
    <n v="25"/>
    <x v="1"/>
    <x v="2"/>
    <x v="1"/>
    <n v="5"/>
    <x v="0"/>
    <s v="Life Sciences"/>
    <s v="Medium"/>
    <x v="1"/>
    <s v="Very high"/>
    <x v="4"/>
    <x v="3"/>
    <s v="Divorced"/>
    <n v="4000"/>
    <n v="1"/>
    <x v="1"/>
    <n v="12"/>
    <s v="Excellent"/>
    <s v="Very high"/>
    <n v="2"/>
    <x v="1"/>
    <x v="2"/>
    <x v="2"/>
  </r>
  <r>
    <n v="372"/>
    <n v="45"/>
    <x v="1"/>
    <x v="0"/>
    <x v="1"/>
    <n v="20"/>
    <x v="0"/>
    <s v="Medical"/>
    <s v="High"/>
    <x v="1"/>
    <s v="High"/>
    <x v="4"/>
    <x v="0"/>
    <s v="Married"/>
    <n v="13496"/>
    <n v="0"/>
    <x v="0"/>
    <n v="14"/>
    <s v="Excellent"/>
    <s v="Medium"/>
    <n v="2"/>
    <x v="1"/>
    <x v="1"/>
    <x v="3"/>
  </r>
  <r>
    <n v="373"/>
    <n v="36"/>
    <x v="1"/>
    <x v="0"/>
    <x v="1"/>
    <n v="6"/>
    <x v="3"/>
    <s v="Life Sciences"/>
    <s v="Very high"/>
    <x v="1"/>
    <s v="High"/>
    <x v="2"/>
    <x v="0"/>
    <s v="Married"/>
    <n v="3210"/>
    <n v="0"/>
    <x v="1"/>
    <n v="11"/>
    <s v="Excellent"/>
    <s v="High"/>
    <n v="4"/>
    <x v="1"/>
    <x v="0"/>
    <x v="2"/>
  </r>
  <r>
    <n v="374"/>
    <n v="55"/>
    <x v="1"/>
    <x v="0"/>
    <x v="1"/>
    <n v="1"/>
    <x v="3"/>
    <s v="Medical"/>
    <s v="Very high"/>
    <x v="1"/>
    <s v="High"/>
    <x v="5"/>
    <x v="3"/>
    <s v="Single"/>
    <n v="19045"/>
    <n v="0"/>
    <x v="0"/>
    <n v="14"/>
    <s v="Excellent"/>
    <s v="High"/>
    <n v="2"/>
    <x v="1"/>
    <x v="3"/>
    <x v="3"/>
  </r>
  <r>
    <n v="376"/>
    <n v="47"/>
    <x v="0"/>
    <x v="2"/>
    <x v="1"/>
    <n v="29"/>
    <x v="2"/>
    <s v="Life Sciences"/>
    <s v="Low"/>
    <x v="1"/>
    <s v="High"/>
    <x v="5"/>
    <x v="1"/>
    <s v="Married"/>
    <n v="11849"/>
    <n v="1"/>
    <x v="0"/>
    <n v="12"/>
    <s v="Excellent"/>
    <s v="Very high"/>
    <n v="2"/>
    <x v="2"/>
    <x v="1"/>
    <x v="3"/>
  </r>
  <r>
    <n v="377"/>
    <n v="28"/>
    <x v="1"/>
    <x v="0"/>
    <x v="1"/>
    <n v="9"/>
    <x v="3"/>
    <s v="Medical"/>
    <s v="Very high"/>
    <x v="1"/>
    <s v="High"/>
    <x v="1"/>
    <x v="0"/>
    <s v="Married"/>
    <n v="2070"/>
    <n v="1"/>
    <x v="1"/>
    <n v="23"/>
    <s v="Outstanding"/>
    <s v="Very high"/>
    <n v="3"/>
    <x v="2"/>
    <x v="2"/>
    <x v="1"/>
  </r>
  <r>
    <n v="378"/>
    <n v="37"/>
    <x v="1"/>
    <x v="0"/>
    <x v="0"/>
    <n v="6"/>
    <x v="2"/>
    <s v="Medical"/>
    <s v="High"/>
    <x v="1"/>
    <s v="High"/>
    <x v="0"/>
    <x v="0"/>
    <s v="Married"/>
    <n v="6502"/>
    <n v="4"/>
    <x v="1"/>
    <n v="14"/>
    <s v="Excellent"/>
    <s v="Medium"/>
    <n v="5"/>
    <x v="3"/>
    <x v="0"/>
    <x v="0"/>
  </r>
  <r>
    <n v="379"/>
    <n v="21"/>
    <x v="1"/>
    <x v="0"/>
    <x v="1"/>
    <n v="3"/>
    <x v="0"/>
    <s v="Medical"/>
    <s v="Very high"/>
    <x v="1"/>
    <s v="Medium"/>
    <x v="1"/>
    <x v="2"/>
    <s v="Single"/>
    <n v="3230"/>
    <n v="1"/>
    <x v="1"/>
    <n v="17"/>
    <s v="Excellent"/>
    <s v="Low"/>
    <n v="4"/>
    <x v="3"/>
    <x v="4"/>
    <x v="2"/>
  </r>
  <r>
    <n v="380"/>
    <n v="37"/>
    <x v="1"/>
    <x v="2"/>
    <x v="1"/>
    <n v="1"/>
    <x v="2"/>
    <s v="Medical"/>
    <s v="Low"/>
    <x v="0"/>
    <s v="High"/>
    <x v="7"/>
    <x v="0"/>
    <s v="Divorced"/>
    <n v="13603"/>
    <n v="2"/>
    <x v="0"/>
    <n v="18"/>
    <s v="Excellent"/>
    <s v="Low"/>
    <n v="2"/>
    <x v="1"/>
    <x v="0"/>
    <x v="3"/>
  </r>
  <r>
    <n v="381"/>
    <n v="35"/>
    <x v="1"/>
    <x v="0"/>
    <x v="1"/>
    <n v="22"/>
    <x v="3"/>
    <s v="Life Sciences"/>
    <s v="Medium"/>
    <x v="0"/>
    <s v="Very high"/>
    <x v="5"/>
    <x v="1"/>
    <s v="Divorced"/>
    <n v="11996"/>
    <n v="7"/>
    <x v="1"/>
    <n v="18"/>
    <s v="Excellent"/>
    <s v="Medium"/>
    <n v="6"/>
    <x v="2"/>
    <x v="0"/>
    <x v="3"/>
  </r>
  <r>
    <n v="382"/>
    <n v="38"/>
    <x v="1"/>
    <x v="0"/>
    <x v="0"/>
    <n v="7"/>
    <x v="0"/>
    <s v="Medical"/>
    <s v="Low"/>
    <x v="0"/>
    <s v="Very high"/>
    <x v="0"/>
    <x v="3"/>
    <s v="Divorced"/>
    <n v="5605"/>
    <n v="1"/>
    <x v="0"/>
    <n v="24"/>
    <s v="Outstanding"/>
    <s v="High"/>
    <n v="3"/>
    <x v="1"/>
    <x v="0"/>
    <x v="0"/>
  </r>
  <r>
    <n v="384"/>
    <n v="26"/>
    <x v="1"/>
    <x v="1"/>
    <x v="1"/>
    <n v="1"/>
    <x v="3"/>
    <s v="Life Sciences"/>
    <s v="High"/>
    <x v="0"/>
    <s v="High"/>
    <x v="3"/>
    <x v="1"/>
    <s v="Divorced"/>
    <n v="6397"/>
    <n v="1"/>
    <x v="1"/>
    <n v="20"/>
    <s v="Outstanding"/>
    <s v="Low"/>
    <n v="6"/>
    <x v="0"/>
    <x v="2"/>
    <x v="0"/>
  </r>
  <r>
    <n v="385"/>
    <n v="50"/>
    <x v="1"/>
    <x v="0"/>
    <x v="1"/>
    <n v="4"/>
    <x v="1"/>
    <s v="Life Sciences"/>
    <s v="Low"/>
    <x v="1"/>
    <s v="High"/>
    <x v="7"/>
    <x v="1"/>
    <s v="Divorced"/>
    <n v="19144"/>
    <n v="3"/>
    <x v="1"/>
    <n v="14"/>
    <s v="Excellent"/>
    <s v="Low"/>
    <n v="4"/>
    <x v="2"/>
    <x v="1"/>
    <x v="3"/>
  </r>
  <r>
    <n v="386"/>
    <n v="53"/>
    <x v="1"/>
    <x v="0"/>
    <x v="1"/>
    <n v="3"/>
    <x v="2"/>
    <s v="Medical"/>
    <s v="High"/>
    <x v="1"/>
    <s v="High"/>
    <x v="7"/>
    <x v="2"/>
    <s v="Married"/>
    <n v="17584"/>
    <n v="3"/>
    <x v="0"/>
    <n v="16"/>
    <s v="Excellent"/>
    <s v="Very high"/>
    <n v="5"/>
    <x v="2"/>
    <x v="1"/>
    <x v="3"/>
  </r>
  <r>
    <n v="387"/>
    <n v="42"/>
    <x v="1"/>
    <x v="0"/>
    <x v="0"/>
    <n v="1"/>
    <x v="1"/>
    <s v="Life Sciences"/>
    <s v="Medium"/>
    <x v="1"/>
    <s v="High"/>
    <x v="0"/>
    <x v="2"/>
    <s v="Married"/>
    <n v="4907"/>
    <n v="1"/>
    <x v="1"/>
    <n v="25"/>
    <s v="Outstanding"/>
    <s v="High"/>
    <n v="3"/>
    <x v="1"/>
    <x v="0"/>
    <x v="2"/>
  </r>
  <r>
    <n v="388"/>
    <n v="29"/>
    <x v="1"/>
    <x v="1"/>
    <x v="0"/>
    <n v="2"/>
    <x v="0"/>
    <s v="Life Sciences"/>
    <s v="Medium"/>
    <x v="1"/>
    <s v="High"/>
    <x v="0"/>
    <x v="0"/>
    <s v="Single"/>
    <n v="4554"/>
    <n v="1"/>
    <x v="1"/>
    <n v="18"/>
    <s v="Excellent"/>
    <s v="Low"/>
    <n v="3"/>
    <x v="2"/>
    <x v="2"/>
    <x v="2"/>
  </r>
  <r>
    <n v="389"/>
    <n v="55"/>
    <x v="1"/>
    <x v="0"/>
    <x v="1"/>
    <n v="20"/>
    <x v="0"/>
    <s v="Technical Degree"/>
    <s v="Medium"/>
    <x v="1"/>
    <s v="High"/>
    <x v="2"/>
    <x v="0"/>
    <s v="Married"/>
    <n v="5415"/>
    <n v="3"/>
    <x v="0"/>
    <n v="19"/>
    <s v="Excellent"/>
    <s v="Very high"/>
    <n v="4"/>
    <x v="1"/>
    <x v="3"/>
    <x v="0"/>
  </r>
  <r>
    <n v="390"/>
    <n v="26"/>
    <x v="1"/>
    <x v="1"/>
    <x v="1"/>
    <n v="11"/>
    <x v="0"/>
    <s v="Medical"/>
    <s v="Low"/>
    <x v="1"/>
    <s v="High"/>
    <x v="4"/>
    <x v="3"/>
    <s v="Married"/>
    <n v="4741"/>
    <n v="1"/>
    <x v="0"/>
    <n v="13"/>
    <s v="Excellent"/>
    <s v="High"/>
    <n v="3"/>
    <x v="1"/>
    <x v="2"/>
    <x v="2"/>
  </r>
  <r>
    <n v="391"/>
    <n v="37"/>
    <x v="1"/>
    <x v="0"/>
    <x v="1"/>
    <n v="1"/>
    <x v="3"/>
    <s v="Life Sciences"/>
    <s v="Very high"/>
    <x v="0"/>
    <s v="High"/>
    <x v="1"/>
    <x v="0"/>
    <s v="Single"/>
    <n v="2115"/>
    <n v="1"/>
    <x v="1"/>
    <n v="12"/>
    <s v="Excellent"/>
    <s v="Medium"/>
    <n v="3"/>
    <x v="1"/>
    <x v="0"/>
    <x v="1"/>
  </r>
  <r>
    <n v="392"/>
    <n v="44"/>
    <x v="0"/>
    <x v="1"/>
    <x v="1"/>
    <n v="24"/>
    <x v="3"/>
    <s v="Life Sciences"/>
    <s v="Very high"/>
    <x v="1"/>
    <s v="High"/>
    <x v="2"/>
    <x v="2"/>
    <s v="Divorced"/>
    <n v="3161"/>
    <n v="3"/>
    <x v="0"/>
    <n v="22"/>
    <s v="Outstanding"/>
    <s v="Very high"/>
    <n v="0"/>
    <x v="0"/>
    <x v="0"/>
    <x v="2"/>
  </r>
  <r>
    <n v="393"/>
    <n v="38"/>
    <x v="1"/>
    <x v="0"/>
    <x v="1"/>
    <n v="23"/>
    <x v="2"/>
    <s v="Life Sciences"/>
    <s v="Very high"/>
    <x v="1"/>
    <s v="High"/>
    <x v="4"/>
    <x v="0"/>
    <s v="Divorced"/>
    <n v="5745"/>
    <n v="9"/>
    <x v="1"/>
    <n v="14"/>
    <s v="Excellent"/>
    <s v="Medium"/>
    <n v="2"/>
    <x v="1"/>
    <x v="0"/>
    <x v="0"/>
  </r>
  <r>
    <n v="394"/>
    <n v="26"/>
    <x v="0"/>
    <x v="0"/>
    <x v="1"/>
    <n v="16"/>
    <x v="2"/>
    <s v="Medical"/>
    <s v="Low"/>
    <x v="1"/>
    <s v="High"/>
    <x v="2"/>
    <x v="1"/>
    <s v="Divorced"/>
    <n v="2373"/>
    <n v="2"/>
    <x v="0"/>
    <n v="13"/>
    <s v="Excellent"/>
    <s v="Very high"/>
    <n v="2"/>
    <x v="1"/>
    <x v="2"/>
    <x v="1"/>
  </r>
  <r>
    <n v="395"/>
    <n v="28"/>
    <x v="1"/>
    <x v="0"/>
    <x v="1"/>
    <n v="8"/>
    <x v="0"/>
    <s v="Life Sciences"/>
    <s v="Very high"/>
    <x v="0"/>
    <s v="High"/>
    <x v="1"/>
    <x v="0"/>
    <s v="Single"/>
    <n v="3310"/>
    <n v="1"/>
    <x v="1"/>
    <n v="21"/>
    <s v="Outstanding"/>
    <s v="Very high"/>
    <n v="3"/>
    <x v="1"/>
    <x v="2"/>
    <x v="2"/>
  </r>
  <r>
    <n v="396"/>
    <n v="49"/>
    <x v="1"/>
    <x v="1"/>
    <x v="1"/>
    <n v="10"/>
    <x v="2"/>
    <s v="Life Sciences"/>
    <s v="High"/>
    <x v="0"/>
    <s v="High"/>
    <x v="7"/>
    <x v="3"/>
    <s v="Single"/>
    <n v="18665"/>
    <n v="9"/>
    <x v="0"/>
    <n v="11"/>
    <s v="Excellent"/>
    <s v="Very high"/>
    <n v="4"/>
    <x v="1"/>
    <x v="1"/>
    <x v="3"/>
  </r>
  <r>
    <n v="397"/>
    <n v="36"/>
    <x v="1"/>
    <x v="0"/>
    <x v="1"/>
    <n v="3"/>
    <x v="3"/>
    <s v="Technical Degree"/>
    <s v="High"/>
    <x v="1"/>
    <s v="High"/>
    <x v="1"/>
    <x v="1"/>
    <s v="Single"/>
    <n v="4485"/>
    <n v="4"/>
    <x v="1"/>
    <n v="12"/>
    <s v="Excellent"/>
    <s v="Very high"/>
    <n v="2"/>
    <x v="1"/>
    <x v="0"/>
    <x v="2"/>
  </r>
  <r>
    <n v="399"/>
    <n v="31"/>
    <x v="1"/>
    <x v="1"/>
    <x v="0"/>
    <n v="5"/>
    <x v="3"/>
    <s v="Marketing"/>
    <s v="Very high"/>
    <x v="0"/>
    <s v="High"/>
    <x v="6"/>
    <x v="1"/>
    <s v="Divorced"/>
    <n v="2789"/>
    <n v="1"/>
    <x v="1"/>
    <n v="11"/>
    <s v="Excellent"/>
    <s v="High"/>
    <n v="5"/>
    <x v="2"/>
    <x v="2"/>
    <x v="1"/>
  </r>
  <r>
    <n v="401"/>
    <n v="26"/>
    <x v="0"/>
    <x v="0"/>
    <x v="0"/>
    <n v="4"/>
    <x v="2"/>
    <s v="Marketing"/>
    <s v="Very high"/>
    <x v="1"/>
    <s v="Medium"/>
    <x v="0"/>
    <x v="0"/>
    <s v="Single"/>
    <n v="5828"/>
    <n v="1"/>
    <x v="0"/>
    <n v="12"/>
    <s v="Excellent"/>
    <s v="Medium"/>
    <n v="0"/>
    <x v="1"/>
    <x v="2"/>
    <x v="0"/>
  </r>
  <r>
    <n v="403"/>
    <n v="37"/>
    <x v="1"/>
    <x v="1"/>
    <x v="1"/>
    <n v="9"/>
    <x v="3"/>
    <s v="Medical"/>
    <s v="Medium"/>
    <x v="1"/>
    <s v="High"/>
    <x v="1"/>
    <x v="0"/>
    <s v="Married"/>
    <n v="2326"/>
    <n v="1"/>
    <x v="0"/>
    <n v="12"/>
    <s v="Excellent"/>
    <s v="High"/>
    <n v="3"/>
    <x v="2"/>
    <x v="0"/>
    <x v="1"/>
  </r>
  <r>
    <n v="404"/>
    <n v="42"/>
    <x v="1"/>
    <x v="1"/>
    <x v="0"/>
    <n v="26"/>
    <x v="3"/>
    <s v="Marketing"/>
    <s v="High"/>
    <x v="0"/>
    <s v="High"/>
    <x v="0"/>
    <x v="1"/>
    <s v="Married"/>
    <n v="13525"/>
    <n v="5"/>
    <x v="1"/>
    <n v="14"/>
    <s v="Excellent"/>
    <s v="Very high"/>
    <n v="2"/>
    <x v="3"/>
    <x v="0"/>
    <x v="3"/>
  </r>
  <r>
    <n v="405"/>
    <n v="18"/>
    <x v="0"/>
    <x v="0"/>
    <x v="1"/>
    <n v="3"/>
    <x v="3"/>
    <s v="Life Sciences"/>
    <s v="High"/>
    <x v="1"/>
    <s v="High"/>
    <x v="2"/>
    <x v="2"/>
    <s v="Single"/>
    <n v="1420"/>
    <n v="1"/>
    <x v="1"/>
    <n v="13"/>
    <s v="Excellent"/>
    <s v="High"/>
    <n v="2"/>
    <x v="1"/>
    <x v="4"/>
    <x v="1"/>
  </r>
  <r>
    <n v="406"/>
    <n v="35"/>
    <x v="1"/>
    <x v="0"/>
    <x v="0"/>
    <n v="16"/>
    <x v="3"/>
    <s v="Marketing"/>
    <s v="High"/>
    <x v="1"/>
    <s v="High"/>
    <x v="0"/>
    <x v="1"/>
    <s v="Married"/>
    <n v="8020"/>
    <n v="0"/>
    <x v="1"/>
    <n v="15"/>
    <s v="Excellent"/>
    <s v="High"/>
    <n v="3"/>
    <x v="2"/>
    <x v="0"/>
    <x v="3"/>
  </r>
  <r>
    <n v="407"/>
    <n v="36"/>
    <x v="1"/>
    <x v="1"/>
    <x v="1"/>
    <n v="18"/>
    <x v="2"/>
    <s v="Life Sciences"/>
    <s v="High"/>
    <x v="1"/>
    <s v="Very high"/>
    <x v="2"/>
    <x v="0"/>
    <s v="Married"/>
    <n v="3688"/>
    <n v="4"/>
    <x v="1"/>
    <n v="18"/>
    <s v="Excellent"/>
    <s v="Very high"/>
    <n v="2"/>
    <x v="1"/>
    <x v="0"/>
    <x v="2"/>
  </r>
  <r>
    <n v="408"/>
    <n v="51"/>
    <x v="1"/>
    <x v="0"/>
    <x v="1"/>
    <n v="2"/>
    <x v="3"/>
    <s v="Medical"/>
    <s v="Very high"/>
    <x v="1"/>
    <s v="Low"/>
    <x v="3"/>
    <x v="1"/>
    <s v="Divorced"/>
    <n v="5482"/>
    <n v="5"/>
    <x v="1"/>
    <n v="18"/>
    <s v="Excellent"/>
    <s v="Very high"/>
    <n v="3"/>
    <x v="1"/>
    <x v="1"/>
    <x v="0"/>
  </r>
  <r>
    <n v="410"/>
    <n v="41"/>
    <x v="1"/>
    <x v="0"/>
    <x v="0"/>
    <n v="2"/>
    <x v="2"/>
    <s v="Life Sciences"/>
    <s v="Very high"/>
    <x v="1"/>
    <s v="High"/>
    <x v="5"/>
    <x v="1"/>
    <s v="Single"/>
    <n v="16015"/>
    <n v="1"/>
    <x v="1"/>
    <n v="19"/>
    <s v="Excellent"/>
    <s v="Medium"/>
    <n v="2"/>
    <x v="1"/>
    <x v="0"/>
    <x v="3"/>
  </r>
  <r>
    <n v="411"/>
    <n v="18"/>
    <x v="1"/>
    <x v="0"/>
    <x v="0"/>
    <n v="10"/>
    <x v="3"/>
    <s v="Medical"/>
    <s v="Very high"/>
    <x v="0"/>
    <s v="Medium"/>
    <x v="6"/>
    <x v="2"/>
    <s v="Single"/>
    <n v="1200"/>
    <n v="1"/>
    <x v="1"/>
    <n v="12"/>
    <s v="Excellent"/>
    <s v="Low"/>
    <n v="2"/>
    <x v="1"/>
    <x v="4"/>
    <x v="1"/>
  </r>
  <r>
    <n v="412"/>
    <n v="28"/>
    <x v="1"/>
    <x v="0"/>
    <x v="1"/>
    <n v="16"/>
    <x v="0"/>
    <s v="Medical"/>
    <s v="Medium"/>
    <x v="1"/>
    <s v="Very high"/>
    <x v="4"/>
    <x v="3"/>
    <s v="Single"/>
    <n v="5661"/>
    <n v="0"/>
    <x v="1"/>
    <n v="19"/>
    <s v="Excellent"/>
    <s v="High"/>
    <n v="2"/>
    <x v="1"/>
    <x v="2"/>
    <x v="0"/>
  </r>
  <r>
    <n v="416"/>
    <n v="31"/>
    <x v="1"/>
    <x v="0"/>
    <x v="0"/>
    <n v="7"/>
    <x v="3"/>
    <s v="Technical Degree"/>
    <s v="Medium"/>
    <x v="1"/>
    <s v="Very high"/>
    <x v="0"/>
    <x v="0"/>
    <s v="Married"/>
    <n v="6929"/>
    <n v="4"/>
    <x v="1"/>
    <n v="11"/>
    <s v="Excellent"/>
    <s v="Medium"/>
    <n v="3"/>
    <x v="2"/>
    <x v="2"/>
    <x v="0"/>
  </r>
  <r>
    <n v="417"/>
    <n v="39"/>
    <x v="1"/>
    <x v="0"/>
    <x v="1"/>
    <n v="1"/>
    <x v="3"/>
    <s v="Medical"/>
    <s v="High"/>
    <x v="1"/>
    <s v="Very high"/>
    <x v="4"/>
    <x v="0"/>
    <s v="Divorced"/>
    <n v="9613"/>
    <n v="0"/>
    <x v="1"/>
    <n v="17"/>
    <s v="Excellent"/>
    <s v="Low"/>
    <n v="5"/>
    <x v="2"/>
    <x v="0"/>
    <x v="3"/>
  </r>
  <r>
    <n v="419"/>
    <n v="36"/>
    <x v="1"/>
    <x v="2"/>
    <x v="1"/>
    <n v="24"/>
    <x v="2"/>
    <s v="Life Sciences"/>
    <s v="Medium"/>
    <x v="0"/>
    <s v="High"/>
    <x v="2"/>
    <x v="1"/>
    <s v="Married"/>
    <n v="5674"/>
    <n v="7"/>
    <x v="1"/>
    <n v="15"/>
    <s v="Excellent"/>
    <s v="High"/>
    <n v="3"/>
    <x v="1"/>
    <x v="0"/>
    <x v="0"/>
  </r>
  <r>
    <n v="420"/>
    <n v="32"/>
    <x v="1"/>
    <x v="0"/>
    <x v="0"/>
    <n v="7"/>
    <x v="3"/>
    <s v="Life Sciences"/>
    <s v="Very high"/>
    <x v="1"/>
    <s v="Medium"/>
    <x v="0"/>
    <x v="2"/>
    <s v="Married"/>
    <n v="5484"/>
    <n v="1"/>
    <x v="1"/>
    <n v="14"/>
    <s v="Excellent"/>
    <s v="High"/>
    <n v="3"/>
    <x v="2"/>
    <x v="2"/>
    <x v="0"/>
  </r>
  <r>
    <n v="421"/>
    <n v="38"/>
    <x v="1"/>
    <x v="0"/>
    <x v="1"/>
    <n v="25"/>
    <x v="0"/>
    <s v="Life Sciences"/>
    <s v="Low"/>
    <x v="0"/>
    <s v="Medium"/>
    <x v="7"/>
    <x v="1"/>
    <s v="Married"/>
    <n v="12061"/>
    <n v="3"/>
    <x v="1"/>
    <n v="17"/>
    <s v="Excellent"/>
    <s v="High"/>
    <n v="2"/>
    <x v="1"/>
    <x v="0"/>
    <x v="3"/>
  </r>
  <r>
    <n v="422"/>
    <n v="58"/>
    <x v="1"/>
    <x v="2"/>
    <x v="1"/>
    <n v="1"/>
    <x v="2"/>
    <s v="Life Sciences"/>
    <s v="Very high"/>
    <x v="1"/>
    <s v="Low"/>
    <x v="4"/>
    <x v="2"/>
    <s v="Divorced"/>
    <n v="5660"/>
    <n v="2"/>
    <x v="0"/>
    <n v="13"/>
    <s v="Excellent"/>
    <s v="Very high"/>
    <n v="2"/>
    <x v="1"/>
    <x v="3"/>
    <x v="0"/>
  </r>
  <r>
    <n v="423"/>
    <n v="31"/>
    <x v="1"/>
    <x v="0"/>
    <x v="1"/>
    <n v="5"/>
    <x v="2"/>
    <s v="Technical Degree"/>
    <s v="High"/>
    <x v="1"/>
    <s v="High"/>
    <x v="1"/>
    <x v="0"/>
    <s v="Married"/>
    <n v="4821"/>
    <n v="0"/>
    <x v="0"/>
    <n v="12"/>
    <s v="Excellent"/>
    <s v="High"/>
    <n v="4"/>
    <x v="1"/>
    <x v="2"/>
    <x v="2"/>
  </r>
  <r>
    <n v="424"/>
    <n v="31"/>
    <x v="1"/>
    <x v="0"/>
    <x v="2"/>
    <n v="2"/>
    <x v="3"/>
    <s v="Human Resources"/>
    <s v="Low"/>
    <x v="1"/>
    <s v="Medium"/>
    <x v="8"/>
    <x v="3"/>
    <s v="Married"/>
    <n v="6410"/>
    <n v="3"/>
    <x v="1"/>
    <n v="12"/>
    <s v="Excellent"/>
    <s v="Very high"/>
    <n v="1"/>
    <x v="1"/>
    <x v="2"/>
    <x v="0"/>
  </r>
  <r>
    <n v="425"/>
    <n v="45"/>
    <x v="1"/>
    <x v="1"/>
    <x v="1"/>
    <n v="7"/>
    <x v="3"/>
    <s v="Life Sciences"/>
    <s v="Low"/>
    <x v="1"/>
    <s v="High"/>
    <x v="2"/>
    <x v="3"/>
    <s v="Divorced"/>
    <n v="5210"/>
    <n v="1"/>
    <x v="1"/>
    <n v="18"/>
    <s v="Excellent"/>
    <s v="Low"/>
    <n v="2"/>
    <x v="1"/>
    <x v="1"/>
    <x v="0"/>
  </r>
  <r>
    <n v="426"/>
    <n v="31"/>
    <x v="1"/>
    <x v="0"/>
    <x v="1"/>
    <n v="2"/>
    <x v="2"/>
    <s v="Life Sciences"/>
    <s v="High"/>
    <x v="1"/>
    <s v="High"/>
    <x v="1"/>
    <x v="0"/>
    <s v="Divorced"/>
    <n v="2695"/>
    <n v="0"/>
    <x v="0"/>
    <n v="18"/>
    <s v="Excellent"/>
    <s v="Medium"/>
    <n v="2"/>
    <x v="0"/>
    <x v="2"/>
    <x v="1"/>
  </r>
  <r>
    <n v="428"/>
    <n v="33"/>
    <x v="1"/>
    <x v="1"/>
    <x v="1"/>
    <n v="5"/>
    <x v="2"/>
    <s v="Life Sciences"/>
    <s v="Very high"/>
    <x v="0"/>
    <s v="High"/>
    <x v="5"/>
    <x v="1"/>
    <s v="Married"/>
    <n v="11878"/>
    <n v="6"/>
    <x v="1"/>
    <n v="11"/>
    <s v="Excellent"/>
    <s v="Medium"/>
    <n v="2"/>
    <x v="1"/>
    <x v="2"/>
    <x v="3"/>
  </r>
  <r>
    <n v="429"/>
    <n v="39"/>
    <x v="1"/>
    <x v="0"/>
    <x v="1"/>
    <n v="10"/>
    <x v="1"/>
    <s v="Medical"/>
    <s v="High"/>
    <x v="1"/>
    <s v="High"/>
    <x v="5"/>
    <x v="3"/>
    <s v="Married"/>
    <n v="17068"/>
    <n v="1"/>
    <x v="0"/>
    <n v="14"/>
    <s v="Excellent"/>
    <s v="Very high"/>
    <n v="3"/>
    <x v="1"/>
    <x v="0"/>
    <x v="3"/>
  </r>
  <r>
    <n v="430"/>
    <n v="43"/>
    <x v="1"/>
    <x v="1"/>
    <x v="1"/>
    <n v="10"/>
    <x v="2"/>
    <s v="Life Sciences"/>
    <s v="High"/>
    <x v="0"/>
    <s v="High"/>
    <x v="2"/>
    <x v="0"/>
    <s v="Single"/>
    <n v="2455"/>
    <n v="0"/>
    <x v="1"/>
    <n v="19"/>
    <s v="Excellent"/>
    <s v="Low"/>
    <n v="5"/>
    <x v="1"/>
    <x v="0"/>
    <x v="1"/>
  </r>
  <r>
    <n v="431"/>
    <n v="49"/>
    <x v="1"/>
    <x v="0"/>
    <x v="1"/>
    <n v="1"/>
    <x v="0"/>
    <s v="Technical Degree"/>
    <s v="High"/>
    <x v="0"/>
    <s v="Medium"/>
    <x v="4"/>
    <x v="2"/>
    <s v="Single"/>
    <n v="13964"/>
    <n v="7"/>
    <x v="0"/>
    <n v="12"/>
    <s v="Excellent"/>
    <s v="Very high"/>
    <n v="2"/>
    <x v="1"/>
    <x v="1"/>
    <x v="3"/>
  </r>
  <r>
    <n v="433"/>
    <n v="52"/>
    <x v="0"/>
    <x v="0"/>
    <x v="1"/>
    <n v="8"/>
    <x v="2"/>
    <s v="Medical"/>
    <s v="High"/>
    <x v="1"/>
    <s v="Medium"/>
    <x v="1"/>
    <x v="1"/>
    <s v="Married"/>
    <n v="4941"/>
    <n v="2"/>
    <x v="1"/>
    <n v="15"/>
    <s v="Excellent"/>
    <s v="Low"/>
    <n v="3"/>
    <x v="2"/>
    <x v="1"/>
    <x v="2"/>
  </r>
  <r>
    <n v="434"/>
    <n v="27"/>
    <x v="1"/>
    <x v="0"/>
    <x v="1"/>
    <n v="5"/>
    <x v="3"/>
    <s v="Life Sciences"/>
    <s v="High"/>
    <x v="0"/>
    <s v="High"/>
    <x v="1"/>
    <x v="1"/>
    <s v="Single"/>
    <n v="2478"/>
    <n v="1"/>
    <x v="0"/>
    <n v="12"/>
    <s v="Excellent"/>
    <s v="Medium"/>
    <n v="2"/>
    <x v="2"/>
    <x v="2"/>
    <x v="1"/>
  </r>
  <r>
    <n v="436"/>
    <n v="32"/>
    <x v="1"/>
    <x v="0"/>
    <x v="0"/>
    <n v="8"/>
    <x v="0"/>
    <s v="Technical Degree"/>
    <s v="High"/>
    <x v="0"/>
    <s v="Medium"/>
    <x v="0"/>
    <x v="1"/>
    <s v="Married"/>
    <n v="5228"/>
    <n v="1"/>
    <x v="0"/>
    <n v="11"/>
    <s v="Excellent"/>
    <s v="Very high"/>
    <n v="2"/>
    <x v="1"/>
    <x v="2"/>
    <x v="0"/>
  </r>
  <r>
    <n v="437"/>
    <n v="27"/>
    <x v="1"/>
    <x v="0"/>
    <x v="0"/>
    <n v="2"/>
    <x v="3"/>
    <s v="Life Sciences"/>
    <s v="Very high"/>
    <x v="1"/>
    <s v="High"/>
    <x v="0"/>
    <x v="2"/>
    <s v="Single"/>
    <n v="4478"/>
    <n v="1"/>
    <x v="0"/>
    <n v="11"/>
    <s v="Excellent"/>
    <s v="Low"/>
    <n v="3"/>
    <x v="1"/>
    <x v="2"/>
    <x v="2"/>
  </r>
  <r>
    <n v="438"/>
    <n v="31"/>
    <x v="1"/>
    <x v="0"/>
    <x v="0"/>
    <n v="7"/>
    <x v="3"/>
    <s v="Marketing"/>
    <s v="Very high"/>
    <x v="1"/>
    <s v="High"/>
    <x v="0"/>
    <x v="0"/>
    <s v="Divorced"/>
    <n v="7547"/>
    <n v="4"/>
    <x v="1"/>
    <n v="12"/>
    <s v="Excellent"/>
    <s v="Very high"/>
    <n v="3"/>
    <x v="1"/>
    <x v="2"/>
    <x v="0"/>
  </r>
  <r>
    <n v="439"/>
    <n v="32"/>
    <x v="1"/>
    <x v="0"/>
    <x v="1"/>
    <n v="2"/>
    <x v="2"/>
    <s v="Medical"/>
    <s v="Low"/>
    <x v="0"/>
    <s v="Very high"/>
    <x v="1"/>
    <x v="0"/>
    <s v="Single"/>
    <n v="5055"/>
    <n v="7"/>
    <x v="1"/>
    <n v="16"/>
    <s v="Excellent"/>
    <s v="High"/>
    <n v="0"/>
    <x v="2"/>
    <x v="2"/>
    <x v="0"/>
  </r>
  <r>
    <n v="440"/>
    <n v="28"/>
    <x v="0"/>
    <x v="0"/>
    <x v="1"/>
    <n v="2"/>
    <x v="2"/>
    <s v="Medical"/>
    <s v="Low"/>
    <x v="1"/>
    <s v="Low"/>
    <x v="1"/>
    <x v="0"/>
    <s v="Married"/>
    <n v="3464"/>
    <n v="5"/>
    <x v="0"/>
    <n v="13"/>
    <s v="Excellent"/>
    <s v="Very high"/>
    <n v="4"/>
    <x v="2"/>
    <x v="2"/>
    <x v="2"/>
  </r>
  <r>
    <n v="441"/>
    <n v="30"/>
    <x v="1"/>
    <x v="0"/>
    <x v="1"/>
    <n v="28"/>
    <x v="0"/>
    <s v="Medical"/>
    <s v="Very high"/>
    <x v="0"/>
    <s v="High"/>
    <x v="1"/>
    <x v="0"/>
    <s v="Married"/>
    <n v="5775"/>
    <n v="1"/>
    <x v="1"/>
    <n v="13"/>
    <s v="Excellent"/>
    <s v="Very high"/>
    <n v="2"/>
    <x v="1"/>
    <x v="2"/>
    <x v="0"/>
  </r>
  <r>
    <n v="442"/>
    <n v="31"/>
    <x v="1"/>
    <x v="1"/>
    <x v="1"/>
    <n v="7"/>
    <x v="0"/>
    <s v="Life Sciences"/>
    <s v="High"/>
    <x v="0"/>
    <s v="Medium"/>
    <x v="3"/>
    <x v="2"/>
    <s v="Married"/>
    <n v="8943"/>
    <n v="1"/>
    <x v="1"/>
    <n v="24"/>
    <s v="Outstanding"/>
    <s v="Low"/>
    <n v="2"/>
    <x v="1"/>
    <x v="2"/>
    <x v="3"/>
  </r>
  <r>
    <n v="444"/>
    <n v="39"/>
    <x v="1"/>
    <x v="1"/>
    <x v="1"/>
    <n v="7"/>
    <x v="0"/>
    <s v="Medical"/>
    <s v="High"/>
    <x v="1"/>
    <s v="Medium"/>
    <x v="5"/>
    <x v="0"/>
    <s v="Married"/>
    <n v="19272"/>
    <n v="1"/>
    <x v="1"/>
    <n v="15"/>
    <s v="Excellent"/>
    <s v="Low"/>
    <n v="2"/>
    <x v="1"/>
    <x v="0"/>
    <x v="3"/>
  </r>
  <r>
    <n v="445"/>
    <n v="39"/>
    <x v="0"/>
    <x v="0"/>
    <x v="0"/>
    <n v="3"/>
    <x v="0"/>
    <s v="Medical"/>
    <s v="Very high"/>
    <x v="0"/>
    <s v="High"/>
    <x v="0"/>
    <x v="2"/>
    <s v="Married"/>
    <n v="5238"/>
    <n v="4"/>
    <x v="0"/>
    <n v="18"/>
    <s v="Excellent"/>
    <s v="Low"/>
    <n v="3"/>
    <x v="2"/>
    <x v="0"/>
    <x v="0"/>
  </r>
  <r>
    <n v="446"/>
    <n v="33"/>
    <x v="1"/>
    <x v="1"/>
    <x v="0"/>
    <n v="10"/>
    <x v="3"/>
    <s v="Marketing"/>
    <s v="Medium"/>
    <x v="1"/>
    <s v="Medium"/>
    <x v="0"/>
    <x v="0"/>
    <s v="Single"/>
    <n v="4682"/>
    <n v="3"/>
    <x v="1"/>
    <n v="14"/>
    <s v="Excellent"/>
    <s v="High"/>
    <n v="6"/>
    <x v="2"/>
    <x v="2"/>
    <x v="2"/>
  </r>
  <r>
    <n v="447"/>
    <n v="47"/>
    <x v="1"/>
    <x v="0"/>
    <x v="1"/>
    <n v="5"/>
    <x v="4"/>
    <s v="Life Sciences"/>
    <s v="Very high"/>
    <x v="1"/>
    <s v="High"/>
    <x v="7"/>
    <x v="2"/>
    <s v="Married"/>
    <n v="18300"/>
    <n v="4"/>
    <x v="1"/>
    <n v="11"/>
    <s v="Excellent"/>
    <s v="Medium"/>
    <n v="2"/>
    <x v="1"/>
    <x v="1"/>
    <x v="3"/>
  </r>
  <r>
    <n v="448"/>
    <n v="43"/>
    <x v="1"/>
    <x v="1"/>
    <x v="1"/>
    <n v="10"/>
    <x v="2"/>
    <s v="Life Sciences"/>
    <s v="High"/>
    <x v="0"/>
    <s v="Medium"/>
    <x v="2"/>
    <x v="2"/>
    <s v="Divorced"/>
    <n v="5257"/>
    <n v="1"/>
    <x v="1"/>
    <n v="11"/>
    <s v="Excellent"/>
    <s v="Medium"/>
    <n v="3"/>
    <x v="3"/>
    <x v="0"/>
    <x v="0"/>
  </r>
  <r>
    <n v="449"/>
    <n v="27"/>
    <x v="1"/>
    <x v="2"/>
    <x v="0"/>
    <n v="1"/>
    <x v="1"/>
    <s v="Marketing"/>
    <s v="High"/>
    <x v="1"/>
    <s v="High"/>
    <x v="0"/>
    <x v="1"/>
    <s v="Married"/>
    <n v="6349"/>
    <n v="0"/>
    <x v="0"/>
    <n v="13"/>
    <s v="Excellent"/>
    <s v="Very high"/>
    <n v="0"/>
    <x v="1"/>
    <x v="2"/>
    <x v="0"/>
  </r>
  <r>
    <n v="450"/>
    <n v="54"/>
    <x v="1"/>
    <x v="1"/>
    <x v="1"/>
    <n v="20"/>
    <x v="2"/>
    <s v="Life Sciences"/>
    <s v="Very high"/>
    <x v="0"/>
    <s v="High"/>
    <x v="1"/>
    <x v="2"/>
    <s v="Single"/>
    <n v="4869"/>
    <n v="3"/>
    <x v="1"/>
    <n v="12"/>
    <s v="Excellent"/>
    <s v="Very high"/>
    <n v="4"/>
    <x v="2"/>
    <x v="1"/>
    <x v="2"/>
  </r>
  <r>
    <n v="451"/>
    <n v="43"/>
    <x v="1"/>
    <x v="0"/>
    <x v="1"/>
    <n v="7"/>
    <x v="3"/>
    <s v="Life Sciences"/>
    <s v="High"/>
    <x v="0"/>
    <s v="High"/>
    <x v="4"/>
    <x v="3"/>
    <s v="Married"/>
    <n v="9985"/>
    <n v="8"/>
    <x v="1"/>
    <n v="16"/>
    <s v="Excellent"/>
    <s v="Low"/>
    <n v="1"/>
    <x v="2"/>
    <x v="0"/>
    <x v="3"/>
  </r>
  <r>
    <n v="452"/>
    <n v="45"/>
    <x v="1"/>
    <x v="0"/>
    <x v="1"/>
    <n v="8"/>
    <x v="2"/>
    <s v="Other"/>
    <s v="Very high"/>
    <x v="1"/>
    <s v="High"/>
    <x v="1"/>
    <x v="0"/>
    <s v="Married"/>
    <n v="3697"/>
    <n v="9"/>
    <x v="1"/>
    <n v="14"/>
    <s v="Excellent"/>
    <s v="Low"/>
    <n v="3"/>
    <x v="1"/>
    <x v="1"/>
    <x v="2"/>
  </r>
  <r>
    <n v="453"/>
    <n v="40"/>
    <x v="1"/>
    <x v="0"/>
    <x v="0"/>
    <n v="1"/>
    <x v="0"/>
    <s v="Medical"/>
    <s v="Medium"/>
    <x v="1"/>
    <s v="Low"/>
    <x v="0"/>
    <x v="0"/>
    <s v="Married"/>
    <n v="7457"/>
    <n v="2"/>
    <x v="0"/>
    <n v="22"/>
    <s v="Outstanding"/>
    <s v="High"/>
    <n v="2"/>
    <x v="2"/>
    <x v="0"/>
    <x v="0"/>
  </r>
  <r>
    <n v="454"/>
    <n v="29"/>
    <x v="0"/>
    <x v="0"/>
    <x v="1"/>
    <n v="8"/>
    <x v="2"/>
    <s v="Other"/>
    <s v="Medium"/>
    <x v="1"/>
    <s v="Low"/>
    <x v="2"/>
    <x v="3"/>
    <s v="Married"/>
    <n v="2119"/>
    <n v="1"/>
    <x v="0"/>
    <n v="11"/>
    <s v="Excellent"/>
    <s v="Very high"/>
    <n v="4"/>
    <x v="2"/>
    <x v="2"/>
    <x v="1"/>
  </r>
  <r>
    <n v="455"/>
    <n v="29"/>
    <x v="1"/>
    <x v="0"/>
    <x v="1"/>
    <n v="9"/>
    <x v="4"/>
    <s v="Other"/>
    <s v="Medium"/>
    <x v="1"/>
    <s v="Medium"/>
    <x v="2"/>
    <x v="0"/>
    <s v="Single"/>
    <n v="3983"/>
    <n v="0"/>
    <x v="1"/>
    <n v="17"/>
    <s v="Excellent"/>
    <s v="High"/>
    <n v="2"/>
    <x v="1"/>
    <x v="2"/>
    <x v="2"/>
  </r>
  <r>
    <n v="456"/>
    <n v="30"/>
    <x v="1"/>
    <x v="0"/>
    <x v="0"/>
    <n v="5"/>
    <x v="3"/>
    <s v="Marketing"/>
    <s v="Very high"/>
    <x v="0"/>
    <s v="Medium"/>
    <x v="0"/>
    <x v="2"/>
    <s v="Divorced"/>
    <n v="6118"/>
    <n v="1"/>
    <x v="1"/>
    <n v="13"/>
    <s v="Excellent"/>
    <s v="High"/>
    <n v="2"/>
    <x v="1"/>
    <x v="2"/>
    <x v="0"/>
  </r>
  <r>
    <n v="458"/>
    <n v="27"/>
    <x v="1"/>
    <x v="0"/>
    <x v="0"/>
    <n v="8"/>
    <x v="2"/>
    <s v="Marketing"/>
    <s v="Medium"/>
    <x v="0"/>
    <s v="High"/>
    <x v="0"/>
    <x v="1"/>
    <s v="Married"/>
    <n v="6214"/>
    <n v="1"/>
    <x v="1"/>
    <n v="18"/>
    <s v="Excellent"/>
    <s v="Low"/>
    <n v="3"/>
    <x v="1"/>
    <x v="2"/>
    <x v="0"/>
  </r>
  <r>
    <n v="460"/>
    <n v="37"/>
    <x v="1"/>
    <x v="0"/>
    <x v="1"/>
    <n v="5"/>
    <x v="0"/>
    <s v="Medical"/>
    <s v="Very high"/>
    <x v="1"/>
    <s v="High"/>
    <x v="3"/>
    <x v="0"/>
    <s v="Divorced"/>
    <n v="6347"/>
    <n v="7"/>
    <x v="1"/>
    <n v="16"/>
    <s v="Excellent"/>
    <s v="High"/>
    <n v="2"/>
    <x v="2"/>
    <x v="0"/>
    <x v="0"/>
  </r>
  <r>
    <n v="461"/>
    <n v="38"/>
    <x v="1"/>
    <x v="0"/>
    <x v="1"/>
    <n v="15"/>
    <x v="0"/>
    <s v="Life Sciences"/>
    <s v="High"/>
    <x v="1"/>
    <s v="Medium"/>
    <x v="7"/>
    <x v="0"/>
    <s v="Divorced"/>
    <n v="11510"/>
    <n v="0"/>
    <x v="0"/>
    <n v="14"/>
    <s v="Excellent"/>
    <s v="Medium"/>
    <n v="3"/>
    <x v="1"/>
    <x v="0"/>
    <x v="3"/>
  </r>
  <r>
    <n v="462"/>
    <n v="31"/>
    <x v="1"/>
    <x v="0"/>
    <x v="1"/>
    <n v="7"/>
    <x v="2"/>
    <s v="Medical"/>
    <s v="High"/>
    <x v="0"/>
    <s v="High"/>
    <x v="3"/>
    <x v="0"/>
    <s v="Single"/>
    <n v="7143"/>
    <n v="1"/>
    <x v="0"/>
    <n v="14"/>
    <s v="Excellent"/>
    <s v="High"/>
    <n v="2"/>
    <x v="2"/>
    <x v="2"/>
    <x v="0"/>
  </r>
  <r>
    <n v="463"/>
    <n v="29"/>
    <x v="1"/>
    <x v="0"/>
    <x v="0"/>
    <n v="10"/>
    <x v="1"/>
    <s v="Marketing"/>
    <s v="Very high"/>
    <x v="0"/>
    <s v="Medium"/>
    <x v="0"/>
    <x v="1"/>
    <s v="Divorced"/>
    <n v="8268"/>
    <n v="1"/>
    <x v="0"/>
    <n v="14"/>
    <s v="Excellent"/>
    <s v="Low"/>
    <n v="2"/>
    <x v="1"/>
    <x v="2"/>
    <x v="3"/>
  </r>
  <r>
    <n v="464"/>
    <n v="35"/>
    <x v="1"/>
    <x v="0"/>
    <x v="1"/>
    <n v="5"/>
    <x v="2"/>
    <s v="Technical Degree"/>
    <s v="High"/>
    <x v="1"/>
    <s v="High"/>
    <x v="3"/>
    <x v="1"/>
    <s v="Single"/>
    <n v="8095"/>
    <n v="0"/>
    <x v="1"/>
    <n v="13"/>
    <s v="Excellent"/>
    <s v="Very high"/>
    <n v="5"/>
    <x v="1"/>
    <x v="0"/>
    <x v="3"/>
  </r>
  <r>
    <n v="465"/>
    <n v="23"/>
    <x v="1"/>
    <x v="0"/>
    <x v="1"/>
    <n v="26"/>
    <x v="1"/>
    <s v="Life Sciences"/>
    <s v="High"/>
    <x v="1"/>
    <s v="High"/>
    <x v="1"/>
    <x v="0"/>
    <s v="Divorced"/>
    <n v="2904"/>
    <n v="1"/>
    <x v="1"/>
    <n v="12"/>
    <s v="Excellent"/>
    <s v="High"/>
    <n v="2"/>
    <x v="2"/>
    <x v="4"/>
    <x v="1"/>
  </r>
  <r>
    <n v="466"/>
    <n v="41"/>
    <x v="1"/>
    <x v="0"/>
    <x v="1"/>
    <n v="6"/>
    <x v="3"/>
    <s v="Medical"/>
    <s v="Very high"/>
    <x v="1"/>
    <s v="Medium"/>
    <x v="3"/>
    <x v="1"/>
    <s v="Single"/>
    <n v="6032"/>
    <n v="6"/>
    <x v="0"/>
    <n v="15"/>
    <s v="Excellent"/>
    <s v="Very high"/>
    <n v="3"/>
    <x v="1"/>
    <x v="0"/>
    <x v="0"/>
  </r>
  <r>
    <n v="467"/>
    <n v="47"/>
    <x v="1"/>
    <x v="1"/>
    <x v="0"/>
    <n v="4"/>
    <x v="1"/>
    <s v="Medical"/>
    <s v="Medium"/>
    <x v="1"/>
    <s v="High"/>
    <x v="6"/>
    <x v="2"/>
    <s v="Single"/>
    <n v="2976"/>
    <n v="3"/>
    <x v="1"/>
    <n v="19"/>
    <s v="Excellent"/>
    <s v="Low"/>
    <n v="3"/>
    <x v="1"/>
    <x v="1"/>
    <x v="1"/>
  </r>
  <r>
    <n v="468"/>
    <n v="42"/>
    <x v="1"/>
    <x v="0"/>
    <x v="1"/>
    <n v="23"/>
    <x v="4"/>
    <s v="Life Sciences"/>
    <s v="Low"/>
    <x v="0"/>
    <s v="High"/>
    <x v="7"/>
    <x v="0"/>
    <s v="Single"/>
    <n v="15992"/>
    <n v="2"/>
    <x v="1"/>
    <n v="14"/>
    <s v="Excellent"/>
    <s v="Medium"/>
    <n v="2"/>
    <x v="1"/>
    <x v="0"/>
    <x v="3"/>
  </r>
  <r>
    <n v="469"/>
    <n v="29"/>
    <x v="1"/>
    <x v="2"/>
    <x v="0"/>
    <n v="2"/>
    <x v="3"/>
    <s v="Life Sciences"/>
    <s v="Very high"/>
    <x v="1"/>
    <s v="High"/>
    <x v="0"/>
    <x v="2"/>
    <s v="Married"/>
    <n v="4649"/>
    <n v="1"/>
    <x v="1"/>
    <n v="14"/>
    <s v="Excellent"/>
    <s v="Low"/>
    <n v="3"/>
    <x v="2"/>
    <x v="2"/>
    <x v="2"/>
  </r>
  <r>
    <n v="470"/>
    <n v="42"/>
    <x v="1"/>
    <x v="0"/>
    <x v="2"/>
    <n v="2"/>
    <x v="1"/>
    <s v="Technical Degree"/>
    <s v="High"/>
    <x v="1"/>
    <s v="High"/>
    <x v="8"/>
    <x v="2"/>
    <s v="Divorced"/>
    <n v="2696"/>
    <n v="0"/>
    <x v="0"/>
    <n v="11"/>
    <s v="Excellent"/>
    <s v="High"/>
    <n v="5"/>
    <x v="1"/>
    <x v="0"/>
    <x v="1"/>
  </r>
  <r>
    <n v="471"/>
    <n v="32"/>
    <x v="1"/>
    <x v="0"/>
    <x v="1"/>
    <n v="2"/>
    <x v="3"/>
    <s v="Medical"/>
    <s v="High"/>
    <x v="0"/>
    <s v="High"/>
    <x v="2"/>
    <x v="1"/>
    <s v="Married"/>
    <n v="2370"/>
    <n v="1"/>
    <x v="1"/>
    <n v="13"/>
    <s v="Excellent"/>
    <s v="High"/>
    <n v="4"/>
    <x v="1"/>
    <x v="2"/>
    <x v="1"/>
  </r>
  <r>
    <n v="473"/>
    <n v="48"/>
    <x v="1"/>
    <x v="0"/>
    <x v="0"/>
    <n v="29"/>
    <x v="1"/>
    <s v="Medical"/>
    <s v="Low"/>
    <x v="0"/>
    <s v="High"/>
    <x v="5"/>
    <x v="2"/>
    <s v="Married"/>
    <n v="12504"/>
    <n v="3"/>
    <x v="1"/>
    <n v="21"/>
    <s v="Outstanding"/>
    <s v="Medium"/>
    <n v="3"/>
    <x v="0"/>
    <x v="1"/>
    <x v="3"/>
  </r>
  <r>
    <n v="474"/>
    <n v="37"/>
    <x v="1"/>
    <x v="0"/>
    <x v="1"/>
    <n v="6"/>
    <x v="3"/>
    <s v="Medical"/>
    <s v="High"/>
    <x v="1"/>
    <s v="Very high"/>
    <x v="1"/>
    <x v="3"/>
    <s v="Divorced"/>
    <n v="5974"/>
    <n v="4"/>
    <x v="0"/>
    <n v="13"/>
    <s v="Excellent"/>
    <s v="Low"/>
    <n v="2"/>
    <x v="1"/>
    <x v="0"/>
    <x v="0"/>
  </r>
  <r>
    <n v="475"/>
    <n v="30"/>
    <x v="1"/>
    <x v="2"/>
    <x v="0"/>
    <n v="25"/>
    <x v="0"/>
    <s v="Technical Degree"/>
    <s v="Very high"/>
    <x v="0"/>
    <s v="High"/>
    <x v="0"/>
    <x v="2"/>
    <s v="Married"/>
    <n v="4736"/>
    <n v="7"/>
    <x v="0"/>
    <n v="12"/>
    <s v="Excellent"/>
    <s v="Medium"/>
    <n v="2"/>
    <x v="3"/>
    <x v="2"/>
    <x v="2"/>
  </r>
  <r>
    <n v="476"/>
    <n v="26"/>
    <x v="1"/>
    <x v="0"/>
    <x v="0"/>
    <n v="1"/>
    <x v="3"/>
    <s v="Life Sciences"/>
    <s v="High"/>
    <x v="1"/>
    <s v="High"/>
    <x v="0"/>
    <x v="2"/>
    <s v="Married"/>
    <n v="5296"/>
    <n v="1"/>
    <x v="1"/>
    <n v="17"/>
    <s v="Excellent"/>
    <s v="Medium"/>
    <n v="3"/>
    <x v="1"/>
    <x v="2"/>
    <x v="0"/>
  </r>
  <r>
    <n v="477"/>
    <n v="42"/>
    <x v="1"/>
    <x v="0"/>
    <x v="1"/>
    <n v="2"/>
    <x v="2"/>
    <s v="Other"/>
    <s v="Low"/>
    <x v="1"/>
    <s v="Medium"/>
    <x v="4"/>
    <x v="0"/>
    <s v="Single"/>
    <n v="6781"/>
    <n v="3"/>
    <x v="1"/>
    <n v="23"/>
    <s v="Outstanding"/>
    <s v="Medium"/>
    <n v="6"/>
    <x v="1"/>
    <x v="0"/>
    <x v="0"/>
  </r>
  <r>
    <n v="478"/>
    <n v="21"/>
    <x v="0"/>
    <x v="1"/>
    <x v="0"/>
    <n v="1"/>
    <x v="1"/>
    <s v="Technical Degree"/>
    <s v="Low"/>
    <x v="0"/>
    <s v="Medium"/>
    <x v="6"/>
    <x v="1"/>
    <s v="Single"/>
    <n v="2174"/>
    <n v="1"/>
    <x v="0"/>
    <n v="11"/>
    <s v="Excellent"/>
    <s v="High"/>
    <n v="3"/>
    <x v="1"/>
    <x v="4"/>
    <x v="1"/>
  </r>
  <r>
    <n v="479"/>
    <n v="36"/>
    <x v="1"/>
    <x v="2"/>
    <x v="0"/>
    <n v="1"/>
    <x v="4"/>
    <s v="Medical"/>
    <s v="Very high"/>
    <x v="0"/>
    <s v="High"/>
    <x v="0"/>
    <x v="0"/>
    <s v="Single"/>
    <n v="6653"/>
    <n v="4"/>
    <x v="1"/>
    <n v="15"/>
    <s v="Excellent"/>
    <s v="Medium"/>
    <n v="6"/>
    <x v="1"/>
    <x v="0"/>
    <x v="0"/>
  </r>
  <r>
    <n v="481"/>
    <n v="36"/>
    <x v="1"/>
    <x v="1"/>
    <x v="0"/>
    <n v="3"/>
    <x v="2"/>
    <s v="Medical"/>
    <s v="Low"/>
    <x v="1"/>
    <s v="Medium"/>
    <x v="0"/>
    <x v="0"/>
    <s v="Married"/>
    <n v="9699"/>
    <n v="4"/>
    <x v="1"/>
    <n v="11"/>
    <s v="Excellent"/>
    <s v="Low"/>
    <n v="2"/>
    <x v="1"/>
    <x v="0"/>
    <x v="3"/>
  </r>
  <r>
    <n v="482"/>
    <n v="57"/>
    <x v="1"/>
    <x v="0"/>
    <x v="1"/>
    <n v="1"/>
    <x v="2"/>
    <s v="Medical"/>
    <s v="Very high"/>
    <x v="1"/>
    <s v="High"/>
    <x v="4"/>
    <x v="2"/>
    <s v="Married"/>
    <n v="6755"/>
    <n v="2"/>
    <x v="1"/>
    <n v="11"/>
    <s v="Excellent"/>
    <s v="High"/>
    <n v="2"/>
    <x v="1"/>
    <x v="3"/>
    <x v="0"/>
  </r>
  <r>
    <n v="483"/>
    <n v="40"/>
    <x v="1"/>
    <x v="0"/>
    <x v="1"/>
    <n v="10"/>
    <x v="2"/>
    <s v="Life Sciences"/>
    <s v="Very high"/>
    <x v="0"/>
    <s v="Very high"/>
    <x v="2"/>
    <x v="2"/>
    <s v="Married"/>
    <n v="2213"/>
    <n v="3"/>
    <x v="0"/>
    <n v="13"/>
    <s v="Excellent"/>
    <s v="High"/>
    <n v="3"/>
    <x v="1"/>
    <x v="0"/>
    <x v="1"/>
  </r>
  <r>
    <n v="484"/>
    <n v="21"/>
    <x v="1"/>
    <x v="2"/>
    <x v="0"/>
    <n v="9"/>
    <x v="0"/>
    <s v="Medical"/>
    <s v="Low"/>
    <x v="1"/>
    <s v="High"/>
    <x v="6"/>
    <x v="0"/>
    <s v="Single"/>
    <n v="2610"/>
    <n v="1"/>
    <x v="1"/>
    <n v="24"/>
    <s v="Outstanding"/>
    <s v="High"/>
    <n v="3"/>
    <x v="2"/>
    <x v="4"/>
    <x v="1"/>
  </r>
  <r>
    <n v="485"/>
    <n v="33"/>
    <x v="0"/>
    <x v="0"/>
    <x v="0"/>
    <n v="5"/>
    <x v="3"/>
    <s v="Marketing"/>
    <s v="Very high"/>
    <x v="0"/>
    <s v="High"/>
    <x v="6"/>
    <x v="2"/>
    <s v="Single"/>
    <n v="2851"/>
    <n v="1"/>
    <x v="0"/>
    <n v="13"/>
    <s v="Excellent"/>
    <s v="Medium"/>
    <n v="2"/>
    <x v="1"/>
    <x v="2"/>
    <x v="1"/>
  </r>
  <r>
    <n v="486"/>
    <n v="37"/>
    <x v="1"/>
    <x v="0"/>
    <x v="1"/>
    <n v="10"/>
    <x v="3"/>
    <s v="Medical"/>
    <s v="High"/>
    <x v="0"/>
    <s v="High"/>
    <x v="2"/>
    <x v="3"/>
    <s v="Married"/>
    <n v="3452"/>
    <n v="6"/>
    <x v="1"/>
    <n v="20"/>
    <s v="Outstanding"/>
    <s v="Medium"/>
    <n v="3"/>
    <x v="1"/>
    <x v="0"/>
    <x v="2"/>
  </r>
  <r>
    <n v="487"/>
    <n v="46"/>
    <x v="1"/>
    <x v="2"/>
    <x v="1"/>
    <n v="7"/>
    <x v="2"/>
    <s v="Medical"/>
    <s v="High"/>
    <x v="0"/>
    <s v="High"/>
    <x v="3"/>
    <x v="2"/>
    <s v="Married"/>
    <n v="5258"/>
    <n v="2"/>
    <x v="1"/>
    <n v="14"/>
    <s v="Excellent"/>
    <s v="High"/>
    <n v="2"/>
    <x v="3"/>
    <x v="1"/>
    <x v="0"/>
  </r>
  <r>
    <n v="488"/>
    <n v="41"/>
    <x v="0"/>
    <x v="1"/>
    <x v="0"/>
    <n v="4"/>
    <x v="3"/>
    <s v="Marketing"/>
    <s v="Low"/>
    <x v="1"/>
    <s v="High"/>
    <x v="0"/>
    <x v="1"/>
    <s v="Single"/>
    <n v="9355"/>
    <n v="1"/>
    <x v="1"/>
    <n v="18"/>
    <s v="Excellent"/>
    <s v="High"/>
    <n v="5"/>
    <x v="1"/>
    <x v="0"/>
    <x v="3"/>
  </r>
  <r>
    <n v="491"/>
    <n v="50"/>
    <x v="1"/>
    <x v="0"/>
    <x v="1"/>
    <n v="10"/>
    <x v="3"/>
    <s v="Technical Degree"/>
    <s v="Very high"/>
    <x v="1"/>
    <s v="Medium"/>
    <x v="4"/>
    <x v="0"/>
    <s v="Single"/>
    <n v="10496"/>
    <n v="6"/>
    <x v="1"/>
    <n v="15"/>
    <s v="Excellent"/>
    <s v="Very high"/>
    <n v="2"/>
    <x v="1"/>
    <x v="1"/>
    <x v="3"/>
  </r>
  <r>
    <n v="492"/>
    <n v="40"/>
    <x v="0"/>
    <x v="0"/>
    <x v="0"/>
    <n v="22"/>
    <x v="0"/>
    <s v="Marketing"/>
    <s v="High"/>
    <x v="1"/>
    <s v="Medium"/>
    <x v="0"/>
    <x v="2"/>
    <s v="Married"/>
    <n v="6380"/>
    <n v="2"/>
    <x v="0"/>
    <n v="12"/>
    <s v="Excellent"/>
    <s v="Low"/>
    <n v="6"/>
    <x v="1"/>
    <x v="0"/>
    <x v="0"/>
  </r>
  <r>
    <n v="493"/>
    <n v="31"/>
    <x v="1"/>
    <x v="0"/>
    <x v="1"/>
    <n v="9"/>
    <x v="2"/>
    <s v="Life Sciences"/>
    <s v="High"/>
    <x v="1"/>
    <s v="Medium"/>
    <x v="1"/>
    <x v="1"/>
    <s v="Single"/>
    <n v="2657"/>
    <n v="0"/>
    <x v="0"/>
    <n v="16"/>
    <s v="Excellent"/>
    <s v="Very high"/>
    <n v="5"/>
    <x v="1"/>
    <x v="2"/>
    <x v="1"/>
  </r>
  <r>
    <n v="494"/>
    <n v="21"/>
    <x v="0"/>
    <x v="0"/>
    <x v="0"/>
    <n v="12"/>
    <x v="3"/>
    <s v="Life Sciences"/>
    <s v="High"/>
    <x v="0"/>
    <s v="Very high"/>
    <x v="6"/>
    <x v="1"/>
    <s v="Single"/>
    <n v="2716"/>
    <n v="1"/>
    <x v="1"/>
    <n v="15"/>
    <s v="Excellent"/>
    <s v="Very high"/>
    <n v="0"/>
    <x v="1"/>
    <x v="4"/>
    <x v="1"/>
  </r>
  <r>
    <n v="495"/>
    <n v="29"/>
    <x v="1"/>
    <x v="0"/>
    <x v="1"/>
    <n v="23"/>
    <x v="3"/>
    <s v="Life Sciences"/>
    <s v="Very high"/>
    <x v="1"/>
    <s v="High"/>
    <x v="1"/>
    <x v="0"/>
    <s v="Single"/>
    <n v="2201"/>
    <n v="9"/>
    <x v="1"/>
    <n v="16"/>
    <s v="Excellent"/>
    <s v="Very high"/>
    <n v="4"/>
    <x v="1"/>
    <x v="2"/>
    <x v="1"/>
  </r>
  <r>
    <n v="496"/>
    <n v="35"/>
    <x v="1"/>
    <x v="0"/>
    <x v="1"/>
    <n v="9"/>
    <x v="2"/>
    <s v="Life Sciences"/>
    <s v="High"/>
    <x v="1"/>
    <s v="Medium"/>
    <x v="4"/>
    <x v="1"/>
    <s v="Single"/>
    <n v="6540"/>
    <n v="9"/>
    <x v="1"/>
    <n v="19"/>
    <s v="Excellent"/>
    <s v="High"/>
    <n v="5"/>
    <x v="1"/>
    <x v="0"/>
    <x v="0"/>
  </r>
  <r>
    <n v="497"/>
    <n v="27"/>
    <x v="1"/>
    <x v="0"/>
    <x v="1"/>
    <n v="1"/>
    <x v="0"/>
    <s v="Medical"/>
    <s v="Very high"/>
    <x v="1"/>
    <s v="High"/>
    <x v="2"/>
    <x v="1"/>
    <s v="Divorced"/>
    <n v="3816"/>
    <n v="1"/>
    <x v="1"/>
    <n v="11"/>
    <s v="Excellent"/>
    <s v="Medium"/>
    <n v="2"/>
    <x v="1"/>
    <x v="2"/>
    <x v="2"/>
  </r>
  <r>
    <n v="498"/>
    <n v="28"/>
    <x v="1"/>
    <x v="0"/>
    <x v="0"/>
    <n v="9"/>
    <x v="2"/>
    <s v="Life Sciences"/>
    <s v="Medium"/>
    <x v="1"/>
    <s v="High"/>
    <x v="0"/>
    <x v="0"/>
    <s v="Single"/>
    <n v="5253"/>
    <n v="1"/>
    <x v="1"/>
    <n v="16"/>
    <s v="Excellent"/>
    <s v="Very high"/>
    <n v="1"/>
    <x v="1"/>
    <x v="2"/>
    <x v="0"/>
  </r>
  <r>
    <n v="499"/>
    <n v="49"/>
    <x v="1"/>
    <x v="0"/>
    <x v="1"/>
    <n v="7"/>
    <x v="3"/>
    <s v="Other"/>
    <s v="Medium"/>
    <x v="1"/>
    <s v="Medium"/>
    <x v="4"/>
    <x v="2"/>
    <s v="Single"/>
    <n v="10965"/>
    <n v="8"/>
    <x v="1"/>
    <n v="24"/>
    <s v="Outstanding"/>
    <s v="High"/>
    <n v="2"/>
    <x v="1"/>
    <x v="1"/>
    <x v="3"/>
  </r>
  <r>
    <n v="500"/>
    <n v="51"/>
    <x v="1"/>
    <x v="0"/>
    <x v="0"/>
    <n v="14"/>
    <x v="0"/>
    <s v="Life Sciences"/>
    <s v="High"/>
    <x v="0"/>
    <s v="High"/>
    <x v="0"/>
    <x v="0"/>
    <s v="Married"/>
    <n v="4936"/>
    <n v="4"/>
    <x v="1"/>
    <n v="11"/>
    <s v="Excellent"/>
    <s v="High"/>
    <n v="2"/>
    <x v="2"/>
    <x v="1"/>
    <x v="2"/>
  </r>
  <r>
    <n v="501"/>
    <n v="36"/>
    <x v="1"/>
    <x v="0"/>
    <x v="1"/>
    <n v="2"/>
    <x v="3"/>
    <s v="Life Sciences"/>
    <s v="Very high"/>
    <x v="0"/>
    <s v="High"/>
    <x v="1"/>
    <x v="2"/>
    <s v="Married"/>
    <n v="2543"/>
    <n v="4"/>
    <x v="1"/>
    <n v="13"/>
    <s v="Excellent"/>
    <s v="Medium"/>
    <n v="3"/>
    <x v="1"/>
    <x v="0"/>
    <x v="1"/>
  </r>
  <r>
    <n v="502"/>
    <n v="34"/>
    <x v="0"/>
    <x v="2"/>
    <x v="0"/>
    <n v="19"/>
    <x v="3"/>
    <s v="Marketing"/>
    <s v="Low"/>
    <x v="1"/>
    <s v="Very high"/>
    <x v="0"/>
    <x v="0"/>
    <s v="Single"/>
    <n v="5304"/>
    <n v="8"/>
    <x v="0"/>
    <n v="13"/>
    <s v="Excellent"/>
    <s v="Medium"/>
    <n v="3"/>
    <x v="2"/>
    <x v="2"/>
    <x v="0"/>
  </r>
  <r>
    <n v="505"/>
    <n v="55"/>
    <x v="1"/>
    <x v="0"/>
    <x v="1"/>
    <n v="2"/>
    <x v="3"/>
    <s v="Life Sciences"/>
    <s v="High"/>
    <x v="0"/>
    <s v="High"/>
    <x v="5"/>
    <x v="0"/>
    <s v="Single"/>
    <n v="16659"/>
    <n v="2"/>
    <x v="0"/>
    <n v="13"/>
    <s v="Excellent"/>
    <s v="High"/>
    <n v="2"/>
    <x v="1"/>
    <x v="3"/>
    <x v="3"/>
  </r>
  <r>
    <n v="507"/>
    <n v="24"/>
    <x v="1"/>
    <x v="0"/>
    <x v="0"/>
    <n v="10"/>
    <x v="2"/>
    <s v="Marketing"/>
    <s v="Very high"/>
    <x v="0"/>
    <s v="High"/>
    <x v="0"/>
    <x v="2"/>
    <s v="Divorced"/>
    <n v="4260"/>
    <n v="1"/>
    <x v="0"/>
    <n v="12"/>
    <s v="Excellent"/>
    <s v="Very high"/>
    <n v="2"/>
    <x v="3"/>
    <x v="4"/>
    <x v="2"/>
  </r>
  <r>
    <n v="508"/>
    <n v="30"/>
    <x v="1"/>
    <x v="0"/>
    <x v="0"/>
    <n v="2"/>
    <x v="1"/>
    <s v="Technical Degree"/>
    <s v="High"/>
    <x v="1"/>
    <s v="High"/>
    <x v="6"/>
    <x v="1"/>
    <s v="Married"/>
    <n v="2476"/>
    <n v="1"/>
    <x v="1"/>
    <n v="18"/>
    <s v="Excellent"/>
    <s v="Low"/>
    <n v="3"/>
    <x v="1"/>
    <x v="2"/>
    <x v="1"/>
  </r>
  <r>
    <n v="510"/>
    <n v="26"/>
    <x v="0"/>
    <x v="1"/>
    <x v="1"/>
    <n v="3"/>
    <x v="1"/>
    <s v="Technical Degree"/>
    <s v="High"/>
    <x v="1"/>
    <s v="High"/>
    <x v="1"/>
    <x v="3"/>
    <s v="Single"/>
    <n v="3102"/>
    <n v="0"/>
    <x v="1"/>
    <n v="22"/>
    <s v="Outstanding"/>
    <s v="High"/>
    <n v="2"/>
    <x v="1"/>
    <x v="2"/>
    <x v="2"/>
  </r>
  <r>
    <n v="511"/>
    <n v="22"/>
    <x v="1"/>
    <x v="0"/>
    <x v="1"/>
    <n v="11"/>
    <x v="3"/>
    <s v="Medical"/>
    <s v="Low"/>
    <x v="0"/>
    <s v="High"/>
    <x v="1"/>
    <x v="1"/>
    <s v="Married"/>
    <n v="2244"/>
    <n v="1"/>
    <x v="1"/>
    <n v="13"/>
    <s v="Excellent"/>
    <s v="Very high"/>
    <n v="1"/>
    <x v="1"/>
    <x v="4"/>
    <x v="1"/>
  </r>
  <r>
    <n v="513"/>
    <n v="36"/>
    <x v="1"/>
    <x v="0"/>
    <x v="0"/>
    <n v="2"/>
    <x v="0"/>
    <s v="Medical"/>
    <s v="Medium"/>
    <x v="1"/>
    <s v="Medium"/>
    <x v="0"/>
    <x v="2"/>
    <s v="Married"/>
    <n v="7596"/>
    <n v="1"/>
    <x v="1"/>
    <n v="13"/>
    <s v="Excellent"/>
    <s v="Medium"/>
    <n v="2"/>
    <x v="1"/>
    <x v="0"/>
    <x v="0"/>
  </r>
  <r>
    <n v="514"/>
    <n v="30"/>
    <x v="0"/>
    <x v="1"/>
    <x v="1"/>
    <n v="4"/>
    <x v="3"/>
    <s v="Technical Degree"/>
    <s v="High"/>
    <x v="1"/>
    <s v="High"/>
    <x v="1"/>
    <x v="0"/>
    <s v="Single"/>
    <n v="2285"/>
    <n v="9"/>
    <x v="0"/>
    <n v="23"/>
    <s v="Outstanding"/>
    <s v="High"/>
    <n v="4"/>
    <x v="1"/>
    <x v="2"/>
    <x v="1"/>
  </r>
  <r>
    <n v="515"/>
    <n v="37"/>
    <x v="1"/>
    <x v="0"/>
    <x v="1"/>
    <n v="14"/>
    <x v="3"/>
    <s v="Life Sciences"/>
    <s v="Very high"/>
    <x v="0"/>
    <s v="High"/>
    <x v="2"/>
    <x v="3"/>
    <s v="Divorced"/>
    <n v="3034"/>
    <n v="1"/>
    <x v="1"/>
    <n v="12"/>
    <s v="Excellent"/>
    <s v="High"/>
    <n v="2"/>
    <x v="2"/>
    <x v="0"/>
    <x v="2"/>
  </r>
  <r>
    <n v="516"/>
    <n v="40"/>
    <x v="1"/>
    <x v="0"/>
    <x v="0"/>
    <n v="2"/>
    <x v="0"/>
    <s v="Marketing"/>
    <s v="Very high"/>
    <x v="0"/>
    <s v="High"/>
    <x v="0"/>
    <x v="1"/>
    <s v="Divorced"/>
    <n v="5715"/>
    <n v="7"/>
    <x v="1"/>
    <n v="12"/>
    <s v="Excellent"/>
    <s v="High"/>
    <n v="5"/>
    <x v="1"/>
    <x v="0"/>
    <x v="0"/>
  </r>
  <r>
    <n v="517"/>
    <n v="42"/>
    <x v="1"/>
    <x v="0"/>
    <x v="1"/>
    <n v="1"/>
    <x v="2"/>
    <s v="Life Sciences"/>
    <s v="Medium"/>
    <x v="0"/>
    <s v="High"/>
    <x v="2"/>
    <x v="3"/>
    <s v="Divorced"/>
    <n v="2576"/>
    <n v="3"/>
    <x v="1"/>
    <n v="16"/>
    <s v="Excellent"/>
    <s v="Medium"/>
    <n v="5"/>
    <x v="1"/>
    <x v="0"/>
    <x v="1"/>
  </r>
  <r>
    <n v="518"/>
    <n v="37"/>
    <x v="1"/>
    <x v="0"/>
    <x v="1"/>
    <n v="10"/>
    <x v="2"/>
    <s v="Life Sciences"/>
    <s v="High"/>
    <x v="1"/>
    <s v="High"/>
    <x v="3"/>
    <x v="1"/>
    <s v="Single"/>
    <n v="4197"/>
    <n v="2"/>
    <x v="0"/>
    <n v="12"/>
    <s v="Excellent"/>
    <s v="Very high"/>
    <n v="2"/>
    <x v="2"/>
    <x v="0"/>
    <x v="2"/>
  </r>
  <r>
    <n v="520"/>
    <n v="43"/>
    <x v="1"/>
    <x v="0"/>
    <x v="1"/>
    <n v="12"/>
    <x v="3"/>
    <s v="Life Sciences"/>
    <s v="Low"/>
    <x v="1"/>
    <s v="Medium"/>
    <x v="7"/>
    <x v="1"/>
    <s v="Divorced"/>
    <n v="14336"/>
    <n v="1"/>
    <x v="1"/>
    <n v="11"/>
    <s v="Excellent"/>
    <s v="High"/>
    <n v="3"/>
    <x v="1"/>
    <x v="0"/>
    <x v="3"/>
  </r>
  <r>
    <n v="521"/>
    <n v="40"/>
    <x v="1"/>
    <x v="0"/>
    <x v="1"/>
    <n v="2"/>
    <x v="3"/>
    <s v="Medical"/>
    <s v="Medium"/>
    <x v="0"/>
    <s v="Medium"/>
    <x v="2"/>
    <x v="2"/>
    <s v="Married"/>
    <n v="3448"/>
    <n v="6"/>
    <x v="1"/>
    <n v="22"/>
    <s v="Outstanding"/>
    <s v="Medium"/>
    <n v="3"/>
    <x v="1"/>
    <x v="0"/>
    <x v="2"/>
  </r>
  <r>
    <n v="522"/>
    <n v="54"/>
    <x v="1"/>
    <x v="0"/>
    <x v="1"/>
    <n v="5"/>
    <x v="0"/>
    <s v="Medical"/>
    <s v="Low"/>
    <x v="1"/>
    <s v="High"/>
    <x v="7"/>
    <x v="3"/>
    <s v="Married"/>
    <n v="19406"/>
    <n v="4"/>
    <x v="1"/>
    <n v="11"/>
    <s v="Excellent"/>
    <s v="High"/>
    <n v="4"/>
    <x v="2"/>
    <x v="1"/>
    <x v="3"/>
  </r>
  <r>
    <n v="523"/>
    <n v="34"/>
    <x v="1"/>
    <x v="2"/>
    <x v="0"/>
    <n v="4"/>
    <x v="2"/>
    <s v="Marketing"/>
    <s v="High"/>
    <x v="0"/>
    <s v="High"/>
    <x v="0"/>
    <x v="2"/>
    <s v="Married"/>
    <n v="6538"/>
    <n v="9"/>
    <x v="1"/>
    <n v="15"/>
    <s v="Excellent"/>
    <s v="Low"/>
    <n v="3"/>
    <x v="1"/>
    <x v="2"/>
    <x v="0"/>
  </r>
  <r>
    <n v="524"/>
    <n v="31"/>
    <x v="1"/>
    <x v="0"/>
    <x v="1"/>
    <n v="7"/>
    <x v="0"/>
    <s v="Medical"/>
    <s v="Medium"/>
    <x v="0"/>
    <s v="High"/>
    <x v="3"/>
    <x v="3"/>
    <s v="Married"/>
    <n v="4306"/>
    <n v="1"/>
    <x v="1"/>
    <n v="12"/>
    <s v="Excellent"/>
    <s v="Medium"/>
    <n v="5"/>
    <x v="0"/>
    <x v="2"/>
    <x v="2"/>
  </r>
  <r>
    <n v="525"/>
    <n v="43"/>
    <x v="1"/>
    <x v="1"/>
    <x v="1"/>
    <n v="21"/>
    <x v="3"/>
    <s v="Medical"/>
    <s v="Very high"/>
    <x v="1"/>
    <s v="High"/>
    <x v="2"/>
    <x v="0"/>
    <s v="Married"/>
    <n v="2258"/>
    <n v="7"/>
    <x v="1"/>
    <n v="20"/>
    <s v="Outstanding"/>
    <s v="Low"/>
    <n v="1"/>
    <x v="1"/>
    <x v="0"/>
    <x v="1"/>
  </r>
  <r>
    <n v="526"/>
    <n v="43"/>
    <x v="1"/>
    <x v="0"/>
    <x v="1"/>
    <n v="8"/>
    <x v="2"/>
    <s v="Other"/>
    <s v="High"/>
    <x v="0"/>
    <s v="High"/>
    <x v="4"/>
    <x v="2"/>
    <s v="Divorced"/>
    <n v="4522"/>
    <n v="4"/>
    <x v="0"/>
    <n v="14"/>
    <s v="Excellent"/>
    <s v="Very high"/>
    <n v="3"/>
    <x v="1"/>
    <x v="0"/>
    <x v="2"/>
  </r>
  <r>
    <n v="527"/>
    <n v="25"/>
    <x v="1"/>
    <x v="0"/>
    <x v="0"/>
    <n v="4"/>
    <x v="0"/>
    <s v="Life Sciences"/>
    <s v="Medium"/>
    <x v="0"/>
    <s v="Medium"/>
    <x v="0"/>
    <x v="0"/>
    <s v="Single"/>
    <n v="4487"/>
    <n v="1"/>
    <x v="0"/>
    <n v="11"/>
    <s v="Excellent"/>
    <s v="Medium"/>
    <n v="3"/>
    <x v="1"/>
    <x v="2"/>
    <x v="2"/>
  </r>
  <r>
    <n v="529"/>
    <n v="37"/>
    <x v="1"/>
    <x v="2"/>
    <x v="1"/>
    <n v="25"/>
    <x v="4"/>
    <s v="Medical"/>
    <s v="Medium"/>
    <x v="0"/>
    <s v="High"/>
    <x v="1"/>
    <x v="2"/>
    <s v="Married"/>
    <n v="4449"/>
    <n v="3"/>
    <x v="0"/>
    <n v="15"/>
    <s v="Excellent"/>
    <s v="Low"/>
    <n v="2"/>
    <x v="1"/>
    <x v="0"/>
    <x v="2"/>
  </r>
  <r>
    <n v="530"/>
    <n v="31"/>
    <x v="1"/>
    <x v="0"/>
    <x v="1"/>
    <n v="1"/>
    <x v="0"/>
    <s v="Life Sciences"/>
    <s v="Very high"/>
    <x v="1"/>
    <s v="Medium"/>
    <x v="2"/>
    <x v="3"/>
    <s v="Married"/>
    <n v="2218"/>
    <n v="1"/>
    <x v="1"/>
    <n v="12"/>
    <s v="Excellent"/>
    <s v="High"/>
    <n v="3"/>
    <x v="1"/>
    <x v="2"/>
    <x v="1"/>
  </r>
  <r>
    <n v="531"/>
    <n v="39"/>
    <x v="1"/>
    <x v="1"/>
    <x v="1"/>
    <n v="1"/>
    <x v="1"/>
    <s v="Life Sciences"/>
    <s v="Medium"/>
    <x v="1"/>
    <s v="High"/>
    <x v="5"/>
    <x v="2"/>
    <s v="Divorced"/>
    <n v="19197"/>
    <n v="1"/>
    <x v="0"/>
    <n v="14"/>
    <s v="Excellent"/>
    <s v="High"/>
    <n v="3"/>
    <x v="1"/>
    <x v="0"/>
    <x v="3"/>
  </r>
  <r>
    <n v="532"/>
    <n v="56"/>
    <x v="1"/>
    <x v="1"/>
    <x v="0"/>
    <n v="6"/>
    <x v="3"/>
    <s v="Life Sciences"/>
    <s v="High"/>
    <x v="0"/>
    <s v="Very high"/>
    <x v="0"/>
    <x v="3"/>
    <s v="Married"/>
    <n v="13212"/>
    <n v="9"/>
    <x v="1"/>
    <n v="11"/>
    <s v="Excellent"/>
    <s v="Very high"/>
    <n v="0"/>
    <x v="2"/>
    <x v="3"/>
    <x v="3"/>
  </r>
  <r>
    <n v="533"/>
    <n v="30"/>
    <x v="1"/>
    <x v="0"/>
    <x v="0"/>
    <n v="12"/>
    <x v="3"/>
    <s v="Technical Degree"/>
    <s v="Medium"/>
    <x v="0"/>
    <s v="High"/>
    <x v="0"/>
    <x v="2"/>
    <s v="Single"/>
    <n v="6577"/>
    <n v="0"/>
    <x v="1"/>
    <n v="11"/>
    <s v="Excellent"/>
    <s v="Medium"/>
    <n v="6"/>
    <x v="1"/>
    <x v="2"/>
    <x v="0"/>
  </r>
  <r>
    <n v="534"/>
    <n v="41"/>
    <x v="1"/>
    <x v="0"/>
    <x v="0"/>
    <n v="1"/>
    <x v="3"/>
    <s v="Marketing"/>
    <s v="Medium"/>
    <x v="1"/>
    <s v="Very high"/>
    <x v="0"/>
    <x v="3"/>
    <s v="Married"/>
    <n v="8392"/>
    <n v="1"/>
    <x v="1"/>
    <n v="16"/>
    <s v="Excellent"/>
    <s v="High"/>
    <n v="2"/>
    <x v="1"/>
    <x v="0"/>
    <x v="3"/>
  </r>
  <r>
    <n v="536"/>
    <n v="28"/>
    <x v="1"/>
    <x v="0"/>
    <x v="1"/>
    <n v="17"/>
    <x v="0"/>
    <s v="Medical"/>
    <s v="High"/>
    <x v="1"/>
    <s v="High"/>
    <x v="2"/>
    <x v="3"/>
    <s v="Divorced"/>
    <n v="4558"/>
    <n v="1"/>
    <x v="1"/>
    <n v="12"/>
    <s v="Excellent"/>
    <s v="Very high"/>
    <n v="2"/>
    <x v="1"/>
    <x v="2"/>
    <x v="2"/>
  </r>
  <r>
    <n v="538"/>
    <n v="25"/>
    <x v="0"/>
    <x v="0"/>
    <x v="1"/>
    <n v="3"/>
    <x v="3"/>
    <s v="Medical"/>
    <s v="Low"/>
    <x v="1"/>
    <s v="High"/>
    <x v="2"/>
    <x v="3"/>
    <s v="Married"/>
    <n v="4031"/>
    <n v="5"/>
    <x v="1"/>
    <n v="13"/>
    <s v="Excellent"/>
    <s v="High"/>
    <n v="5"/>
    <x v="1"/>
    <x v="2"/>
    <x v="2"/>
  </r>
  <r>
    <n v="543"/>
    <n v="52"/>
    <x v="1"/>
    <x v="0"/>
    <x v="1"/>
    <n v="3"/>
    <x v="3"/>
    <s v="Medical"/>
    <s v="Very high"/>
    <x v="1"/>
    <s v="Medium"/>
    <x v="3"/>
    <x v="2"/>
    <s v="Married"/>
    <n v="7969"/>
    <n v="2"/>
    <x v="0"/>
    <n v="14"/>
    <s v="Excellent"/>
    <s v="High"/>
    <n v="4"/>
    <x v="1"/>
    <x v="1"/>
    <x v="0"/>
  </r>
  <r>
    <n v="544"/>
    <n v="45"/>
    <x v="1"/>
    <x v="0"/>
    <x v="1"/>
    <n v="10"/>
    <x v="0"/>
    <s v="Life Sciences"/>
    <s v="Low"/>
    <x v="1"/>
    <s v="High"/>
    <x v="1"/>
    <x v="0"/>
    <s v="Married"/>
    <n v="2654"/>
    <n v="3"/>
    <x v="1"/>
    <n v="21"/>
    <s v="Outstanding"/>
    <s v="Very high"/>
    <n v="3"/>
    <x v="2"/>
    <x v="1"/>
    <x v="1"/>
  </r>
  <r>
    <n v="546"/>
    <n v="52"/>
    <x v="1"/>
    <x v="0"/>
    <x v="1"/>
    <n v="4"/>
    <x v="0"/>
    <s v="Life Sciences"/>
    <s v="Very high"/>
    <x v="0"/>
    <s v="High"/>
    <x v="5"/>
    <x v="0"/>
    <s v="Married"/>
    <n v="16555"/>
    <n v="2"/>
    <x v="1"/>
    <n v="13"/>
    <s v="Excellent"/>
    <s v="Very high"/>
    <n v="2"/>
    <x v="0"/>
    <x v="1"/>
    <x v="3"/>
  </r>
  <r>
    <n v="547"/>
    <n v="42"/>
    <x v="1"/>
    <x v="1"/>
    <x v="1"/>
    <n v="29"/>
    <x v="0"/>
    <s v="Life Sciences"/>
    <s v="Low"/>
    <x v="0"/>
    <s v="High"/>
    <x v="1"/>
    <x v="2"/>
    <s v="Divorced"/>
    <n v="4556"/>
    <n v="2"/>
    <x v="1"/>
    <n v="11"/>
    <s v="Excellent"/>
    <s v="Medium"/>
    <n v="3"/>
    <x v="1"/>
    <x v="0"/>
    <x v="2"/>
  </r>
  <r>
    <n v="548"/>
    <n v="30"/>
    <x v="1"/>
    <x v="0"/>
    <x v="1"/>
    <n v="2"/>
    <x v="3"/>
    <s v="Life Sciences"/>
    <s v="High"/>
    <x v="0"/>
    <s v="Low"/>
    <x v="3"/>
    <x v="0"/>
    <s v="Single"/>
    <n v="6091"/>
    <n v="2"/>
    <x v="1"/>
    <n v="20"/>
    <s v="Outstanding"/>
    <s v="High"/>
    <n v="2"/>
    <x v="1"/>
    <x v="2"/>
    <x v="0"/>
  </r>
  <r>
    <n v="549"/>
    <n v="60"/>
    <x v="1"/>
    <x v="0"/>
    <x v="1"/>
    <n v="7"/>
    <x v="3"/>
    <s v="Life Sciences"/>
    <s v="Low"/>
    <x v="0"/>
    <s v="High"/>
    <x v="5"/>
    <x v="3"/>
    <s v="Married"/>
    <n v="19566"/>
    <n v="5"/>
    <x v="1"/>
    <n v="11"/>
    <s v="Excellent"/>
    <s v="Very high"/>
    <n v="5"/>
    <x v="0"/>
    <x v="3"/>
    <x v="3"/>
  </r>
  <r>
    <n v="550"/>
    <n v="46"/>
    <x v="1"/>
    <x v="0"/>
    <x v="1"/>
    <n v="18"/>
    <x v="3"/>
    <s v="Medical"/>
    <s v="High"/>
    <x v="0"/>
    <s v="High"/>
    <x v="3"/>
    <x v="2"/>
    <s v="Divorced"/>
    <n v="4810"/>
    <n v="2"/>
    <x v="1"/>
    <n v="14"/>
    <s v="Excellent"/>
    <s v="High"/>
    <n v="5"/>
    <x v="2"/>
    <x v="1"/>
    <x v="2"/>
  </r>
  <r>
    <n v="551"/>
    <n v="42"/>
    <x v="1"/>
    <x v="1"/>
    <x v="1"/>
    <n v="28"/>
    <x v="2"/>
    <s v="Technical Degree"/>
    <s v="Very high"/>
    <x v="0"/>
    <s v="Medium"/>
    <x v="4"/>
    <x v="0"/>
    <s v="Married"/>
    <n v="4523"/>
    <n v="0"/>
    <x v="1"/>
    <n v="11"/>
    <s v="Excellent"/>
    <s v="Very high"/>
    <n v="4"/>
    <x v="3"/>
    <x v="0"/>
    <x v="2"/>
  </r>
  <r>
    <n v="554"/>
    <n v="24"/>
    <x v="0"/>
    <x v="0"/>
    <x v="0"/>
    <n v="1"/>
    <x v="1"/>
    <s v="Technical Degree"/>
    <s v="Low"/>
    <x v="0"/>
    <s v="High"/>
    <x v="6"/>
    <x v="1"/>
    <s v="Single"/>
    <n v="3202"/>
    <n v="1"/>
    <x v="0"/>
    <n v="16"/>
    <s v="Excellent"/>
    <s v="Medium"/>
    <n v="4"/>
    <x v="1"/>
    <x v="4"/>
    <x v="2"/>
  </r>
  <r>
    <n v="555"/>
    <n v="34"/>
    <x v="0"/>
    <x v="1"/>
    <x v="0"/>
    <n v="6"/>
    <x v="0"/>
    <s v="Marketing"/>
    <s v="Very high"/>
    <x v="0"/>
    <s v="Low"/>
    <x v="6"/>
    <x v="2"/>
    <s v="Divorced"/>
    <n v="2351"/>
    <n v="0"/>
    <x v="1"/>
    <n v="16"/>
    <s v="Excellent"/>
    <s v="Very high"/>
    <n v="3"/>
    <x v="2"/>
    <x v="2"/>
    <x v="1"/>
  </r>
  <r>
    <n v="556"/>
    <n v="38"/>
    <x v="1"/>
    <x v="1"/>
    <x v="1"/>
    <n v="2"/>
    <x v="0"/>
    <s v="Life Sciences"/>
    <s v="Very high"/>
    <x v="1"/>
    <s v="High"/>
    <x v="2"/>
    <x v="0"/>
    <s v="Married"/>
    <n v="1702"/>
    <n v="1"/>
    <x v="0"/>
    <n v="23"/>
    <s v="Outstanding"/>
    <s v="High"/>
    <n v="3"/>
    <x v="1"/>
    <x v="0"/>
    <x v="1"/>
  </r>
  <r>
    <n v="558"/>
    <n v="40"/>
    <x v="1"/>
    <x v="0"/>
    <x v="0"/>
    <n v="2"/>
    <x v="2"/>
    <s v="Life Sciences"/>
    <s v="High"/>
    <x v="0"/>
    <s v="High"/>
    <x v="5"/>
    <x v="2"/>
    <s v="Married"/>
    <n v="18041"/>
    <n v="0"/>
    <x v="1"/>
    <n v="14"/>
    <s v="Excellent"/>
    <s v="Very high"/>
    <n v="2"/>
    <x v="1"/>
    <x v="0"/>
    <x v="3"/>
  </r>
  <r>
    <n v="560"/>
    <n v="26"/>
    <x v="1"/>
    <x v="0"/>
    <x v="1"/>
    <n v="23"/>
    <x v="3"/>
    <s v="Life Sciences"/>
    <s v="Low"/>
    <x v="0"/>
    <s v="High"/>
    <x v="1"/>
    <x v="0"/>
    <s v="Divorced"/>
    <n v="2886"/>
    <n v="1"/>
    <x v="1"/>
    <n v="22"/>
    <s v="Outstanding"/>
    <s v="Medium"/>
    <n v="3"/>
    <x v="0"/>
    <x v="2"/>
    <x v="1"/>
  </r>
  <r>
    <n v="562"/>
    <n v="30"/>
    <x v="1"/>
    <x v="2"/>
    <x v="1"/>
    <n v="3"/>
    <x v="3"/>
    <s v="Life Sciences"/>
    <s v="High"/>
    <x v="1"/>
    <s v="High"/>
    <x v="2"/>
    <x v="0"/>
    <s v="Married"/>
    <n v="2097"/>
    <n v="4"/>
    <x v="1"/>
    <n v="15"/>
    <s v="Excellent"/>
    <s v="High"/>
    <n v="3"/>
    <x v="0"/>
    <x v="2"/>
    <x v="1"/>
  </r>
  <r>
    <n v="564"/>
    <n v="29"/>
    <x v="1"/>
    <x v="0"/>
    <x v="1"/>
    <n v="3"/>
    <x v="2"/>
    <s v="Medical"/>
    <s v="Medium"/>
    <x v="1"/>
    <s v="Medium"/>
    <x v="7"/>
    <x v="2"/>
    <s v="Married"/>
    <n v="11935"/>
    <n v="1"/>
    <x v="1"/>
    <n v="18"/>
    <s v="Excellent"/>
    <s v="High"/>
    <n v="2"/>
    <x v="1"/>
    <x v="2"/>
    <x v="3"/>
  </r>
  <r>
    <n v="565"/>
    <n v="29"/>
    <x v="0"/>
    <x v="0"/>
    <x v="1"/>
    <n v="25"/>
    <x v="4"/>
    <s v="Technical Degree"/>
    <s v="High"/>
    <x v="0"/>
    <s v="Medium"/>
    <x v="1"/>
    <x v="1"/>
    <s v="Married"/>
    <n v="2546"/>
    <n v="5"/>
    <x v="1"/>
    <n v="16"/>
    <s v="Excellent"/>
    <s v="Medium"/>
    <n v="2"/>
    <x v="3"/>
    <x v="2"/>
    <x v="1"/>
  </r>
  <r>
    <n v="566"/>
    <n v="19"/>
    <x v="0"/>
    <x v="0"/>
    <x v="2"/>
    <n v="2"/>
    <x v="0"/>
    <s v="Technical Degree"/>
    <s v="Low"/>
    <x v="1"/>
    <s v="Medium"/>
    <x v="8"/>
    <x v="0"/>
    <s v="Single"/>
    <n v="2564"/>
    <n v="1"/>
    <x v="1"/>
    <n v="12"/>
    <s v="Excellent"/>
    <s v="High"/>
    <n v="3"/>
    <x v="3"/>
    <x v="4"/>
    <x v="1"/>
  </r>
  <r>
    <n v="567"/>
    <n v="30"/>
    <x v="1"/>
    <x v="2"/>
    <x v="0"/>
    <n v="22"/>
    <x v="2"/>
    <s v="Other"/>
    <s v="High"/>
    <x v="0"/>
    <s v="High"/>
    <x v="0"/>
    <x v="3"/>
    <s v="Married"/>
    <n v="8412"/>
    <n v="0"/>
    <x v="1"/>
    <n v="11"/>
    <s v="Excellent"/>
    <s v="High"/>
    <n v="3"/>
    <x v="1"/>
    <x v="2"/>
    <x v="3"/>
  </r>
  <r>
    <n v="568"/>
    <n v="57"/>
    <x v="1"/>
    <x v="0"/>
    <x v="0"/>
    <n v="29"/>
    <x v="3"/>
    <s v="Marketing"/>
    <s v="Low"/>
    <x v="1"/>
    <s v="Medium"/>
    <x v="5"/>
    <x v="0"/>
    <s v="Divorced"/>
    <n v="14118"/>
    <n v="3"/>
    <x v="1"/>
    <n v="12"/>
    <s v="Excellent"/>
    <s v="High"/>
    <n v="3"/>
    <x v="2"/>
    <x v="3"/>
    <x v="3"/>
  </r>
  <r>
    <n v="569"/>
    <n v="50"/>
    <x v="1"/>
    <x v="0"/>
    <x v="1"/>
    <n v="29"/>
    <x v="2"/>
    <s v="Life Sciences"/>
    <s v="Medium"/>
    <x v="1"/>
    <s v="Medium"/>
    <x v="5"/>
    <x v="2"/>
    <s v="Married"/>
    <n v="17046"/>
    <n v="0"/>
    <x v="1"/>
    <n v="15"/>
    <s v="Excellent"/>
    <s v="Medium"/>
    <n v="2"/>
    <x v="1"/>
    <x v="1"/>
    <x v="3"/>
  </r>
  <r>
    <n v="571"/>
    <n v="30"/>
    <x v="1"/>
    <x v="2"/>
    <x v="1"/>
    <n v="2"/>
    <x v="3"/>
    <s v="Medical"/>
    <s v="High"/>
    <x v="0"/>
    <s v="High"/>
    <x v="2"/>
    <x v="0"/>
    <s v="Single"/>
    <n v="2564"/>
    <n v="0"/>
    <x v="1"/>
    <n v="14"/>
    <s v="Excellent"/>
    <s v="High"/>
    <n v="2"/>
    <x v="2"/>
    <x v="2"/>
    <x v="1"/>
  </r>
  <r>
    <n v="573"/>
    <n v="60"/>
    <x v="1"/>
    <x v="1"/>
    <x v="0"/>
    <n v="28"/>
    <x v="3"/>
    <s v="Marketing"/>
    <s v="High"/>
    <x v="0"/>
    <s v="Medium"/>
    <x v="0"/>
    <x v="3"/>
    <s v="Married"/>
    <n v="10266"/>
    <n v="4"/>
    <x v="1"/>
    <n v="19"/>
    <s v="Excellent"/>
    <s v="Very high"/>
    <n v="5"/>
    <x v="3"/>
    <x v="3"/>
    <x v="3"/>
  </r>
  <r>
    <n v="574"/>
    <n v="47"/>
    <x v="1"/>
    <x v="0"/>
    <x v="1"/>
    <n v="2"/>
    <x v="0"/>
    <s v="Medical"/>
    <s v="Low"/>
    <x v="0"/>
    <s v="High"/>
    <x v="3"/>
    <x v="0"/>
    <s v="Divorced"/>
    <n v="5070"/>
    <n v="5"/>
    <x v="1"/>
    <n v="13"/>
    <s v="Excellent"/>
    <s v="High"/>
    <n v="2"/>
    <x v="1"/>
    <x v="1"/>
    <x v="0"/>
  </r>
  <r>
    <n v="575"/>
    <n v="46"/>
    <x v="1"/>
    <x v="0"/>
    <x v="1"/>
    <n v="2"/>
    <x v="3"/>
    <s v="Life Sciences"/>
    <s v="Low"/>
    <x v="1"/>
    <s v="High"/>
    <x v="7"/>
    <x v="2"/>
    <s v="Married"/>
    <n v="17861"/>
    <n v="6"/>
    <x v="1"/>
    <n v="13"/>
    <s v="Excellent"/>
    <s v="High"/>
    <n v="2"/>
    <x v="0"/>
    <x v="1"/>
    <x v="3"/>
  </r>
  <r>
    <n v="577"/>
    <n v="35"/>
    <x v="1"/>
    <x v="0"/>
    <x v="1"/>
    <n v="22"/>
    <x v="3"/>
    <s v="Life Sciences"/>
    <s v="Very high"/>
    <x v="1"/>
    <s v="Low"/>
    <x v="2"/>
    <x v="2"/>
    <s v="Single"/>
    <n v="4230"/>
    <n v="0"/>
    <x v="1"/>
    <n v="15"/>
    <s v="Excellent"/>
    <s v="High"/>
    <n v="2"/>
    <x v="1"/>
    <x v="0"/>
    <x v="2"/>
  </r>
  <r>
    <n v="578"/>
    <n v="54"/>
    <x v="1"/>
    <x v="0"/>
    <x v="1"/>
    <n v="8"/>
    <x v="2"/>
    <s v="Life Sciences"/>
    <s v="High"/>
    <x v="0"/>
    <s v="High"/>
    <x v="2"/>
    <x v="2"/>
    <s v="Single"/>
    <n v="3780"/>
    <n v="7"/>
    <x v="1"/>
    <n v="11"/>
    <s v="Excellent"/>
    <s v="High"/>
    <n v="3"/>
    <x v="1"/>
    <x v="1"/>
    <x v="2"/>
  </r>
  <r>
    <n v="579"/>
    <n v="34"/>
    <x v="1"/>
    <x v="0"/>
    <x v="1"/>
    <n v="2"/>
    <x v="2"/>
    <s v="Life Sciences"/>
    <s v="Very high"/>
    <x v="1"/>
    <s v="Medium"/>
    <x v="1"/>
    <x v="2"/>
    <s v="Divorced"/>
    <n v="2768"/>
    <n v="3"/>
    <x v="1"/>
    <n v="12"/>
    <s v="Excellent"/>
    <s v="High"/>
    <n v="3"/>
    <x v="1"/>
    <x v="2"/>
    <x v="1"/>
  </r>
  <r>
    <n v="580"/>
    <n v="46"/>
    <x v="1"/>
    <x v="0"/>
    <x v="0"/>
    <n v="10"/>
    <x v="3"/>
    <s v="Marketing"/>
    <s v="High"/>
    <x v="0"/>
    <s v="Medium"/>
    <x v="0"/>
    <x v="0"/>
    <s v="Married"/>
    <n v="9071"/>
    <n v="2"/>
    <x v="0"/>
    <n v="19"/>
    <s v="Excellent"/>
    <s v="High"/>
    <n v="3"/>
    <x v="1"/>
    <x v="1"/>
    <x v="3"/>
  </r>
  <r>
    <n v="581"/>
    <n v="31"/>
    <x v="1"/>
    <x v="0"/>
    <x v="1"/>
    <n v="9"/>
    <x v="1"/>
    <s v="Life Sciences"/>
    <s v="High"/>
    <x v="1"/>
    <s v="High"/>
    <x v="3"/>
    <x v="1"/>
    <s v="Divorced"/>
    <n v="10648"/>
    <n v="1"/>
    <x v="1"/>
    <n v="25"/>
    <s v="Outstanding"/>
    <s v="Very high"/>
    <n v="6"/>
    <x v="3"/>
    <x v="2"/>
    <x v="3"/>
  </r>
  <r>
    <n v="582"/>
    <n v="33"/>
    <x v="0"/>
    <x v="0"/>
    <x v="1"/>
    <n v="15"/>
    <x v="1"/>
    <s v="Medical"/>
    <s v="Medium"/>
    <x v="1"/>
    <s v="High"/>
    <x v="5"/>
    <x v="2"/>
    <s v="Married"/>
    <n v="13610"/>
    <n v="7"/>
    <x v="0"/>
    <n v="12"/>
    <s v="Excellent"/>
    <s v="Very high"/>
    <n v="2"/>
    <x v="3"/>
    <x v="2"/>
    <x v="3"/>
  </r>
  <r>
    <n v="584"/>
    <n v="33"/>
    <x v="0"/>
    <x v="0"/>
    <x v="1"/>
    <n v="10"/>
    <x v="1"/>
    <s v="Medical"/>
    <s v="Low"/>
    <x v="1"/>
    <s v="Low"/>
    <x v="2"/>
    <x v="0"/>
    <s v="Divorced"/>
    <n v="3408"/>
    <n v="7"/>
    <x v="1"/>
    <n v="13"/>
    <s v="Excellent"/>
    <s v="Low"/>
    <n v="2"/>
    <x v="1"/>
    <x v="2"/>
    <x v="2"/>
  </r>
  <r>
    <n v="585"/>
    <n v="30"/>
    <x v="1"/>
    <x v="0"/>
    <x v="0"/>
    <n v="7"/>
    <x v="1"/>
    <s v="Marketing"/>
    <s v="Very high"/>
    <x v="1"/>
    <s v="High"/>
    <x v="6"/>
    <x v="1"/>
    <s v="Single"/>
    <n v="2983"/>
    <n v="0"/>
    <x v="1"/>
    <n v="14"/>
    <s v="Excellent"/>
    <s v="Low"/>
    <n v="3"/>
    <x v="1"/>
    <x v="2"/>
    <x v="1"/>
  </r>
  <r>
    <n v="586"/>
    <n v="35"/>
    <x v="1"/>
    <x v="0"/>
    <x v="1"/>
    <n v="16"/>
    <x v="3"/>
    <s v="Life Sciences"/>
    <s v="Very high"/>
    <x v="1"/>
    <s v="High"/>
    <x v="4"/>
    <x v="2"/>
    <s v="Married"/>
    <n v="7632"/>
    <n v="4"/>
    <x v="0"/>
    <n v="12"/>
    <s v="Excellent"/>
    <s v="High"/>
    <n v="2"/>
    <x v="1"/>
    <x v="0"/>
    <x v="0"/>
  </r>
  <r>
    <n v="587"/>
    <n v="31"/>
    <x v="0"/>
    <x v="1"/>
    <x v="1"/>
    <n v="20"/>
    <x v="3"/>
    <s v="Life Sciences"/>
    <s v="Low"/>
    <x v="1"/>
    <s v="High"/>
    <x v="4"/>
    <x v="2"/>
    <s v="Married"/>
    <n v="9824"/>
    <n v="3"/>
    <x v="1"/>
    <n v="12"/>
    <s v="Excellent"/>
    <s v="Low"/>
    <n v="2"/>
    <x v="1"/>
    <x v="2"/>
    <x v="3"/>
  </r>
  <r>
    <n v="590"/>
    <n v="34"/>
    <x v="0"/>
    <x v="1"/>
    <x v="2"/>
    <n v="23"/>
    <x v="3"/>
    <s v="Human Resources"/>
    <s v="Medium"/>
    <x v="0"/>
    <s v="High"/>
    <x v="8"/>
    <x v="3"/>
    <s v="Divorced"/>
    <n v="9950"/>
    <n v="9"/>
    <x v="0"/>
    <n v="15"/>
    <s v="Excellent"/>
    <s v="High"/>
    <n v="2"/>
    <x v="1"/>
    <x v="2"/>
    <x v="3"/>
  </r>
  <r>
    <n v="591"/>
    <n v="42"/>
    <x v="1"/>
    <x v="1"/>
    <x v="1"/>
    <n v="5"/>
    <x v="0"/>
    <s v="Other"/>
    <s v="Medium"/>
    <x v="1"/>
    <s v="High"/>
    <x v="2"/>
    <x v="2"/>
    <s v="Married"/>
    <n v="2093"/>
    <n v="4"/>
    <x v="1"/>
    <n v="17"/>
    <s v="Excellent"/>
    <s v="Very high"/>
    <n v="4"/>
    <x v="1"/>
    <x v="0"/>
    <x v="1"/>
  </r>
  <r>
    <n v="592"/>
    <n v="36"/>
    <x v="1"/>
    <x v="2"/>
    <x v="0"/>
    <n v="10"/>
    <x v="2"/>
    <s v="Medical"/>
    <s v="Medium"/>
    <x v="1"/>
    <s v="High"/>
    <x v="0"/>
    <x v="0"/>
    <s v="Single"/>
    <n v="9980"/>
    <n v="1"/>
    <x v="1"/>
    <n v="14"/>
    <s v="Excellent"/>
    <s v="Very high"/>
    <n v="3"/>
    <x v="2"/>
    <x v="0"/>
    <x v="3"/>
  </r>
  <r>
    <n v="593"/>
    <n v="22"/>
    <x v="0"/>
    <x v="1"/>
    <x v="1"/>
    <n v="4"/>
    <x v="1"/>
    <s v="Technical Degree"/>
    <s v="High"/>
    <x v="1"/>
    <s v="Medium"/>
    <x v="2"/>
    <x v="2"/>
    <s v="Single"/>
    <n v="3894"/>
    <n v="5"/>
    <x v="1"/>
    <n v="16"/>
    <s v="Excellent"/>
    <s v="High"/>
    <n v="3"/>
    <x v="1"/>
    <x v="4"/>
    <x v="2"/>
  </r>
  <r>
    <n v="595"/>
    <n v="48"/>
    <x v="1"/>
    <x v="0"/>
    <x v="0"/>
    <n v="2"/>
    <x v="4"/>
    <s v="Marketing"/>
    <s v="Medium"/>
    <x v="0"/>
    <s v="High"/>
    <x v="0"/>
    <x v="0"/>
    <s v="Married"/>
    <n v="4051"/>
    <n v="2"/>
    <x v="1"/>
    <n v="14"/>
    <s v="Excellent"/>
    <s v="Low"/>
    <n v="2"/>
    <x v="1"/>
    <x v="1"/>
    <x v="2"/>
  </r>
  <r>
    <n v="597"/>
    <n v="55"/>
    <x v="1"/>
    <x v="0"/>
    <x v="0"/>
    <n v="18"/>
    <x v="4"/>
    <s v="Life Sciences"/>
    <s v="Low"/>
    <x v="0"/>
    <s v="High"/>
    <x v="5"/>
    <x v="1"/>
    <s v="Single"/>
    <n v="16835"/>
    <n v="3"/>
    <x v="1"/>
    <n v="23"/>
    <s v="Outstanding"/>
    <s v="Very high"/>
    <n v="2"/>
    <x v="1"/>
    <x v="3"/>
    <x v="3"/>
  </r>
  <r>
    <n v="599"/>
    <n v="41"/>
    <x v="1"/>
    <x v="2"/>
    <x v="0"/>
    <n v="10"/>
    <x v="0"/>
    <s v="Life Sciences"/>
    <s v="Very high"/>
    <x v="1"/>
    <s v="High"/>
    <x v="0"/>
    <x v="0"/>
    <s v="Single"/>
    <n v="6230"/>
    <n v="7"/>
    <x v="1"/>
    <n v="14"/>
    <s v="Excellent"/>
    <s v="Very high"/>
    <n v="3"/>
    <x v="1"/>
    <x v="0"/>
    <x v="0"/>
  </r>
  <r>
    <n v="600"/>
    <n v="35"/>
    <x v="1"/>
    <x v="0"/>
    <x v="0"/>
    <n v="1"/>
    <x v="3"/>
    <s v="Marketing"/>
    <s v="Medium"/>
    <x v="1"/>
    <s v="High"/>
    <x v="0"/>
    <x v="2"/>
    <s v="Married"/>
    <n v="4717"/>
    <n v="9"/>
    <x v="1"/>
    <n v="11"/>
    <s v="Excellent"/>
    <s v="High"/>
    <n v="2"/>
    <x v="1"/>
    <x v="0"/>
    <x v="2"/>
  </r>
  <r>
    <n v="601"/>
    <n v="40"/>
    <x v="1"/>
    <x v="0"/>
    <x v="1"/>
    <n v="6"/>
    <x v="3"/>
    <s v="Life Sciences"/>
    <s v="Medium"/>
    <x v="0"/>
    <s v="High"/>
    <x v="3"/>
    <x v="2"/>
    <s v="Single"/>
    <n v="13237"/>
    <n v="7"/>
    <x v="1"/>
    <n v="15"/>
    <s v="Excellent"/>
    <s v="High"/>
    <n v="3"/>
    <x v="1"/>
    <x v="0"/>
    <x v="3"/>
  </r>
  <r>
    <n v="602"/>
    <n v="39"/>
    <x v="1"/>
    <x v="1"/>
    <x v="1"/>
    <n v="8"/>
    <x v="1"/>
    <s v="Life Sciences"/>
    <s v="High"/>
    <x v="0"/>
    <s v="High"/>
    <x v="2"/>
    <x v="2"/>
    <s v="Married"/>
    <n v="3755"/>
    <n v="1"/>
    <x v="1"/>
    <n v="11"/>
    <s v="Excellent"/>
    <s v="Low"/>
    <n v="3"/>
    <x v="1"/>
    <x v="0"/>
    <x v="2"/>
  </r>
  <r>
    <n v="604"/>
    <n v="31"/>
    <x v="1"/>
    <x v="0"/>
    <x v="0"/>
    <n v="2"/>
    <x v="1"/>
    <s v="Life Sciences"/>
    <s v="Medium"/>
    <x v="1"/>
    <s v="High"/>
    <x v="0"/>
    <x v="0"/>
    <s v="Single"/>
    <n v="6582"/>
    <n v="4"/>
    <x v="0"/>
    <n v="13"/>
    <s v="Excellent"/>
    <s v="High"/>
    <n v="2"/>
    <x v="3"/>
    <x v="2"/>
    <x v="0"/>
  </r>
  <r>
    <n v="605"/>
    <n v="42"/>
    <x v="1"/>
    <x v="0"/>
    <x v="1"/>
    <n v="24"/>
    <x v="3"/>
    <s v="Medical"/>
    <s v="Very high"/>
    <x v="1"/>
    <s v="High"/>
    <x v="3"/>
    <x v="3"/>
    <s v="Married"/>
    <n v="7406"/>
    <n v="1"/>
    <x v="0"/>
    <n v="21"/>
    <s v="Outstanding"/>
    <s v="Very high"/>
    <n v="5"/>
    <x v="2"/>
    <x v="0"/>
    <x v="0"/>
  </r>
  <r>
    <n v="606"/>
    <n v="45"/>
    <x v="1"/>
    <x v="0"/>
    <x v="0"/>
    <n v="2"/>
    <x v="3"/>
    <s v="Other"/>
    <s v="Very high"/>
    <x v="1"/>
    <s v="High"/>
    <x v="0"/>
    <x v="1"/>
    <s v="Married"/>
    <n v="4805"/>
    <n v="0"/>
    <x v="1"/>
    <n v="19"/>
    <s v="Excellent"/>
    <s v="Medium"/>
    <n v="3"/>
    <x v="3"/>
    <x v="1"/>
    <x v="2"/>
  </r>
  <r>
    <n v="608"/>
    <n v="26"/>
    <x v="0"/>
    <x v="1"/>
    <x v="2"/>
    <n v="17"/>
    <x v="2"/>
    <s v="Life Sciences"/>
    <s v="Medium"/>
    <x v="0"/>
    <s v="High"/>
    <x v="8"/>
    <x v="2"/>
    <s v="Divorced"/>
    <n v="2741"/>
    <n v="0"/>
    <x v="0"/>
    <n v="11"/>
    <s v="Excellent"/>
    <s v="Medium"/>
    <n v="2"/>
    <x v="2"/>
    <x v="2"/>
    <x v="1"/>
  </r>
  <r>
    <n v="611"/>
    <n v="29"/>
    <x v="1"/>
    <x v="0"/>
    <x v="1"/>
    <n v="19"/>
    <x v="3"/>
    <s v="Technical Degree"/>
    <s v="Very high"/>
    <x v="1"/>
    <s v="High"/>
    <x v="3"/>
    <x v="0"/>
    <s v="Divorced"/>
    <n v="4262"/>
    <n v="4"/>
    <x v="1"/>
    <n v="12"/>
    <s v="Excellent"/>
    <s v="Medium"/>
    <n v="2"/>
    <x v="3"/>
    <x v="2"/>
    <x v="2"/>
  </r>
  <r>
    <n v="612"/>
    <n v="33"/>
    <x v="1"/>
    <x v="0"/>
    <x v="1"/>
    <n v="1"/>
    <x v="4"/>
    <s v="Medical"/>
    <s v="Low"/>
    <x v="0"/>
    <s v="Very high"/>
    <x v="7"/>
    <x v="2"/>
    <s v="Divorced"/>
    <n v="16184"/>
    <n v="4"/>
    <x v="1"/>
    <n v="19"/>
    <s v="Excellent"/>
    <s v="High"/>
    <n v="2"/>
    <x v="1"/>
    <x v="2"/>
    <x v="3"/>
  </r>
  <r>
    <n v="613"/>
    <n v="31"/>
    <x v="1"/>
    <x v="0"/>
    <x v="0"/>
    <n v="7"/>
    <x v="3"/>
    <s v="Life Sciences"/>
    <s v="High"/>
    <x v="1"/>
    <s v="Medium"/>
    <x v="5"/>
    <x v="0"/>
    <s v="Divorced"/>
    <n v="11557"/>
    <n v="9"/>
    <x v="1"/>
    <n v="21"/>
    <s v="Outstanding"/>
    <s v="High"/>
    <n v="3"/>
    <x v="2"/>
    <x v="2"/>
    <x v="3"/>
  </r>
  <r>
    <n v="614"/>
    <n v="18"/>
    <x v="0"/>
    <x v="1"/>
    <x v="0"/>
    <n v="5"/>
    <x v="3"/>
    <s v="Marketing"/>
    <s v="Medium"/>
    <x v="1"/>
    <s v="High"/>
    <x v="6"/>
    <x v="1"/>
    <s v="Single"/>
    <n v="1878"/>
    <n v="1"/>
    <x v="0"/>
    <n v="14"/>
    <s v="Excellent"/>
    <s v="Very high"/>
    <n v="3"/>
    <x v="1"/>
    <x v="4"/>
    <x v="1"/>
  </r>
  <r>
    <n v="615"/>
    <n v="40"/>
    <x v="1"/>
    <x v="2"/>
    <x v="0"/>
    <n v="28"/>
    <x v="3"/>
    <s v="Other"/>
    <s v="High"/>
    <x v="1"/>
    <s v="Low"/>
    <x v="0"/>
    <x v="3"/>
    <s v="Divorced"/>
    <n v="10932"/>
    <n v="3"/>
    <x v="1"/>
    <n v="15"/>
    <s v="Excellent"/>
    <s v="High"/>
    <n v="2"/>
    <x v="1"/>
    <x v="0"/>
    <x v="3"/>
  </r>
  <r>
    <n v="616"/>
    <n v="41"/>
    <x v="1"/>
    <x v="2"/>
    <x v="1"/>
    <n v="2"/>
    <x v="2"/>
    <s v="Other"/>
    <s v="Low"/>
    <x v="0"/>
    <s v="Medium"/>
    <x v="4"/>
    <x v="2"/>
    <s v="Single"/>
    <n v="6811"/>
    <n v="2"/>
    <x v="0"/>
    <n v="17"/>
    <s v="Excellent"/>
    <s v="Low"/>
    <n v="3"/>
    <x v="1"/>
    <x v="0"/>
    <x v="0"/>
  </r>
  <r>
    <n v="618"/>
    <n v="26"/>
    <x v="1"/>
    <x v="0"/>
    <x v="0"/>
    <n v="29"/>
    <x v="0"/>
    <s v="Medical"/>
    <s v="Low"/>
    <x v="1"/>
    <s v="High"/>
    <x v="0"/>
    <x v="2"/>
    <s v="Divorced"/>
    <n v="4306"/>
    <n v="5"/>
    <x v="1"/>
    <n v="12"/>
    <s v="Excellent"/>
    <s v="Low"/>
    <n v="5"/>
    <x v="1"/>
    <x v="2"/>
    <x v="2"/>
  </r>
  <r>
    <n v="620"/>
    <n v="35"/>
    <x v="1"/>
    <x v="0"/>
    <x v="0"/>
    <n v="1"/>
    <x v="3"/>
    <s v="Medical"/>
    <s v="Low"/>
    <x v="0"/>
    <s v="High"/>
    <x v="0"/>
    <x v="2"/>
    <s v="Single"/>
    <n v="4859"/>
    <n v="1"/>
    <x v="1"/>
    <n v="16"/>
    <s v="Excellent"/>
    <s v="Very high"/>
    <n v="3"/>
    <x v="1"/>
    <x v="0"/>
    <x v="2"/>
  </r>
  <r>
    <n v="621"/>
    <n v="34"/>
    <x v="1"/>
    <x v="0"/>
    <x v="0"/>
    <n v="21"/>
    <x v="2"/>
    <s v="Life Sciences"/>
    <s v="Very high"/>
    <x v="1"/>
    <s v="Very high"/>
    <x v="0"/>
    <x v="0"/>
    <s v="Single"/>
    <n v="5337"/>
    <n v="1"/>
    <x v="1"/>
    <n v="12"/>
    <s v="Excellent"/>
    <s v="Very high"/>
    <n v="3"/>
    <x v="1"/>
    <x v="2"/>
    <x v="0"/>
  </r>
  <r>
    <n v="622"/>
    <n v="26"/>
    <x v="0"/>
    <x v="0"/>
    <x v="1"/>
    <n v="24"/>
    <x v="3"/>
    <s v="Technical Degree"/>
    <s v="High"/>
    <x v="1"/>
    <s v="Low"/>
    <x v="2"/>
    <x v="0"/>
    <s v="Single"/>
    <n v="2340"/>
    <n v="1"/>
    <x v="0"/>
    <n v="18"/>
    <s v="Excellent"/>
    <s v="Medium"/>
    <n v="3"/>
    <x v="0"/>
    <x v="2"/>
    <x v="1"/>
  </r>
  <r>
    <n v="623"/>
    <n v="37"/>
    <x v="1"/>
    <x v="0"/>
    <x v="1"/>
    <n v="1"/>
    <x v="3"/>
    <s v="Technical Degree"/>
    <s v="Medium"/>
    <x v="0"/>
    <s v="High"/>
    <x v="3"/>
    <x v="0"/>
    <s v="Single"/>
    <n v="7491"/>
    <n v="4"/>
    <x v="1"/>
    <n v="17"/>
    <s v="Excellent"/>
    <s v="Very high"/>
    <n v="3"/>
    <x v="3"/>
    <x v="0"/>
    <x v="0"/>
  </r>
  <r>
    <n v="624"/>
    <n v="46"/>
    <x v="1"/>
    <x v="1"/>
    <x v="1"/>
    <n v="18"/>
    <x v="1"/>
    <s v="Medical"/>
    <s v="Low"/>
    <x v="0"/>
    <s v="High"/>
    <x v="4"/>
    <x v="2"/>
    <s v="Married"/>
    <n v="10527"/>
    <n v="5"/>
    <x v="1"/>
    <n v="11"/>
    <s v="Excellent"/>
    <s v="Very high"/>
    <n v="3"/>
    <x v="2"/>
    <x v="1"/>
    <x v="3"/>
  </r>
  <r>
    <n v="625"/>
    <n v="41"/>
    <x v="1"/>
    <x v="0"/>
    <x v="0"/>
    <n v="2"/>
    <x v="4"/>
    <s v="Life Sciences"/>
    <s v="Medium"/>
    <x v="0"/>
    <s v="High"/>
    <x v="5"/>
    <x v="3"/>
    <s v="Married"/>
    <n v="16595"/>
    <n v="7"/>
    <x v="1"/>
    <n v="16"/>
    <s v="Excellent"/>
    <s v="Medium"/>
    <n v="2"/>
    <x v="1"/>
    <x v="0"/>
    <x v="3"/>
  </r>
  <r>
    <n v="626"/>
    <n v="37"/>
    <x v="1"/>
    <x v="2"/>
    <x v="0"/>
    <n v="9"/>
    <x v="2"/>
    <s v="Medical"/>
    <s v="Low"/>
    <x v="1"/>
    <s v="High"/>
    <x v="0"/>
    <x v="1"/>
    <s v="Divorced"/>
    <n v="8834"/>
    <n v="1"/>
    <x v="1"/>
    <n v="13"/>
    <s v="Excellent"/>
    <s v="Very high"/>
    <n v="6"/>
    <x v="1"/>
    <x v="0"/>
    <x v="3"/>
  </r>
  <r>
    <n v="630"/>
    <n v="52"/>
    <x v="1"/>
    <x v="0"/>
    <x v="1"/>
    <n v="6"/>
    <x v="0"/>
    <s v="Technical Degree"/>
    <s v="Very high"/>
    <x v="1"/>
    <s v="High"/>
    <x v="1"/>
    <x v="3"/>
    <s v="Divorced"/>
    <n v="5577"/>
    <n v="3"/>
    <x v="0"/>
    <n v="12"/>
    <s v="Excellent"/>
    <s v="Medium"/>
    <n v="3"/>
    <x v="1"/>
    <x v="1"/>
    <x v="0"/>
  </r>
  <r>
    <n v="631"/>
    <n v="32"/>
    <x v="0"/>
    <x v="2"/>
    <x v="0"/>
    <n v="11"/>
    <x v="2"/>
    <s v="Other"/>
    <s v="Very high"/>
    <x v="1"/>
    <s v="Very high"/>
    <x v="0"/>
    <x v="2"/>
    <s v="Married"/>
    <n v="4707"/>
    <n v="8"/>
    <x v="1"/>
    <n v="12"/>
    <s v="Excellent"/>
    <s v="Very high"/>
    <n v="2"/>
    <x v="1"/>
    <x v="2"/>
    <x v="2"/>
  </r>
  <r>
    <n v="632"/>
    <n v="24"/>
    <x v="1"/>
    <x v="1"/>
    <x v="0"/>
    <n v="24"/>
    <x v="3"/>
    <s v="Medical"/>
    <s v="Very high"/>
    <x v="1"/>
    <s v="High"/>
    <x v="6"/>
    <x v="0"/>
    <s v="Married"/>
    <n v="2400"/>
    <n v="0"/>
    <x v="1"/>
    <n v="13"/>
    <s v="Excellent"/>
    <s v="High"/>
    <n v="3"/>
    <x v="1"/>
    <x v="4"/>
    <x v="1"/>
  </r>
  <r>
    <n v="634"/>
    <n v="38"/>
    <x v="1"/>
    <x v="0"/>
    <x v="1"/>
    <n v="10"/>
    <x v="3"/>
    <s v="Medical"/>
    <s v="High"/>
    <x v="0"/>
    <s v="High"/>
    <x v="4"/>
    <x v="2"/>
    <s v="Married"/>
    <n v="9824"/>
    <n v="3"/>
    <x v="1"/>
    <n v="19"/>
    <s v="Excellent"/>
    <s v="High"/>
    <n v="4"/>
    <x v="1"/>
    <x v="0"/>
    <x v="3"/>
  </r>
  <r>
    <n v="635"/>
    <n v="37"/>
    <x v="1"/>
    <x v="0"/>
    <x v="1"/>
    <n v="1"/>
    <x v="2"/>
    <s v="Life Sciences"/>
    <s v="Medium"/>
    <x v="0"/>
    <s v="High"/>
    <x v="3"/>
    <x v="1"/>
    <s v="Married"/>
    <n v="6447"/>
    <n v="6"/>
    <x v="1"/>
    <n v="12"/>
    <s v="Excellent"/>
    <s v="Medium"/>
    <n v="2"/>
    <x v="2"/>
    <x v="0"/>
    <x v="0"/>
  </r>
  <r>
    <n v="638"/>
    <n v="49"/>
    <x v="1"/>
    <x v="0"/>
    <x v="1"/>
    <n v="18"/>
    <x v="2"/>
    <s v="Life Sciences"/>
    <s v="Very high"/>
    <x v="1"/>
    <s v="Medium"/>
    <x v="7"/>
    <x v="2"/>
    <s v="Divorced"/>
    <n v="19502"/>
    <n v="1"/>
    <x v="0"/>
    <n v="17"/>
    <s v="Excellent"/>
    <s v="High"/>
    <n v="5"/>
    <x v="1"/>
    <x v="1"/>
    <x v="3"/>
  </r>
  <r>
    <n v="639"/>
    <n v="24"/>
    <x v="1"/>
    <x v="0"/>
    <x v="1"/>
    <n v="23"/>
    <x v="3"/>
    <s v="Medical"/>
    <s v="Medium"/>
    <x v="1"/>
    <s v="Very high"/>
    <x v="1"/>
    <x v="0"/>
    <s v="Married"/>
    <n v="2725"/>
    <n v="1"/>
    <x v="0"/>
    <n v="11"/>
    <s v="Excellent"/>
    <s v="Medium"/>
    <n v="3"/>
    <x v="1"/>
    <x v="4"/>
    <x v="1"/>
  </r>
  <r>
    <n v="641"/>
    <n v="26"/>
    <x v="1"/>
    <x v="0"/>
    <x v="0"/>
    <n v="28"/>
    <x v="0"/>
    <s v="Marketing"/>
    <s v="Low"/>
    <x v="1"/>
    <s v="High"/>
    <x v="0"/>
    <x v="1"/>
    <s v="Married"/>
    <n v="6272"/>
    <n v="1"/>
    <x v="1"/>
    <n v="20"/>
    <s v="Outstanding"/>
    <s v="Very high"/>
    <n v="5"/>
    <x v="3"/>
    <x v="2"/>
    <x v="0"/>
  </r>
  <r>
    <n v="643"/>
    <n v="24"/>
    <x v="1"/>
    <x v="0"/>
    <x v="1"/>
    <n v="17"/>
    <x v="0"/>
    <s v="Other"/>
    <s v="Very high"/>
    <x v="1"/>
    <s v="Medium"/>
    <x v="2"/>
    <x v="1"/>
    <s v="Married"/>
    <n v="2127"/>
    <n v="1"/>
    <x v="1"/>
    <n v="21"/>
    <s v="Outstanding"/>
    <s v="Very high"/>
    <n v="2"/>
    <x v="1"/>
    <x v="4"/>
    <x v="1"/>
  </r>
  <r>
    <n v="644"/>
    <n v="50"/>
    <x v="1"/>
    <x v="1"/>
    <x v="2"/>
    <n v="3"/>
    <x v="3"/>
    <s v="Medical"/>
    <s v="Low"/>
    <x v="1"/>
    <s v="High"/>
    <x v="5"/>
    <x v="1"/>
    <s v="Married"/>
    <n v="18200"/>
    <n v="1"/>
    <x v="1"/>
    <n v="11"/>
    <s v="Excellent"/>
    <s v="High"/>
    <n v="2"/>
    <x v="1"/>
    <x v="1"/>
    <x v="3"/>
  </r>
  <r>
    <n v="645"/>
    <n v="25"/>
    <x v="1"/>
    <x v="0"/>
    <x v="0"/>
    <n v="13"/>
    <x v="1"/>
    <s v="Medical"/>
    <s v="Medium"/>
    <x v="1"/>
    <s v="High"/>
    <x v="6"/>
    <x v="2"/>
    <s v="Married"/>
    <n v="2096"/>
    <n v="1"/>
    <x v="1"/>
    <n v="11"/>
    <s v="Excellent"/>
    <s v="High"/>
    <n v="1"/>
    <x v="1"/>
    <x v="2"/>
    <x v="1"/>
  </r>
  <r>
    <n v="647"/>
    <n v="24"/>
    <x v="0"/>
    <x v="1"/>
    <x v="1"/>
    <n v="7"/>
    <x v="3"/>
    <s v="Life Sciences"/>
    <s v="Low"/>
    <x v="0"/>
    <s v="High"/>
    <x v="2"/>
    <x v="2"/>
    <s v="Married"/>
    <n v="2886"/>
    <n v="1"/>
    <x v="0"/>
    <n v="16"/>
    <s v="Excellent"/>
    <s v="Very high"/>
    <n v="4"/>
    <x v="1"/>
    <x v="4"/>
    <x v="1"/>
  </r>
  <r>
    <n v="648"/>
    <n v="30"/>
    <x v="0"/>
    <x v="1"/>
    <x v="0"/>
    <n v="12"/>
    <x v="2"/>
    <s v="Life Sciences"/>
    <s v="Medium"/>
    <x v="1"/>
    <s v="Medium"/>
    <x v="6"/>
    <x v="3"/>
    <s v="Married"/>
    <n v="2033"/>
    <n v="1"/>
    <x v="1"/>
    <n v="18"/>
    <s v="Excellent"/>
    <s v="High"/>
    <n v="2"/>
    <x v="3"/>
    <x v="2"/>
    <x v="1"/>
  </r>
  <r>
    <n v="649"/>
    <n v="34"/>
    <x v="1"/>
    <x v="0"/>
    <x v="1"/>
    <n v="1"/>
    <x v="0"/>
    <s v="Life Sciences"/>
    <s v="Medium"/>
    <x v="1"/>
    <s v="Medium"/>
    <x v="1"/>
    <x v="0"/>
    <s v="Married"/>
    <n v="3622"/>
    <n v="1"/>
    <x v="0"/>
    <n v="13"/>
    <s v="Excellent"/>
    <s v="Very high"/>
    <n v="3"/>
    <x v="1"/>
    <x v="2"/>
    <x v="2"/>
  </r>
  <r>
    <n v="650"/>
    <n v="31"/>
    <x v="0"/>
    <x v="0"/>
    <x v="0"/>
    <n v="13"/>
    <x v="2"/>
    <s v="Medical"/>
    <s v="Medium"/>
    <x v="1"/>
    <s v="High"/>
    <x v="0"/>
    <x v="3"/>
    <s v="Divorced"/>
    <n v="4233"/>
    <n v="2"/>
    <x v="1"/>
    <n v="17"/>
    <s v="Excellent"/>
    <s v="High"/>
    <n v="2"/>
    <x v="0"/>
    <x v="2"/>
    <x v="2"/>
  </r>
  <r>
    <n v="652"/>
    <n v="35"/>
    <x v="1"/>
    <x v="0"/>
    <x v="1"/>
    <n v="25"/>
    <x v="0"/>
    <s v="Other"/>
    <s v="Low"/>
    <x v="1"/>
    <s v="Medium"/>
    <x v="2"/>
    <x v="0"/>
    <s v="Single"/>
    <n v="3681"/>
    <n v="4"/>
    <x v="1"/>
    <n v="14"/>
    <s v="Excellent"/>
    <s v="Very high"/>
    <n v="3"/>
    <x v="1"/>
    <x v="0"/>
    <x v="2"/>
  </r>
  <r>
    <n v="653"/>
    <n v="31"/>
    <x v="1"/>
    <x v="0"/>
    <x v="0"/>
    <n v="6"/>
    <x v="2"/>
    <s v="Medical"/>
    <s v="Low"/>
    <x v="1"/>
    <s v="Very high"/>
    <x v="0"/>
    <x v="0"/>
    <s v="Divorced"/>
    <n v="5460"/>
    <n v="4"/>
    <x v="1"/>
    <n v="22"/>
    <s v="Outstanding"/>
    <s v="Very high"/>
    <n v="4"/>
    <x v="3"/>
    <x v="2"/>
    <x v="0"/>
  </r>
  <r>
    <n v="655"/>
    <n v="27"/>
    <x v="1"/>
    <x v="0"/>
    <x v="1"/>
    <n v="6"/>
    <x v="2"/>
    <s v="Medical"/>
    <s v="Low"/>
    <x v="0"/>
    <s v="Medium"/>
    <x v="1"/>
    <x v="2"/>
    <s v="Divorced"/>
    <n v="2187"/>
    <n v="0"/>
    <x v="1"/>
    <n v="12"/>
    <s v="Excellent"/>
    <s v="High"/>
    <n v="5"/>
    <x v="2"/>
    <x v="2"/>
    <x v="1"/>
  </r>
  <r>
    <n v="656"/>
    <n v="37"/>
    <x v="1"/>
    <x v="0"/>
    <x v="0"/>
    <n v="2"/>
    <x v="3"/>
    <s v="Marketing"/>
    <s v="Very high"/>
    <x v="1"/>
    <s v="High"/>
    <x v="0"/>
    <x v="2"/>
    <s v="Married"/>
    <n v="9602"/>
    <n v="4"/>
    <x v="0"/>
    <n v="11"/>
    <s v="Excellent"/>
    <s v="High"/>
    <n v="3"/>
    <x v="2"/>
    <x v="0"/>
    <x v="3"/>
  </r>
  <r>
    <n v="657"/>
    <n v="20"/>
    <x v="1"/>
    <x v="0"/>
    <x v="1"/>
    <n v="1"/>
    <x v="3"/>
    <s v="Life Sciences"/>
    <s v="Very high"/>
    <x v="0"/>
    <s v="Medium"/>
    <x v="1"/>
    <x v="1"/>
    <s v="Single"/>
    <n v="2836"/>
    <n v="1"/>
    <x v="1"/>
    <n v="13"/>
    <s v="Excellent"/>
    <s v="Very high"/>
    <n v="0"/>
    <x v="3"/>
    <x v="4"/>
    <x v="1"/>
  </r>
  <r>
    <n v="659"/>
    <n v="42"/>
    <x v="1"/>
    <x v="0"/>
    <x v="1"/>
    <n v="2"/>
    <x v="2"/>
    <s v="Life Sciences"/>
    <s v="High"/>
    <x v="0"/>
    <s v="High"/>
    <x v="4"/>
    <x v="0"/>
    <s v="Married"/>
    <n v="4089"/>
    <n v="1"/>
    <x v="1"/>
    <n v="13"/>
    <s v="Excellent"/>
    <s v="Medium"/>
    <n v="4"/>
    <x v="1"/>
    <x v="0"/>
    <x v="2"/>
  </r>
  <r>
    <n v="661"/>
    <n v="43"/>
    <x v="1"/>
    <x v="0"/>
    <x v="1"/>
    <n v="6"/>
    <x v="2"/>
    <s v="Other"/>
    <s v="Medium"/>
    <x v="1"/>
    <s v="Medium"/>
    <x v="7"/>
    <x v="0"/>
    <s v="Divorced"/>
    <n v="16627"/>
    <n v="4"/>
    <x v="0"/>
    <n v="14"/>
    <s v="Excellent"/>
    <s v="High"/>
    <n v="3"/>
    <x v="2"/>
    <x v="0"/>
    <x v="3"/>
  </r>
  <r>
    <n v="662"/>
    <n v="38"/>
    <x v="1"/>
    <x v="0"/>
    <x v="1"/>
    <n v="1"/>
    <x v="1"/>
    <s v="Life Sciences"/>
    <s v="High"/>
    <x v="0"/>
    <s v="High"/>
    <x v="1"/>
    <x v="3"/>
    <s v="Single"/>
    <n v="2619"/>
    <n v="3"/>
    <x v="1"/>
    <n v="17"/>
    <s v="Excellent"/>
    <s v="Very high"/>
    <n v="3"/>
    <x v="2"/>
    <x v="0"/>
    <x v="1"/>
  </r>
  <r>
    <n v="663"/>
    <n v="43"/>
    <x v="1"/>
    <x v="1"/>
    <x v="1"/>
    <n v="9"/>
    <x v="4"/>
    <s v="Medical"/>
    <s v="Very high"/>
    <x v="1"/>
    <s v="High"/>
    <x v="2"/>
    <x v="2"/>
    <s v="Divorced"/>
    <n v="5679"/>
    <n v="3"/>
    <x v="0"/>
    <n v="13"/>
    <s v="Excellent"/>
    <s v="Medium"/>
    <n v="3"/>
    <x v="1"/>
    <x v="0"/>
    <x v="0"/>
  </r>
  <r>
    <n v="664"/>
    <n v="48"/>
    <x v="1"/>
    <x v="0"/>
    <x v="1"/>
    <n v="1"/>
    <x v="2"/>
    <s v="Life Sciences"/>
    <s v="Very high"/>
    <x v="0"/>
    <s v="Medium"/>
    <x v="5"/>
    <x v="3"/>
    <s v="Married"/>
    <n v="15402"/>
    <n v="7"/>
    <x v="1"/>
    <n v="11"/>
    <s v="Excellent"/>
    <s v="Low"/>
    <n v="3"/>
    <x v="0"/>
    <x v="1"/>
    <x v="3"/>
  </r>
  <r>
    <n v="665"/>
    <n v="44"/>
    <x v="1"/>
    <x v="0"/>
    <x v="2"/>
    <n v="1"/>
    <x v="2"/>
    <s v="Life Sciences"/>
    <s v="Low"/>
    <x v="0"/>
    <s v="Medium"/>
    <x v="8"/>
    <x v="2"/>
    <s v="Single"/>
    <n v="5985"/>
    <n v="4"/>
    <x v="1"/>
    <n v="11"/>
    <s v="Excellent"/>
    <s v="Medium"/>
    <n v="1"/>
    <x v="3"/>
    <x v="0"/>
    <x v="0"/>
  </r>
  <r>
    <n v="666"/>
    <n v="34"/>
    <x v="1"/>
    <x v="0"/>
    <x v="0"/>
    <n v="14"/>
    <x v="3"/>
    <s v="Technical Degree"/>
    <s v="High"/>
    <x v="0"/>
    <s v="High"/>
    <x v="6"/>
    <x v="2"/>
    <s v="Divorced"/>
    <n v="2579"/>
    <n v="1"/>
    <x v="0"/>
    <n v="18"/>
    <s v="Excellent"/>
    <s v="Very high"/>
    <n v="3"/>
    <x v="1"/>
    <x v="2"/>
    <x v="1"/>
  </r>
  <r>
    <n v="667"/>
    <n v="27"/>
    <x v="0"/>
    <x v="0"/>
    <x v="0"/>
    <n v="2"/>
    <x v="1"/>
    <s v="Marketing"/>
    <s v="High"/>
    <x v="1"/>
    <s v="High"/>
    <x v="6"/>
    <x v="3"/>
    <s v="Divorced"/>
    <n v="3041"/>
    <n v="0"/>
    <x v="1"/>
    <n v="11"/>
    <s v="Excellent"/>
    <s v="Medium"/>
    <n v="3"/>
    <x v="1"/>
    <x v="2"/>
    <x v="2"/>
  </r>
  <r>
    <n v="669"/>
    <n v="21"/>
    <x v="1"/>
    <x v="0"/>
    <x v="0"/>
    <n v="22"/>
    <x v="1"/>
    <s v="Technical Degree"/>
    <s v="High"/>
    <x v="1"/>
    <s v="High"/>
    <x v="6"/>
    <x v="2"/>
    <s v="Single"/>
    <n v="3447"/>
    <n v="1"/>
    <x v="1"/>
    <n v="11"/>
    <s v="Excellent"/>
    <s v="High"/>
    <n v="2"/>
    <x v="1"/>
    <x v="4"/>
    <x v="2"/>
  </r>
  <r>
    <n v="671"/>
    <n v="44"/>
    <x v="1"/>
    <x v="0"/>
    <x v="1"/>
    <n v="3"/>
    <x v="2"/>
    <s v="Other"/>
    <s v="Very high"/>
    <x v="1"/>
    <s v="High"/>
    <x v="5"/>
    <x v="0"/>
    <s v="Married"/>
    <n v="19513"/>
    <n v="4"/>
    <x v="0"/>
    <n v="12"/>
    <s v="Excellent"/>
    <s v="Low"/>
    <n v="2"/>
    <x v="3"/>
    <x v="0"/>
    <x v="3"/>
  </r>
  <r>
    <n v="675"/>
    <n v="22"/>
    <x v="1"/>
    <x v="0"/>
    <x v="1"/>
    <n v="6"/>
    <x v="1"/>
    <s v="Medical"/>
    <s v="Low"/>
    <x v="1"/>
    <s v="High"/>
    <x v="1"/>
    <x v="2"/>
    <s v="Married"/>
    <n v="2773"/>
    <n v="0"/>
    <x v="1"/>
    <n v="20"/>
    <s v="Outstanding"/>
    <s v="Very high"/>
    <n v="3"/>
    <x v="1"/>
    <x v="4"/>
    <x v="1"/>
  </r>
  <r>
    <n v="677"/>
    <n v="33"/>
    <x v="1"/>
    <x v="0"/>
    <x v="0"/>
    <n v="8"/>
    <x v="2"/>
    <s v="Marketing"/>
    <s v="High"/>
    <x v="1"/>
    <s v="High"/>
    <x v="0"/>
    <x v="2"/>
    <s v="Divorced"/>
    <n v="7104"/>
    <n v="0"/>
    <x v="1"/>
    <n v="12"/>
    <s v="Excellent"/>
    <s v="Very high"/>
    <n v="3"/>
    <x v="1"/>
    <x v="2"/>
    <x v="0"/>
  </r>
  <r>
    <n v="679"/>
    <n v="32"/>
    <x v="1"/>
    <x v="0"/>
    <x v="1"/>
    <n v="9"/>
    <x v="2"/>
    <s v="Life Sciences"/>
    <s v="Low"/>
    <x v="0"/>
    <s v="High"/>
    <x v="1"/>
    <x v="0"/>
    <s v="Married"/>
    <n v="6322"/>
    <n v="1"/>
    <x v="0"/>
    <n v="12"/>
    <s v="Excellent"/>
    <s v="Very high"/>
    <n v="2"/>
    <x v="2"/>
    <x v="2"/>
    <x v="0"/>
  </r>
  <r>
    <n v="680"/>
    <n v="30"/>
    <x v="1"/>
    <x v="1"/>
    <x v="1"/>
    <n v="3"/>
    <x v="3"/>
    <s v="Medical"/>
    <s v="High"/>
    <x v="0"/>
    <s v="High"/>
    <x v="1"/>
    <x v="2"/>
    <s v="Divorced"/>
    <n v="2083"/>
    <n v="1"/>
    <x v="1"/>
    <n v="20"/>
    <s v="Outstanding"/>
    <s v="High"/>
    <n v="2"/>
    <x v="1"/>
    <x v="2"/>
    <x v="1"/>
  </r>
  <r>
    <n v="682"/>
    <n v="53"/>
    <x v="1"/>
    <x v="0"/>
    <x v="0"/>
    <n v="1"/>
    <x v="1"/>
    <s v="Medical"/>
    <s v="Very high"/>
    <x v="0"/>
    <s v="High"/>
    <x v="0"/>
    <x v="3"/>
    <s v="Single"/>
    <n v="8381"/>
    <n v="7"/>
    <x v="1"/>
    <n v="20"/>
    <s v="Outstanding"/>
    <s v="Very high"/>
    <n v="2"/>
    <x v="3"/>
    <x v="1"/>
    <x v="3"/>
  </r>
  <r>
    <n v="683"/>
    <n v="34"/>
    <x v="1"/>
    <x v="0"/>
    <x v="1"/>
    <n v="1"/>
    <x v="4"/>
    <s v="Life Sciences"/>
    <s v="Medium"/>
    <x v="1"/>
    <s v="High"/>
    <x v="1"/>
    <x v="0"/>
    <s v="Married"/>
    <n v="2691"/>
    <n v="1"/>
    <x v="1"/>
    <n v="12"/>
    <s v="Excellent"/>
    <s v="Very high"/>
    <n v="4"/>
    <x v="2"/>
    <x v="2"/>
    <x v="1"/>
  </r>
  <r>
    <n v="684"/>
    <n v="45"/>
    <x v="0"/>
    <x v="1"/>
    <x v="0"/>
    <n v="26"/>
    <x v="2"/>
    <s v="Life Sciences"/>
    <s v="Low"/>
    <x v="0"/>
    <s v="High"/>
    <x v="0"/>
    <x v="3"/>
    <s v="Married"/>
    <n v="4286"/>
    <n v="2"/>
    <x v="1"/>
    <n v="14"/>
    <s v="Excellent"/>
    <s v="Very high"/>
    <n v="4"/>
    <x v="1"/>
    <x v="1"/>
    <x v="2"/>
  </r>
  <r>
    <n v="686"/>
    <n v="26"/>
    <x v="1"/>
    <x v="0"/>
    <x v="1"/>
    <n v="6"/>
    <x v="3"/>
    <s v="Life Sciences"/>
    <s v="High"/>
    <x v="0"/>
    <s v="High"/>
    <x v="2"/>
    <x v="0"/>
    <s v="Married"/>
    <n v="2659"/>
    <n v="1"/>
    <x v="0"/>
    <n v="13"/>
    <s v="Excellent"/>
    <s v="High"/>
    <n v="2"/>
    <x v="1"/>
    <x v="2"/>
    <x v="1"/>
  </r>
  <r>
    <n v="689"/>
    <n v="37"/>
    <x v="1"/>
    <x v="0"/>
    <x v="1"/>
    <n v="3"/>
    <x v="3"/>
    <s v="Other"/>
    <s v="High"/>
    <x v="1"/>
    <s v="High"/>
    <x v="3"/>
    <x v="2"/>
    <s v="Married"/>
    <n v="9434"/>
    <n v="1"/>
    <x v="1"/>
    <n v="15"/>
    <s v="Excellent"/>
    <s v="High"/>
    <n v="2"/>
    <x v="1"/>
    <x v="0"/>
    <x v="3"/>
  </r>
  <r>
    <n v="690"/>
    <n v="29"/>
    <x v="1"/>
    <x v="0"/>
    <x v="0"/>
    <n v="3"/>
    <x v="0"/>
    <s v="Medical"/>
    <s v="Medium"/>
    <x v="0"/>
    <s v="High"/>
    <x v="0"/>
    <x v="2"/>
    <s v="Married"/>
    <n v="5561"/>
    <n v="1"/>
    <x v="1"/>
    <n v="14"/>
    <s v="Excellent"/>
    <s v="Low"/>
    <n v="5"/>
    <x v="2"/>
    <x v="2"/>
    <x v="0"/>
  </r>
  <r>
    <n v="691"/>
    <n v="35"/>
    <x v="1"/>
    <x v="0"/>
    <x v="1"/>
    <n v="6"/>
    <x v="2"/>
    <s v="Life Sciences"/>
    <s v="Medium"/>
    <x v="1"/>
    <s v="Low"/>
    <x v="1"/>
    <x v="0"/>
    <s v="Single"/>
    <n v="6646"/>
    <n v="1"/>
    <x v="1"/>
    <n v="13"/>
    <s v="Excellent"/>
    <s v="Medium"/>
    <n v="3"/>
    <x v="1"/>
    <x v="0"/>
    <x v="0"/>
  </r>
  <r>
    <n v="692"/>
    <n v="33"/>
    <x v="1"/>
    <x v="1"/>
    <x v="1"/>
    <n v="6"/>
    <x v="3"/>
    <s v="Life Sciences"/>
    <s v="High"/>
    <x v="1"/>
    <s v="High"/>
    <x v="4"/>
    <x v="0"/>
    <s v="Divorced"/>
    <n v="7725"/>
    <n v="3"/>
    <x v="1"/>
    <n v="23"/>
    <s v="Outstanding"/>
    <s v="High"/>
    <n v="2"/>
    <x v="0"/>
    <x v="2"/>
    <x v="0"/>
  </r>
  <r>
    <n v="698"/>
    <n v="54"/>
    <x v="1"/>
    <x v="0"/>
    <x v="2"/>
    <n v="19"/>
    <x v="2"/>
    <s v="Medical"/>
    <s v="High"/>
    <x v="1"/>
    <s v="High"/>
    <x v="8"/>
    <x v="1"/>
    <s v="Married"/>
    <n v="10725"/>
    <n v="2"/>
    <x v="1"/>
    <n v="15"/>
    <s v="Excellent"/>
    <s v="High"/>
    <n v="1"/>
    <x v="3"/>
    <x v="1"/>
    <x v="3"/>
  </r>
  <r>
    <n v="699"/>
    <n v="36"/>
    <x v="1"/>
    <x v="0"/>
    <x v="1"/>
    <n v="9"/>
    <x v="0"/>
    <s v="Medical"/>
    <s v="Medium"/>
    <x v="1"/>
    <s v="Medium"/>
    <x v="3"/>
    <x v="1"/>
    <s v="Divorced"/>
    <n v="8847"/>
    <n v="2"/>
    <x v="0"/>
    <n v="11"/>
    <s v="Excellent"/>
    <s v="High"/>
    <n v="2"/>
    <x v="1"/>
    <x v="0"/>
    <x v="3"/>
  </r>
  <r>
    <n v="700"/>
    <n v="27"/>
    <x v="1"/>
    <x v="0"/>
    <x v="1"/>
    <n v="3"/>
    <x v="2"/>
    <s v="Medical"/>
    <s v="Low"/>
    <x v="1"/>
    <s v="Medium"/>
    <x v="1"/>
    <x v="0"/>
    <s v="Single"/>
    <n v="2045"/>
    <n v="0"/>
    <x v="1"/>
    <n v="13"/>
    <s v="Excellent"/>
    <s v="Very high"/>
    <n v="0"/>
    <x v="1"/>
    <x v="2"/>
    <x v="1"/>
  </r>
  <r>
    <n v="701"/>
    <n v="20"/>
    <x v="0"/>
    <x v="0"/>
    <x v="1"/>
    <n v="10"/>
    <x v="1"/>
    <s v="Medical"/>
    <s v="Very high"/>
    <x v="1"/>
    <s v="High"/>
    <x v="1"/>
    <x v="2"/>
    <s v="Single"/>
    <n v="1009"/>
    <n v="1"/>
    <x v="0"/>
    <n v="11"/>
    <s v="Excellent"/>
    <s v="Very high"/>
    <n v="5"/>
    <x v="1"/>
    <x v="4"/>
    <x v="1"/>
  </r>
  <r>
    <n v="702"/>
    <n v="33"/>
    <x v="0"/>
    <x v="1"/>
    <x v="1"/>
    <n v="3"/>
    <x v="3"/>
    <s v="Life Sciences"/>
    <s v="Low"/>
    <x v="1"/>
    <s v="High"/>
    <x v="1"/>
    <x v="3"/>
    <s v="Single"/>
    <n v="3348"/>
    <n v="1"/>
    <x v="0"/>
    <n v="11"/>
    <s v="Excellent"/>
    <s v="Low"/>
    <n v="3"/>
    <x v="1"/>
    <x v="2"/>
    <x v="2"/>
  </r>
  <r>
    <n v="704"/>
    <n v="35"/>
    <x v="1"/>
    <x v="2"/>
    <x v="1"/>
    <n v="3"/>
    <x v="3"/>
    <s v="Life Sciences"/>
    <s v="High"/>
    <x v="1"/>
    <s v="Medium"/>
    <x v="2"/>
    <x v="2"/>
    <s v="Married"/>
    <n v="1281"/>
    <n v="1"/>
    <x v="1"/>
    <n v="18"/>
    <s v="Excellent"/>
    <s v="High"/>
    <n v="3"/>
    <x v="1"/>
    <x v="0"/>
    <x v="1"/>
  </r>
  <r>
    <n v="705"/>
    <n v="23"/>
    <x v="1"/>
    <x v="0"/>
    <x v="1"/>
    <n v="4"/>
    <x v="3"/>
    <s v="Medical"/>
    <s v="Low"/>
    <x v="1"/>
    <s v="Very high"/>
    <x v="1"/>
    <x v="3"/>
    <s v="Married"/>
    <n v="2819"/>
    <n v="2"/>
    <x v="1"/>
    <n v="16"/>
    <s v="Excellent"/>
    <s v="Low"/>
    <n v="3"/>
    <x v="3"/>
    <x v="4"/>
    <x v="1"/>
  </r>
  <r>
    <n v="707"/>
    <n v="25"/>
    <x v="1"/>
    <x v="0"/>
    <x v="0"/>
    <n v="8"/>
    <x v="3"/>
    <s v="Life Sciences"/>
    <s v="Very high"/>
    <x v="1"/>
    <s v="Very high"/>
    <x v="0"/>
    <x v="1"/>
    <s v="Married"/>
    <n v="4851"/>
    <n v="0"/>
    <x v="1"/>
    <n v="22"/>
    <s v="Outstanding"/>
    <s v="High"/>
    <n v="4"/>
    <x v="1"/>
    <x v="2"/>
    <x v="2"/>
  </r>
  <r>
    <n v="709"/>
    <n v="38"/>
    <x v="1"/>
    <x v="0"/>
    <x v="0"/>
    <n v="7"/>
    <x v="2"/>
    <s v="Marketing"/>
    <s v="Very high"/>
    <x v="0"/>
    <s v="Medium"/>
    <x v="0"/>
    <x v="0"/>
    <s v="Single"/>
    <n v="4028"/>
    <n v="0"/>
    <x v="1"/>
    <n v="20"/>
    <s v="Outstanding"/>
    <s v="Low"/>
    <n v="2"/>
    <x v="1"/>
    <x v="0"/>
    <x v="2"/>
  </r>
  <r>
    <n v="710"/>
    <n v="29"/>
    <x v="1"/>
    <x v="1"/>
    <x v="1"/>
    <n v="1"/>
    <x v="2"/>
    <s v="Life Sciences"/>
    <s v="Medium"/>
    <x v="1"/>
    <s v="Low"/>
    <x v="1"/>
    <x v="0"/>
    <s v="Divorced"/>
    <n v="2720"/>
    <n v="1"/>
    <x v="1"/>
    <n v="18"/>
    <s v="Excellent"/>
    <s v="Very high"/>
    <n v="5"/>
    <x v="1"/>
    <x v="2"/>
    <x v="1"/>
  </r>
  <r>
    <n v="712"/>
    <n v="48"/>
    <x v="1"/>
    <x v="0"/>
    <x v="0"/>
    <n v="2"/>
    <x v="1"/>
    <s v="Marketing"/>
    <s v="Medium"/>
    <x v="1"/>
    <s v="Very high"/>
    <x v="0"/>
    <x v="1"/>
    <s v="Married"/>
    <n v="8120"/>
    <n v="3"/>
    <x v="1"/>
    <n v="12"/>
    <s v="Excellent"/>
    <s v="Very high"/>
    <n v="3"/>
    <x v="1"/>
    <x v="1"/>
    <x v="3"/>
  </r>
  <r>
    <n v="714"/>
    <n v="27"/>
    <x v="1"/>
    <x v="1"/>
    <x v="0"/>
    <n v="3"/>
    <x v="1"/>
    <s v="Medical"/>
    <s v="Very high"/>
    <x v="0"/>
    <s v="Very high"/>
    <x v="0"/>
    <x v="0"/>
    <s v="Divorced"/>
    <n v="4647"/>
    <n v="1"/>
    <x v="0"/>
    <n v="20"/>
    <s v="Outstanding"/>
    <s v="Medium"/>
    <n v="3"/>
    <x v="1"/>
    <x v="2"/>
    <x v="2"/>
  </r>
  <r>
    <n v="715"/>
    <n v="37"/>
    <x v="1"/>
    <x v="0"/>
    <x v="1"/>
    <n v="10"/>
    <x v="0"/>
    <s v="Life Sciences"/>
    <s v="Very high"/>
    <x v="1"/>
    <s v="Very high"/>
    <x v="1"/>
    <x v="0"/>
    <s v="Single"/>
    <n v="4680"/>
    <n v="3"/>
    <x v="1"/>
    <n v="17"/>
    <s v="Excellent"/>
    <s v="Low"/>
    <n v="2"/>
    <x v="1"/>
    <x v="0"/>
    <x v="2"/>
  </r>
  <r>
    <n v="716"/>
    <n v="50"/>
    <x v="1"/>
    <x v="0"/>
    <x v="1"/>
    <n v="28"/>
    <x v="1"/>
    <s v="Medical"/>
    <s v="Very high"/>
    <x v="1"/>
    <s v="Very high"/>
    <x v="2"/>
    <x v="2"/>
    <s v="Married"/>
    <n v="3221"/>
    <n v="1"/>
    <x v="0"/>
    <n v="11"/>
    <s v="Excellent"/>
    <s v="High"/>
    <n v="3"/>
    <x v="1"/>
    <x v="1"/>
    <x v="2"/>
  </r>
  <r>
    <n v="717"/>
    <n v="34"/>
    <x v="1"/>
    <x v="0"/>
    <x v="1"/>
    <n v="9"/>
    <x v="3"/>
    <s v="Medical"/>
    <s v="Very high"/>
    <x v="0"/>
    <s v="Medium"/>
    <x v="4"/>
    <x v="1"/>
    <s v="Single"/>
    <n v="8621"/>
    <n v="1"/>
    <x v="1"/>
    <n v="14"/>
    <s v="Excellent"/>
    <s v="Medium"/>
    <n v="3"/>
    <x v="3"/>
    <x v="2"/>
    <x v="3"/>
  </r>
  <r>
    <n v="720"/>
    <n v="24"/>
    <x v="0"/>
    <x v="0"/>
    <x v="0"/>
    <n v="3"/>
    <x v="0"/>
    <s v="Life Sciences"/>
    <s v="Low"/>
    <x v="0"/>
    <s v="High"/>
    <x v="0"/>
    <x v="2"/>
    <s v="Single"/>
    <n v="4577"/>
    <n v="9"/>
    <x v="1"/>
    <n v="14"/>
    <s v="Excellent"/>
    <s v="Low"/>
    <n v="3"/>
    <x v="1"/>
    <x v="4"/>
    <x v="2"/>
  </r>
  <r>
    <n v="721"/>
    <n v="39"/>
    <x v="1"/>
    <x v="0"/>
    <x v="1"/>
    <n v="2"/>
    <x v="2"/>
    <s v="Technical Degree"/>
    <s v="Very high"/>
    <x v="0"/>
    <s v="Medium"/>
    <x v="4"/>
    <x v="2"/>
    <s v="Single"/>
    <n v="4553"/>
    <n v="1"/>
    <x v="1"/>
    <n v="11"/>
    <s v="Excellent"/>
    <s v="Low"/>
    <n v="4"/>
    <x v="1"/>
    <x v="0"/>
    <x v="2"/>
  </r>
  <r>
    <n v="722"/>
    <n v="32"/>
    <x v="1"/>
    <x v="0"/>
    <x v="0"/>
    <n v="10"/>
    <x v="3"/>
    <s v="Marketing"/>
    <s v="Very high"/>
    <x v="1"/>
    <s v="High"/>
    <x v="0"/>
    <x v="0"/>
    <s v="Single"/>
    <n v="5396"/>
    <n v="1"/>
    <x v="1"/>
    <n v="12"/>
    <s v="Excellent"/>
    <s v="Very high"/>
    <n v="2"/>
    <x v="2"/>
    <x v="2"/>
    <x v="0"/>
  </r>
  <r>
    <n v="723"/>
    <n v="50"/>
    <x v="0"/>
    <x v="1"/>
    <x v="0"/>
    <n v="8"/>
    <x v="0"/>
    <s v="Technical Degree"/>
    <s v="Medium"/>
    <x v="1"/>
    <s v="High"/>
    <x v="0"/>
    <x v="2"/>
    <s v="Married"/>
    <n v="6796"/>
    <n v="3"/>
    <x v="0"/>
    <n v="14"/>
    <s v="Excellent"/>
    <s v="Low"/>
    <n v="4"/>
    <x v="1"/>
    <x v="1"/>
    <x v="0"/>
  </r>
  <r>
    <n v="724"/>
    <n v="38"/>
    <x v="1"/>
    <x v="0"/>
    <x v="1"/>
    <n v="1"/>
    <x v="2"/>
    <s v="Life Sciences"/>
    <s v="Medium"/>
    <x v="0"/>
    <s v="Very high"/>
    <x v="4"/>
    <x v="0"/>
    <s v="Single"/>
    <n v="7625"/>
    <n v="0"/>
    <x v="1"/>
    <n v="13"/>
    <s v="Excellent"/>
    <s v="High"/>
    <n v="4"/>
    <x v="2"/>
    <x v="0"/>
    <x v="0"/>
  </r>
  <r>
    <n v="725"/>
    <n v="27"/>
    <x v="1"/>
    <x v="0"/>
    <x v="1"/>
    <n v="1"/>
    <x v="0"/>
    <s v="Life Sciences"/>
    <s v="High"/>
    <x v="0"/>
    <s v="High"/>
    <x v="3"/>
    <x v="3"/>
    <s v="Married"/>
    <n v="7412"/>
    <n v="1"/>
    <x v="1"/>
    <n v="11"/>
    <s v="Excellent"/>
    <s v="Very high"/>
    <n v="3"/>
    <x v="1"/>
    <x v="2"/>
    <x v="0"/>
  </r>
  <r>
    <n v="727"/>
    <n v="32"/>
    <x v="1"/>
    <x v="0"/>
    <x v="1"/>
    <n v="3"/>
    <x v="0"/>
    <s v="Life Sciences"/>
    <s v="High"/>
    <x v="0"/>
    <s v="High"/>
    <x v="7"/>
    <x v="0"/>
    <s v="Single"/>
    <n v="11159"/>
    <n v="3"/>
    <x v="1"/>
    <n v="15"/>
    <s v="Excellent"/>
    <s v="Very high"/>
    <n v="6"/>
    <x v="1"/>
    <x v="2"/>
    <x v="3"/>
  </r>
  <r>
    <n v="728"/>
    <n v="47"/>
    <x v="1"/>
    <x v="0"/>
    <x v="0"/>
    <n v="14"/>
    <x v="2"/>
    <s v="Marketing"/>
    <s v="Very high"/>
    <x v="1"/>
    <s v="High"/>
    <x v="0"/>
    <x v="3"/>
    <s v="Single"/>
    <n v="4960"/>
    <n v="2"/>
    <x v="1"/>
    <n v="12"/>
    <s v="Excellent"/>
    <s v="Very high"/>
    <n v="2"/>
    <x v="1"/>
    <x v="1"/>
    <x v="2"/>
  </r>
  <r>
    <n v="729"/>
    <n v="40"/>
    <x v="1"/>
    <x v="1"/>
    <x v="0"/>
    <n v="5"/>
    <x v="2"/>
    <s v="Life Sciences"/>
    <s v="Very high"/>
    <x v="1"/>
    <s v="Medium"/>
    <x v="0"/>
    <x v="3"/>
    <s v="Married"/>
    <n v="10475"/>
    <n v="5"/>
    <x v="0"/>
    <n v="21"/>
    <s v="Outstanding"/>
    <s v="High"/>
    <n v="2"/>
    <x v="1"/>
    <x v="0"/>
    <x v="3"/>
  </r>
  <r>
    <n v="730"/>
    <n v="53"/>
    <x v="1"/>
    <x v="0"/>
    <x v="1"/>
    <n v="7"/>
    <x v="3"/>
    <s v="Life Sciences"/>
    <s v="High"/>
    <x v="1"/>
    <s v="Very high"/>
    <x v="7"/>
    <x v="2"/>
    <s v="Married"/>
    <n v="14814"/>
    <n v="3"/>
    <x v="1"/>
    <n v="19"/>
    <s v="Excellent"/>
    <s v="High"/>
    <n v="3"/>
    <x v="1"/>
    <x v="1"/>
    <x v="3"/>
  </r>
  <r>
    <n v="731"/>
    <n v="41"/>
    <x v="1"/>
    <x v="0"/>
    <x v="2"/>
    <n v="10"/>
    <x v="2"/>
    <s v="Human Resources"/>
    <s v="Medium"/>
    <x v="1"/>
    <s v="Medium"/>
    <x v="5"/>
    <x v="0"/>
    <s v="Divorced"/>
    <n v="19141"/>
    <n v="3"/>
    <x v="1"/>
    <n v="15"/>
    <s v="Excellent"/>
    <s v="Medium"/>
    <n v="2"/>
    <x v="2"/>
    <x v="0"/>
    <x v="3"/>
  </r>
  <r>
    <n v="732"/>
    <n v="60"/>
    <x v="1"/>
    <x v="0"/>
    <x v="0"/>
    <n v="16"/>
    <x v="2"/>
    <s v="Marketing"/>
    <s v="Low"/>
    <x v="1"/>
    <s v="High"/>
    <x v="0"/>
    <x v="3"/>
    <s v="Single"/>
    <n v="5405"/>
    <n v="8"/>
    <x v="1"/>
    <n v="14"/>
    <s v="Excellent"/>
    <s v="Very high"/>
    <n v="1"/>
    <x v="1"/>
    <x v="3"/>
    <x v="0"/>
  </r>
  <r>
    <n v="733"/>
    <n v="27"/>
    <x v="1"/>
    <x v="1"/>
    <x v="1"/>
    <n v="10"/>
    <x v="0"/>
    <s v="Life Sciences"/>
    <s v="Very high"/>
    <x v="1"/>
    <s v="High"/>
    <x v="3"/>
    <x v="3"/>
    <s v="Divorced"/>
    <n v="8793"/>
    <n v="1"/>
    <x v="1"/>
    <n v="21"/>
    <s v="Outstanding"/>
    <s v="High"/>
    <n v="4"/>
    <x v="2"/>
    <x v="2"/>
    <x v="3"/>
  </r>
  <r>
    <n v="734"/>
    <n v="41"/>
    <x v="1"/>
    <x v="0"/>
    <x v="2"/>
    <n v="1"/>
    <x v="3"/>
    <s v="Human Resources"/>
    <s v="Very high"/>
    <x v="1"/>
    <s v="Medium"/>
    <x v="5"/>
    <x v="2"/>
    <s v="Married"/>
    <n v="19189"/>
    <n v="1"/>
    <x v="1"/>
    <n v="12"/>
    <s v="Excellent"/>
    <s v="Medium"/>
    <n v="3"/>
    <x v="1"/>
    <x v="0"/>
    <x v="3"/>
  </r>
  <r>
    <n v="738"/>
    <n v="50"/>
    <x v="1"/>
    <x v="0"/>
    <x v="0"/>
    <n v="8"/>
    <x v="2"/>
    <s v="Marketing"/>
    <s v="Very high"/>
    <x v="1"/>
    <s v="High"/>
    <x v="6"/>
    <x v="1"/>
    <s v="Married"/>
    <n v="3875"/>
    <n v="7"/>
    <x v="1"/>
    <n v="15"/>
    <s v="Excellent"/>
    <s v="Very high"/>
    <n v="2"/>
    <x v="1"/>
    <x v="1"/>
    <x v="2"/>
  </r>
  <r>
    <n v="741"/>
    <n v="28"/>
    <x v="0"/>
    <x v="0"/>
    <x v="1"/>
    <n v="1"/>
    <x v="0"/>
    <s v="Life Sciences"/>
    <s v="Low"/>
    <x v="0"/>
    <s v="Low"/>
    <x v="1"/>
    <x v="1"/>
    <s v="Single"/>
    <n v="2216"/>
    <n v="7"/>
    <x v="0"/>
    <n v="13"/>
    <s v="Excellent"/>
    <s v="Very high"/>
    <n v="4"/>
    <x v="1"/>
    <x v="2"/>
    <x v="1"/>
  </r>
  <r>
    <n v="742"/>
    <n v="36"/>
    <x v="1"/>
    <x v="2"/>
    <x v="1"/>
    <n v="8"/>
    <x v="3"/>
    <s v="Life Sciences"/>
    <s v="Low"/>
    <x v="0"/>
    <s v="Very high"/>
    <x v="7"/>
    <x v="3"/>
    <s v="Married"/>
    <n v="11713"/>
    <n v="9"/>
    <x v="1"/>
    <n v="14"/>
    <s v="Excellent"/>
    <s v="Low"/>
    <n v="2"/>
    <x v="1"/>
    <x v="0"/>
    <x v="3"/>
  </r>
  <r>
    <n v="743"/>
    <n v="38"/>
    <x v="1"/>
    <x v="0"/>
    <x v="1"/>
    <n v="1"/>
    <x v="3"/>
    <s v="Life Sciences"/>
    <s v="High"/>
    <x v="0"/>
    <s v="High"/>
    <x v="3"/>
    <x v="2"/>
    <s v="Single"/>
    <n v="7861"/>
    <n v="4"/>
    <x v="0"/>
    <n v="14"/>
    <s v="Excellent"/>
    <s v="Very high"/>
    <n v="4"/>
    <x v="3"/>
    <x v="0"/>
    <x v="0"/>
  </r>
  <r>
    <n v="744"/>
    <n v="44"/>
    <x v="1"/>
    <x v="2"/>
    <x v="1"/>
    <n v="24"/>
    <x v="3"/>
    <s v="Medical"/>
    <s v="Low"/>
    <x v="1"/>
    <s v="Low"/>
    <x v="2"/>
    <x v="2"/>
    <s v="Single"/>
    <n v="3708"/>
    <n v="2"/>
    <x v="1"/>
    <n v="14"/>
    <s v="Excellent"/>
    <s v="High"/>
    <n v="5"/>
    <x v="1"/>
    <x v="0"/>
    <x v="2"/>
  </r>
  <r>
    <n v="746"/>
    <n v="47"/>
    <x v="1"/>
    <x v="1"/>
    <x v="0"/>
    <n v="3"/>
    <x v="3"/>
    <s v="Medical"/>
    <s v="Very high"/>
    <x v="0"/>
    <s v="High"/>
    <x v="0"/>
    <x v="2"/>
    <s v="Divorced"/>
    <n v="13770"/>
    <n v="9"/>
    <x v="0"/>
    <n v="12"/>
    <s v="Excellent"/>
    <s v="Very high"/>
    <n v="2"/>
    <x v="2"/>
    <x v="1"/>
    <x v="3"/>
  </r>
  <r>
    <n v="747"/>
    <n v="30"/>
    <x v="1"/>
    <x v="0"/>
    <x v="0"/>
    <n v="27"/>
    <x v="4"/>
    <s v="Marketing"/>
    <s v="High"/>
    <x v="1"/>
    <s v="High"/>
    <x v="0"/>
    <x v="0"/>
    <s v="Divorced"/>
    <n v="5304"/>
    <n v="7"/>
    <x v="1"/>
    <n v="23"/>
    <s v="Outstanding"/>
    <s v="Very high"/>
    <n v="2"/>
    <x v="2"/>
    <x v="2"/>
    <x v="0"/>
  </r>
  <r>
    <n v="749"/>
    <n v="29"/>
    <x v="1"/>
    <x v="0"/>
    <x v="0"/>
    <n v="10"/>
    <x v="3"/>
    <s v="Life Sciences"/>
    <s v="High"/>
    <x v="1"/>
    <s v="High"/>
    <x v="6"/>
    <x v="2"/>
    <s v="Single"/>
    <n v="2642"/>
    <n v="1"/>
    <x v="1"/>
    <n v="11"/>
    <s v="Excellent"/>
    <s v="High"/>
    <n v="6"/>
    <x v="1"/>
    <x v="2"/>
    <x v="1"/>
  </r>
  <r>
    <n v="752"/>
    <n v="42"/>
    <x v="0"/>
    <x v="1"/>
    <x v="1"/>
    <n v="19"/>
    <x v="3"/>
    <s v="Medical"/>
    <s v="High"/>
    <x v="1"/>
    <s v="Very high"/>
    <x v="1"/>
    <x v="2"/>
    <s v="Divorced"/>
    <n v="2759"/>
    <n v="6"/>
    <x v="0"/>
    <n v="12"/>
    <s v="Excellent"/>
    <s v="Very high"/>
    <n v="2"/>
    <x v="1"/>
    <x v="0"/>
    <x v="1"/>
  </r>
  <r>
    <n v="754"/>
    <n v="43"/>
    <x v="1"/>
    <x v="1"/>
    <x v="0"/>
    <n v="15"/>
    <x v="3"/>
    <s v="Life Sciences"/>
    <s v="Very high"/>
    <x v="1"/>
    <s v="Medium"/>
    <x v="0"/>
    <x v="0"/>
    <s v="Married"/>
    <n v="6804"/>
    <n v="3"/>
    <x v="1"/>
    <n v="18"/>
    <s v="Excellent"/>
    <s v="High"/>
    <n v="5"/>
    <x v="1"/>
    <x v="0"/>
    <x v="0"/>
  </r>
  <r>
    <n v="757"/>
    <n v="34"/>
    <x v="1"/>
    <x v="0"/>
    <x v="1"/>
    <n v="8"/>
    <x v="0"/>
    <s v="Medical"/>
    <s v="Medium"/>
    <x v="0"/>
    <s v="High"/>
    <x v="4"/>
    <x v="2"/>
    <s v="Single"/>
    <n v="6142"/>
    <n v="3"/>
    <x v="1"/>
    <n v="11"/>
    <s v="Excellent"/>
    <s v="Very high"/>
    <n v="2"/>
    <x v="1"/>
    <x v="2"/>
    <x v="0"/>
  </r>
  <r>
    <n v="758"/>
    <n v="23"/>
    <x v="1"/>
    <x v="0"/>
    <x v="1"/>
    <n v="9"/>
    <x v="1"/>
    <s v="Medical"/>
    <s v="Medium"/>
    <x v="1"/>
    <s v="High"/>
    <x v="2"/>
    <x v="3"/>
    <s v="Married"/>
    <n v="2500"/>
    <n v="1"/>
    <x v="1"/>
    <n v="14"/>
    <s v="Excellent"/>
    <s v="Very high"/>
    <n v="2"/>
    <x v="3"/>
    <x v="4"/>
    <x v="1"/>
  </r>
  <r>
    <n v="760"/>
    <n v="39"/>
    <x v="1"/>
    <x v="0"/>
    <x v="2"/>
    <n v="3"/>
    <x v="3"/>
    <s v="Human Resources"/>
    <s v="High"/>
    <x v="0"/>
    <s v="Very high"/>
    <x v="8"/>
    <x v="1"/>
    <s v="Married"/>
    <n v="6389"/>
    <n v="9"/>
    <x v="1"/>
    <n v="15"/>
    <s v="Excellent"/>
    <s v="High"/>
    <n v="3"/>
    <x v="0"/>
    <x v="0"/>
    <x v="0"/>
  </r>
  <r>
    <n v="762"/>
    <n v="56"/>
    <x v="1"/>
    <x v="0"/>
    <x v="1"/>
    <n v="9"/>
    <x v="3"/>
    <s v="Medical"/>
    <s v="High"/>
    <x v="1"/>
    <s v="High"/>
    <x v="4"/>
    <x v="0"/>
    <s v="Married"/>
    <n v="11103"/>
    <n v="7"/>
    <x v="1"/>
    <n v="11"/>
    <s v="Excellent"/>
    <s v="High"/>
    <n v="1"/>
    <x v="2"/>
    <x v="3"/>
    <x v="3"/>
  </r>
  <r>
    <n v="763"/>
    <n v="40"/>
    <x v="1"/>
    <x v="0"/>
    <x v="1"/>
    <n v="2"/>
    <x v="1"/>
    <s v="Medical"/>
    <s v="Very high"/>
    <x v="0"/>
    <s v="Medium"/>
    <x v="1"/>
    <x v="0"/>
    <s v="Single"/>
    <n v="2342"/>
    <n v="0"/>
    <x v="0"/>
    <n v="20"/>
    <s v="Outstanding"/>
    <s v="Very high"/>
    <n v="2"/>
    <x v="2"/>
    <x v="0"/>
    <x v="1"/>
  </r>
  <r>
    <n v="764"/>
    <n v="27"/>
    <x v="1"/>
    <x v="0"/>
    <x v="1"/>
    <n v="7"/>
    <x v="3"/>
    <s v="Medical"/>
    <s v="Very high"/>
    <x v="0"/>
    <s v="Medium"/>
    <x v="4"/>
    <x v="3"/>
    <s v="Single"/>
    <n v="6811"/>
    <n v="8"/>
    <x v="1"/>
    <n v="19"/>
    <s v="Excellent"/>
    <s v="Low"/>
    <n v="2"/>
    <x v="0"/>
    <x v="2"/>
    <x v="0"/>
  </r>
  <r>
    <n v="766"/>
    <n v="29"/>
    <x v="1"/>
    <x v="0"/>
    <x v="0"/>
    <n v="10"/>
    <x v="3"/>
    <s v="Marketing"/>
    <s v="Very high"/>
    <x v="1"/>
    <s v="High"/>
    <x v="6"/>
    <x v="1"/>
    <s v="Divorced"/>
    <n v="2297"/>
    <n v="1"/>
    <x v="1"/>
    <n v="14"/>
    <s v="Excellent"/>
    <s v="Very high"/>
    <n v="2"/>
    <x v="1"/>
    <x v="2"/>
    <x v="1"/>
  </r>
  <r>
    <n v="769"/>
    <n v="53"/>
    <x v="1"/>
    <x v="0"/>
    <x v="1"/>
    <n v="6"/>
    <x v="3"/>
    <s v="Life Sciences"/>
    <s v="Very high"/>
    <x v="1"/>
    <s v="High"/>
    <x v="2"/>
    <x v="0"/>
    <s v="Single"/>
    <n v="2450"/>
    <n v="2"/>
    <x v="1"/>
    <n v="17"/>
    <s v="Excellent"/>
    <s v="Very high"/>
    <n v="4"/>
    <x v="1"/>
    <x v="1"/>
    <x v="1"/>
  </r>
  <r>
    <n v="771"/>
    <n v="35"/>
    <x v="1"/>
    <x v="2"/>
    <x v="1"/>
    <n v="2"/>
    <x v="2"/>
    <s v="Life Sciences"/>
    <s v="Very high"/>
    <x v="0"/>
    <s v="High"/>
    <x v="4"/>
    <x v="3"/>
    <s v="Divorced"/>
    <n v="5093"/>
    <n v="2"/>
    <x v="1"/>
    <n v="11"/>
    <s v="Excellent"/>
    <s v="Low"/>
    <n v="2"/>
    <x v="3"/>
    <x v="0"/>
    <x v="0"/>
  </r>
  <r>
    <n v="772"/>
    <n v="32"/>
    <x v="1"/>
    <x v="1"/>
    <x v="1"/>
    <n v="24"/>
    <x v="2"/>
    <s v="Life Sciences"/>
    <s v="Low"/>
    <x v="1"/>
    <s v="High"/>
    <x v="2"/>
    <x v="0"/>
    <s v="Married"/>
    <n v="5309"/>
    <n v="1"/>
    <x v="1"/>
    <n v="15"/>
    <s v="Excellent"/>
    <s v="Very high"/>
    <n v="2"/>
    <x v="1"/>
    <x v="2"/>
    <x v="0"/>
  </r>
  <r>
    <n v="773"/>
    <n v="38"/>
    <x v="1"/>
    <x v="0"/>
    <x v="1"/>
    <n v="2"/>
    <x v="4"/>
    <s v="Medical"/>
    <s v="Very high"/>
    <x v="1"/>
    <s v="High"/>
    <x v="1"/>
    <x v="2"/>
    <s v="Married"/>
    <n v="3057"/>
    <n v="6"/>
    <x v="0"/>
    <n v="13"/>
    <s v="Excellent"/>
    <s v="Medium"/>
    <n v="0"/>
    <x v="0"/>
    <x v="0"/>
    <x v="2"/>
  </r>
  <r>
    <n v="775"/>
    <n v="34"/>
    <x v="1"/>
    <x v="0"/>
    <x v="1"/>
    <n v="8"/>
    <x v="4"/>
    <s v="Life Sciences"/>
    <s v="Medium"/>
    <x v="0"/>
    <s v="High"/>
    <x v="3"/>
    <x v="3"/>
    <s v="Divorced"/>
    <n v="5121"/>
    <n v="3"/>
    <x v="1"/>
    <n v="14"/>
    <s v="Excellent"/>
    <s v="High"/>
    <n v="3"/>
    <x v="1"/>
    <x v="2"/>
    <x v="0"/>
  </r>
  <r>
    <n v="776"/>
    <n v="52"/>
    <x v="1"/>
    <x v="0"/>
    <x v="0"/>
    <n v="3"/>
    <x v="2"/>
    <s v="Marketing"/>
    <s v="High"/>
    <x v="1"/>
    <s v="Medium"/>
    <x v="5"/>
    <x v="3"/>
    <s v="Married"/>
    <n v="16856"/>
    <n v="1"/>
    <x v="1"/>
    <n v="11"/>
    <s v="Excellent"/>
    <s v="Low"/>
    <n v="3"/>
    <x v="3"/>
    <x v="1"/>
    <x v="3"/>
  </r>
  <r>
    <n v="780"/>
    <n v="33"/>
    <x v="0"/>
    <x v="0"/>
    <x v="1"/>
    <n v="1"/>
    <x v="2"/>
    <s v="Other"/>
    <s v="Very high"/>
    <x v="1"/>
    <s v="High"/>
    <x v="1"/>
    <x v="0"/>
    <s v="Single"/>
    <n v="2686"/>
    <n v="1"/>
    <x v="0"/>
    <n v="13"/>
    <s v="Excellent"/>
    <s v="High"/>
    <n v="2"/>
    <x v="2"/>
    <x v="2"/>
    <x v="1"/>
  </r>
  <r>
    <n v="781"/>
    <n v="25"/>
    <x v="1"/>
    <x v="0"/>
    <x v="0"/>
    <n v="26"/>
    <x v="1"/>
    <s v="Medical"/>
    <s v="High"/>
    <x v="0"/>
    <s v="High"/>
    <x v="0"/>
    <x v="0"/>
    <s v="Single"/>
    <n v="6180"/>
    <n v="1"/>
    <x v="1"/>
    <n v="23"/>
    <s v="Outstanding"/>
    <s v="Medium"/>
    <n v="5"/>
    <x v="2"/>
    <x v="2"/>
    <x v="0"/>
  </r>
  <r>
    <n v="783"/>
    <n v="45"/>
    <x v="1"/>
    <x v="0"/>
    <x v="0"/>
    <n v="2"/>
    <x v="0"/>
    <s v="Technical Degree"/>
    <s v="Medium"/>
    <x v="1"/>
    <s v="Low"/>
    <x v="6"/>
    <x v="2"/>
    <s v="Single"/>
    <n v="6632"/>
    <n v="0"/>
    <x v="1"/>
    <n v="13"/>
    <s v="Excellent"/>
    <s v="Low"/>
    <n v="3"/>
    <x v="1"/>
    <x v="1"/>
    <x v="0"/>
  </r>
  <r>
    <n v="784"/>
    <n v="23"/>
    <x v="1"/>
    <x v="0"/>
    <x v="1"/>
    <n v="10"/>
    <x v="1"/>
    <s v="Medical"/>
    <s v="Low"/>
    <x v="1"/>
    <s v="Very high"/>
    <x v="1"/>
    <x v="2"/>
    <s v="Single"/>
    <n v="3505"/>
    <n v="1"/>
    <x v="1"/>
    <n v="18"/>
    <s v="Excellent"/>
    <s v="Very high"/>
    <n v="3"/>
    <x v="1"/>
    <x v="4"/>
    <x v="2"/>
  </r>
  <r>
    <n v="785"/>
    <n v="47"/>
    <x v="0"/>
    <x v="1"/>
    <x v="0"/>
    <n v="27"/>
    <x v="0"/>
    <s v="Life Sciences"/>
    <s v="Medium"/>
    <x v="0"/>
    <s v="Very high"/>
    <x v="0"/>
    <x v="2"/>
    <s v="Single"/>
    <n v="6397"/>
    <n v="4"/>
    <x v="0"/>
    <n v="12"/>
    <s v="Excellent"/>
    <s v="Very high"/>
    <n v="2"/>
    <x v="1"/>
    <x v="1"/>
    <x v="0"/>
  </r>
  <r>
    <n v="786"/>
    <n v="34"/>
    <x v="1"/>
    <x v="0"/>
    <x v="0"/>
    <n v="2"/>
    <x v="3"/>
    <s v="Other"/>
    <s v="Very high"/>
    <x v="1"/>
    <s v="High"/>
    <x v="0"/>
    <x v="0"/>
    <s v="Single"/>
    <n v="6274"/>
    <n v="1"/>
    <x v="1"/>
    <n v="22"/>
    <s v="Outstanding"/>
    <s v="High"/>
    <n v="5"/>
    <x v="1"/>
    <x v="2"/>
    <x v="0"/>
  </r>
  <r>
    <n v="787"/>
    <n v="55"/>
    <x v="0"/>
    <x v="0"/>
    <x v="1"/>
    <n v="2"/>
    <x v="3"/>
    <s v="Medical"/>
    <s v="Very high"/>
    <x v="1"/>
    <s v="High"/>
    <x v="5"/>
    <x v="3"/>
    <s v="Married"/>
    <n v="19859"/>
    <n v="5"/>
    <x v="0"/>
    <n v="13"/>
    <s v="Excellent"/>
    <s v="Very high"/>
    <n v="2"/>
    <x v="1"/>
    <x v="3"/>
    <x v="3"/>
  </r>
  <r>
    <n v="789"/>
    <n v="36"/>
    <x v="1"/>
    <x v="2"/>
    <x v="0"/>
    <n v="8"/>
    <x v="2"/>
    <s v="Life Sciences"/>
    <s v="Low"/>
    <x v="1"/>
    <s v="Medium"/>
    <x v="0"/>
    <x v="3"/>
    <s v="Single"/>
    <n v="7587"/>
    <n v="1"/>
    <x v="1"/>
    <n v="15"/>
    <s v="Excellent"/>
    <s v="Medium"/>
    <n v="1"/>
    <x v="1"/>
    <x v="0"/>
    <x v="0"/>
  </r>
  <r>
    <n v="791"/>
    <n v="52"/>
    <x v="1"/>
    <x v="2"/>
    <x v="1"/>
    <n v="19"/>
    <x v="2"/>
    <s v="Medical"/>
    <s v="Very high"/>
    <x v="1"/>
    <s v="High"/>
    <x v="1"/>
    <x v="0"/>
    <s v="Married"/>
    <n v="4258"/>
    <n v="0"/>
    <x v="1"/>
    <n v="18"/>
    <s v="Excellent"/>
    <s v="Low"/>
    <n v="3"/>
    <x v="1"/>
    <x v="1"/>
    <x v="2"/>
  </r>
  <r>
    <n v="792"/>
    <n v="26"/>
    <x v="1"/>
    <x v="1"/>
    <x v="1"/>
    <n v="1"/>
    <x v="0"/>
    <s v="Life Sciences"/>
    <s v="Low"/>
    <x v="0"/>
    <s v="Low"/>
    <x v="2"/>
    <x v="0"/>
    <s v="Divorced"/>
    <n v="4364"/>
    <n v="3"/>
    <x v="1"/>
    <n v="14"/>
    <s v="Excellent"/>
    <s v="Low"/>
    <n v="2"/>
    <x v="1"/>
    <x v="2"/>
    <x v="2"/>
  </r>
  <r>
    <n v="793"/>
    <n v="29"/>
    <x v="1"/>
    <x v="0"/>
    <x v="1"/>
    <n v="27"/>
    <x v="3"/>
    <s v="Medical"/>
    <s v="Medium"/>
    <x v="0"/>
    <s v="High"/>
    <x v="4"/>
    <x v="2"/>
    <s v="Married"/>
    <n v="4335"/>
    <n v="4"/>
    <x v="1"/>
    <n v="12"/>
    <s v="Excellent"/>
    <s v="Low"/>
    <n v="3"/>
    <x v="2"/>
    <x v="2"/>
    <x v="2"/>
  </r>
  <r>
    <n v="796"/>
    <n v="26"/>
    <x v="0"/>
    <x v="0"/>
    <x v="0"/>
    <n v="8"/>
    <x v="3"/>
    <s v="Technical Degree"/>
    <s v="Very high"/>
    <x v="1"/>
    <s v="Medium"/>
    <x v="0"/>
    <x v="3"/>
    <s v="Single"/>
    <n v="5326"/>
    <n v="6"/>
    <x v="1"/>
    <n v="17"/>
    <s v="Excellent"/>
    <s v="High"/>
    <n v="2"/>
    <x v="2"/>
    <x v="2"/>
    <x v="0"/>
  </r>
  <r>
    <n v="797"/>
    <n v="34"/>
    <x v="1"/>
    <x v="0"/>
    <x v="1"/>
    <n v="1"/>
    <x v="2"/>
    <s v="Life Sciences"/>
    <s v="Medium"/>
    <x v="0"/>
    <s v="Very high"/>
    <x v="1"/>
    <x v="0"/>
    <s v="Single"/>
    <n v="3280"/>
    <n v="2"/>
    <x v="1"/>
    <n v="16"/>
    <s v="Excellent"/>
    <s v="High"/>
    <n v="2"/>
    <x v="1"/>
    <x v="2"/>
    <x v="2"/>
  </r>
  <r>
    <n v="799"/>
    <n v="54"/>
    <x v="1"/>
    <x v="0"/>
    <x v="1"/>
    <n v="19"/>
    <x v="2"/>
    <s v="Medical"/>
    <s v="Very high"/>
    <x v="0"/>
    <s v="High"/>
    <x v="3"/>
    <x v="3"/>
    <s v="Divorced"/>
    <n v="5485"/>
    <n v="9"/>
    <x v="0"/>
    <n v="11"/>
    <s v="Excellent"/>
    <s v="Medium"/>
    <n v="4"/>
    <x v="1"/>
    <x v="1"/>
    <x v="0"/>
  </r>
  <r>
    <n v="800"/>
    <n v="27"/>
    <x v="1"/>
    <x v="1"/>
    <x v="0"/>
    <n v="8"/>
    <x v="1"/>
    <s v="Marketing"/>
    <s v="High"/>
    <x v="1"/>
    <s v="High"/>
    <x v="0"/>
    <x v="0"/>
    <s v="Married"/>
    <n v="4342"/>
    <n v="0"/>
    <x v="1"/>
    <n v="19"/>
    <s v="Excellent"/>
    <s v="Medium"/>
    <n v="3"/>
    <x v="1"/>
    <x v="2"/>
    <x v="2"/>
  </r>
  <r>
    <n v="802"/>
    <n v="37"/>
    <x v="1"/>
    <x v="0"/>
    <x v="1"/>
    <n v="10"/>
    <x v="1"/>
    <s v="Life Sciences"/>
    <s v="Very high"/>
    <x v="0"/>
    <s v="High"/>
    <x v="1"/>
    <x v="3"/>
    <s v="Divorced"/>
    <n v="2782"/>
    <n v="0"/>
    <x v="0"/>
    <n v="13"/>
    <s v="Excellent"/>
    <s v="Medium"/>
    <n v="3"/>
    <x v="2"/>
    <x v="0"/>
    <x v="1"/>
  </r>
  <r>
    <n v="803"/>
    <n v="38"/>
    <x v="1"/>
    <x v="1"/>
    <x v="1"/>
    <n v="2"/>
    <x v="2"/>
    <s v="Life Sciences"/>
    <s v="Low"/>
    <x v="0"/>
    <s v="Very high"/>
    <x v="3"/>
    <x v="3"/>
    <s v="Single"/>
    <n v="5980"/>
    <n v="6"/>
    <x v="0"/>
    <n v="12"/>
    <s v="Excellent"/>
    <s v="Very high"/>
    <n v="2"/>
    <x v="1"/>
    <x v="0"/>
    <x v="0"/>
  </r>
  <r>
    <n v="804"/>
    <n v="34"/>
    <x v="1"/>
    <x v="0"/>
    <x v="1"/>
    <n v="2"/>
    <x v="2"/>
    <s v="Medical"/>
    <s v="High"/>
    <x v="0"/>
    <s v="Medium"/>
    <x v="1"/>
    <x v="3"/>
    <s v="Single"/>
    <n v="4381"/>
    <n v="1"/>
    <x v="1"/>
    <n v="11"/>
    <s v="Excellent"/>
    <s v="High"/>
    <n v="3"/>
    <x v="1"/>
    <x v="2"/>
    <x v="2"/>
  </r>
  <r>
    <n v="805"/>
    <n v="35"/>
    <x v="1"/>
    <x v="0"/>
    <x v="0"/>
    <n v="8"/>
    <x v="2"/>
    <s v="Life Sciences"/>
    <s v="Low"/>
    <x v="0"/>
    <s v="High"/>
    <x v="6"/>
    <x v="0"/>
    <s v="Married"/>
    <n v="2572"/>
    <n v="1"/>
    <x v="1"/>
    <n v="16"/>
    <s v="Excellent"/>
    <s v="Medium"/>
    <n v="1"/>
    <x v="2"/>
    <x v="0"/>
    <x v="1"/>
  </r>
  <r>
    <n v="806"/>
    <n v="30"/>
    <x v="1"/>
    <x v="0"/>
    <x v="1"/>
    <n v="1"/>
    <x v="3"/>
    <s v="Life Sciences"/>
    <s v="Very high"/>
    <x v="1"/>
    <s v="Low"/>
    <x v="2"/>
    <x v="2"/>
    <s v="Married"/>
    <n v="3833"/>
    <n v="3"/>
    <x v="1"/>
    <n v="21"/>
    <s v="Outstanding"/>
    <s v="High"/>
    <n v="2"/>
    <x v="1"/>
    <x v="2"/>
    <x v="2"/>
  </r>
  <r>
    <n v="807"/>
    <n v="40"/>
    <x v="1"/>
    <x v="1"/>
    <x v="1"/>
    <n v="2"/>
    <x v="0"/>
    <s v="Medical"/>
    <s v="High"/>
    <x v="0"/>
    <s v="Very high"/>
    <x v="4"/>
    <x v="1"/>
    <s v="Married"/>
    <n v="4244"/>
    <n v="1"/>
    <x v="1"/>
    <n v="24"/>
    <s v="Outstanding"/>
    <s v="Very high"/>
    <n v="2"/>
    <x v="1"/>
    <x v="0"/>
    <x v="2"/>
  </r>
  <r>
    <n v="808"/>
    <n v="34"/>
    <x v="1"/>
    <x v="0"/>
    <x v="0"/>
    <n v="8"/>
    <x v="0"/>
    <s v="Life Sciences"/>
    <s v="High"/>
    <x v="0"/>
    <s v="High"/>
    <x v="0"/>
    <x v="3"/>
    <s v="Married"/>
    <n v="6500"/>
    <n v="5"/>
    <x v="1"/>
    <n v="17"/>
    <s v="Excellent"/>
    <s v="Medium"/>
    <n v="1"/>
    <x v="1"/>
    <x v="2"/>
    <x v="0"/>
  </r>
  <r>
    <n v="809"/>
    <n v="42"/>
    <x v="1"/>
    <x v="1"/>
    <x v="1"/>
    <n v="8"/>
    <x v="3"/>
    <s v="Life Sciences"/>
    <s v="Medium"/>
    <x v="1"/>
    <s v="High"/>
    <x v="5"/>
    <x v="0"/>
    <s v="Divorced"/>
    <n v="18430"/>
    <n v="1"/>
    <x v="1"/>
    <n v="13"/>
    <s v="Excellent"/>
    <s v="Medium"/>
    <n v="4"/>
    <x v="2"/>
    <x v="0"/>
    <x v="3"/>
  </r>
  <r>
    <n v="811"/>
    <n v="23"/>
    <x v="0"/>
    <x v="0"/>
    <x v="1"/>
    <n v="6"/>
    <x v="3"/>
    <s v="Life Sciences"/>
    <s v="High"/>
    <x v="1"/>
    <s v="Very high"/>
    <x v="2"/>
    <x v="3"/>
    <s v="Married"/>
    <n v="1601"/>
    <n v="1"/>
    <x v="0"/>
    <n v="21"/>
    <s v="Outstanding"/>
    <s v="High"/>
    <n v="2"/>
    <x v="1"/>
    <x v="4"/>
    <x v="1"/>
  </r>
  <r>
    <n v="812"/>
    <n v="24"/>
    <x v="1"/>
    <x v="2"/>
    <x v="1"/>
    <n v="9"/>
    <x v="3"/>
    <s v="Life Sciences"/>
    <s v="High"/>
    <x v="1"/>
    <s v="Medium"/>
    <x v="2"/>
    <x v="1"/>
    <s v="Divorced"/>
    <n v="2694"/>
    <n v="1"/>
    <x v="1"/>
    <n v="11"/>
    <s v="Excellent"/>
    <s v="High"/>
    <n v="4"/>
    <x v="1"/>
    <x v="4"/>
    <x v="1"/>
  </r>
  <r>
    <n v="813"/>
    <n v="52"/>
    <x v="1"/>
    <x v="0"/>
    <x v="1"/>
    <n v="11"/>
    <x v="2"/>
    <s v="Life Sciences"/>
    <s v="Very high"/>
    <x v="0"/>
    <s v="High"/>
    <x v="2"/>
    <x v="2"/>
    <s v="Married"/>
    <n v="3149"/>
    <n v="8"/>
    <x v="1"/>
    <n v="20"/>
    <s v="Outstanding"/>
    <s v="Medium"/>
    <n v="3"/>
    <x v="1"/>
    <x v="1"/>
    <x v="2"/>
  </r>
  <r>
    <n v="815"/>
    <n v="50"/>
    <x v="1"/>
    <x v="0"/>
    <x v="1"/>
    <n v="2"/>
    <x v="3"/>
    <s v="Medical"/>
    <s v="High"/>
    <x v="1"/>
    <s v="High"/>
    <x v="7"/>
    <x v="2"/>
    <s v="Married"/>
    <n v="17639"/>
    <n v="5"/>
    <x v="1"/>
    <n v="16"/>
    <s v="Excellent"/>
    <s v="Very high"/>
    <n v="3"/>
    <x v="1"/>
    <x v="1"/>
    <x v="3"/>
  </r>
  <r>
    <n v="816"/>
    <n v="29"/>
    <x v="0"/>
    <x v="0"/>
    <x v="1"/>
    <n v="1"/>
    <x v="0"/>
    <s v="Life Sciences"/>
    <s v="Medium"/>
    <x v="0"/>
    <s v="Medium"/>
    <x v="2"/>
    <x v="3"/>
    <s v="Married"/>
    <n v="2319"/>
    <n v="1"/>
    <x v="0"/>
    <n v="11"/>
    <s v="Excellent"/>
    <s v="Very high"/>
    <n v="1"/>
    <x v="1"/>
    <x v="2"/>
    <x v="1"/>
  </r>
  <r>
    <n v="817"/>
    <n v="33"/>
    <x v="1"/>
    <x v="0"/>
    <x v="1"/>
    <n v="7"/>
    <x v="3"/>
    <s v="Medical"/>
    <s v="High"/>
    <x v="1"/>
    <s v="High"/>
    <x v="7"/>
    <x v="2"/>
    <s v="Married"/>
    <n v="11691"/>
    <n v="0"/>
    <x v="1"/>
    <n v="11"/>
    <s v="Excellent"/>
    <s v="Very high"/>
    <n v="3"/>
    <x v="3"/>
    <x v="2"/>
    <x v="3"/>
  </r>
  <r>
    <n v="819"/>
    <n v="33"/>
    <x v="0"/>
    <x v="0"/>
    <x v="0"/>
    <n v="16"/>
    <x v="3"/>
    <s v="Marketing"/>
    <s v="Low"/>
    <x v="0"/>
    <s v="High"/>
    <x v="0"/>
    <x v="3"/>
    <s v="Single"/>
    <n v="5324"/>
    <n v="5"/>
    <x v="1"/>
    <n v="15"/>
    <s v="Excellent"/>
    <s v="High"/>
    <n v="3"/>
    <x v="1"/>
    <x v="2"/>
    <x v="0"/>
  </r>
  <r>
    <n v="820"/>
    <n v="47"/>
    <x v="1"/>
    <x v="0"/>
    <x v="1"/>
    <n v="2"/>
    <x v="0"/>
    <s v="Other"/>
    <s v="High"/>
    <x v="0"/>
    <s v="High"/>
    <x v="5"/>
    <x v="0"/>
    <s v="Married"/>
    <n v="16752"/>
    <n v="1"/>
    <x v="0"/>
    <n v="11"/>
    <s v="Excellent"/>
    <s v="High"/>
    <n v="3"/>
    <x v="2"/>
    <x v="1"/>
    <x v="3"/>
  </r>
  <r>
    <n v="823"/>
    <n v="36"/>
    <x v="1"/>
    <x v="0"/>
    <x v="1"/>
    <n v="1"/>
    <x v="3"/>
    <s v="Other"/>
    <s v="High"/>
    <x v="0"/>
    <s v="High"/>
    <x v="3"/>
    <x v="1"/>
    <s v="Married"/>
    <n v="5228"/>
    <n v="0"/>
    <x v="1"/>
    <n v="15"/>
    <s v="Excellent"/>
    <s v="Low"/>
    <n v="2"/>
    <x v="1"/>
    <x v="0"/>
    <x v="0"/>
  </r>
  <r>
    <n v="824"/>
    <n v="29"/>
    <x v="1"/>
    <x v="0"/>
    <x v="1"/>
    <n v="23"/>
    <x v="0"/>
    <s v="Life Sciences"/>
    <s v="High"/>
    <x v="1"/>
    <s v="Very high"/>
    <x v="1"/>
    <x v="2"/>
    <s v="Married"/>
    <n v="2700"/>
    <n v="1"/>
    <x v="1"/>
    <n v="24"/>
    <s v="Outstanding"/>
    <s v="High"/>
    <n v="3"/>
    <x v="1"/>
    <x v="2"/>
    <x v="1"/>
  </r>
  <r>
    <n v="825"/>
    <n v="58"/>
    <x v="0"/>
    <x v="0"/>
    <x v="1"/>
    <n v="2"/>
    <x v="2"/>
    <s v="Life Sciences"/>
    <s v="Very high"/>
    <x v="1"/>
    <s v="High"/>
    <x v="7"/>
    <x v="1"/>
    <s v="Single"/>
    <n v="19246"/>
    <n v="7"/>
    <x v="0"/>
    <n v="12"/>
    <s v="Excellent"/>
    <s v="Very high"/>
    <n v="2"/>
    <x v="1"/>
    <x v="3"/>
    <x v="3"/>
  </r>
  <r>
    <n v="826"/>
    <n v="35"/>
    <x v="1"/>
    <x v="0"/>
    <x v="1"/>
    <n v="1"/>
    <x v="2"/>
    <s v="Life Sciences"/>
    <s v="Very high"/>
    <x v="0"/>
    <s v="Very high"/>
    <x v="1"/>
    <x v="2"/>
    <s v="Single"/>
    <n v="2506"/>
    <n v="3"/>
    <x v="1"/>
    <n v="13"/>
    <s v="Excellent"/>
    <s v="High"/>
    <n v="0"/>
    <x v="1"/>
    <x v="0"/>
    <x v="1"/>
  </r>
  <r>
    <n v="827"/>
    <n v="42"/>
    <x v="1"/>
    <x v="0"/>
    <x v="1"/>
    <n v="1"/>
    <x v="0"/>
    <s v="Life Sciences"/>
    <s v="Very high"/>
    <x v="0"/>
    <s v="Medium"/>
    <x v="3"/>
    <x v="0"/>
    <s v="Married"/>
    <n v="6062"/>
    <n v="9"/>
    <x v="0"/>
    <n v="13"/>
    <s v="Excellent"/>
    <s v="Very high"/>
    <n v="4"/>
    <x v="1"/>
    <x v="0"/>
    <x v="0"/>
  </r>
  <r>
    <n v="828"/>
    <n v="28"/>
    <x v="0"/>
    <x v="0"/>
    <x v="1"/>
    <n v="2"/>
    <x v="2"/>
    <s v="Medical"/>
    <s v="High"/>
    <x v="1"/>
    <s v="High"/>
    <x v="1"/>
    <x v="2"/>
    <s v="Single"/>
    <n v="4382"/>
    <n v="6"/>
    <x v="1"/>
    <n v="17"/>
    <s v="Excellent"/>
    <s v="Very high"/>
    <n v="3"/>
    <x v="2"/>
    <x v="2"/>
    <x v="2"/>
  </r>
  <r>
    <n v="829"/>
    <n v="36"/>
    <x v="1"/>
    <x v="0"/>
    <x v="2"/>
    <n v="13"/>
    <x v="3"/>
    <s v="Human Resources"/>
    <s v="High"/>
    <x v="1"/>
    <s v="High"/>
    <x v="8"/>
    <x v="1"/>
    <s v="Married"/>
    <n v="2143"/>
    <n v="4"/>
    <x v="1"/>
    <n v="13"/>
    <s v="Excellent"/>
    <s v="Medium"/>
    <n v="2"/>
    <x v="1"/>
    <x v="0"/>
    <x v="1"/>
  </r>
  <r>
    <n v="830"/>
    <n v="32"/>
    <x v="1"/>
    <x v="0"/>
    <x v="1"/>
    <n v="4"/>
    <x v="3"/>
    <s v="Life Sciences"/>
    <s v="High"/>
    <x v="0"/>
    <s v="Medium"/>
    <x v="3"/>
    <x v="2"/>
    <s v="Married"/>
    <n v="6162"/>
    <n v="1"/>
    <x v="1"/>
    <n v="12"/>
    <s v="Excellent"/>
    <s v="High"/>
    <n v="3"/>
    <x v="1"/>
    <x v="2"/>
    <x v="0"/>
  </r>
  <r>
    <n v="832"/>
    <n v="40"/>
    <x v="1"/>
    <x v="1"/>
    <x v="1"/>
    <n v="16"/>
    <x v="2"/>
    <s v="Medical"/>
    <s v="Low"/>
    <x v="1"/>
    <s v="Medium"/>
    <x v="2"/>
    <x v="2"/>
    <s v="Single"/>
    <n v="5094"/>
    <n v="6"/>
    <x v="1"/>
    <n v="14"/>
    <s v="Excellent"/>
    <s v="Very high"/>
    <n v="6"/>
    <x v="1"/>
    <x v="0"/>
    <x v="0"/>
  </r>
  <r>
    <n v="833"/>
    <n v="30"/>
    <x v="1"/>
    <x v="0"/>
    <x v="1"/>
    <n v="2"/>
    <x v="3"/>
    <s v="Medical"/>
    <s v="High"/>
    <x v="0"/>
    <s v="Medium"/>
    <x v="3"/>
    <x v="0"/>
    <s v="Single"/>
    <n v="6877"/>
    <n v="5"/>
    <x v="0"/>
    <n v="24"/>
    <s v="Outstanding"/>
    <s v="Medium"/>
    <n v="4"/>
    <x v="2"/>
    <x v="2"/>
    <x v="0"/>
  </r>
  <r>
    <n v="834"/>
    <n v="45"/>
    <x v="1"/>
    <x v="0"/>
    <x v="1"/>
    <n v="2"/>
    <x v="3"/>
    <s v="Life Sciences"/>
    <s v="Medium"/>
    <x v="0"/>
    <s v="Medium"/>
    <x v="1"/>
    <x v="2"/>
    <s v="Single"/>
    <n v="2274"/>
    <n v="1"/>
    <x v="1"/>
    <n v="14"/>
    <s v="Excellent"/>
    <s v="Very high"/>
    <n v="3"/>
    <x v="1"/>
    <x v="1"/>
    <x v="1"/>
  </r>
  <r>
    <n v="836"/>
    <n v="42"/>
    <x v="1"/>
    <x v="0"/>
    <x v="1"/>
    <n v="29"/>
    <x v="3"/>
    <s v="Life Sciences"/>
    <s v="Medium"/>
    <x v="1"/>
    <s v="High"/>
    <x v="3"/>
    <x v="1"/>
    <s v="Married"/>
    <n v="4434"/>
    <n v="1"/>
    <x v="1"/>
    <n v="13"/>
    <s v="Excellent"/>
    <s v="Very high"/>
    <n v="3"/>
    <x v="2"/>
    <x v="0"/>
    <x v="2"/>
  </r>
  <r>
    <n v="837"/>
    <n v="38"/>
    <x v="1"/>
    <x v="1"/>
    <x v="1"/>
    <n v="12"/>
    <x v="3"/>
    <s v="Life Sciences"/>
    <s v="Low"/>
    <x v="1"/>
    <s v="Medium"/>
    <x v="4"/>
    <x v="3"/>
    <s v="Divorced"/>
    <n v="6288"/>
    <n v="2"/>
    <x v="1"/>
    <n v="15"/>
    <s v="Excellent"/>
    <s v="High"/>
    <n v="3"/>
    <x v="2"/>
    <x v="0"/>
    <x v="0"/>
  </r>
  <r>
    <n v="838"/>
    <n v="34"/>
    <x v="1"/>
    <x v="1"/>
    <x v="1"/>
    <n v="16"/>
    <x v="2"/>
    <s v="Life Sciences"/>
    <s v="High"/>
    <x v="0"/>
    <s v="Medium"/>
    <x v="1"/>
    <x v="0"/>
    <s v="Single"/>
    <n v="2553"/>
    <n v="1"/>
    <x v="1"/>
    <n v="16"/>
    <s v="Excellent"/>
    <s v="High"/>
    <n v="3"/>
    <x v="1"/>
    <x v="2"/>
    <x v="1"/>
  </r>
  <r>
    <n v="840"/>
    <n v="49"/>
    <x v="0"/>
    <x v="0"/>
    <x v="0"/>
    <n v="11"/>
    <x v="3"/>
    <s v="Marketing"/>
    <s v="High"/>
    <x v="0"/>
    <s v="High"/>
    <x v="0"/>
    <x v="0"/>
    <s v="Married"/>
    <n v="7654"/>
    <n v="1"/>
    <x v="1"/>
    <n v="18"/>
    <s v="Excellent"/>
    <s v="Low"/>
    <n v="3"/>
    <x v="3"/>
    <x v="1"/>
    <x v="0"/>
  </r>
  <r>
    <n v="842"/>
    <n v="55"/>
    <x v="0"/>
    <x v="0"/>
    <x v="0"/>
    <n v="2"/>
    <x v="1"/>
    <s v="Medical"/>
    <s v="High"/>
    <x v="1"/>
    <s v="High"/>
    <x v="0"/>
    <x v="0"/>
    <s v="Single"/>
    <n v="5160"/>
    <n v="4"/>
    <x v="1"/>
    <n v="16"/>
    <s v="Excellent"/>
    <s v="High"/>
    <n v="3"/>
    <x v="2"/>
    <x v="3"/>
    <x v="0"/>
  </r>
  <r>
    <n v="843"/>
    <n v="43"/>
    <x v="1"/>
    <x v="0"/>
    <x v="1"/>
    <n v="14"/>
    <x v="0"/>
    <s v="Life Sciences"/>
    <s v="Medium"/>
    <x v="1"/>
    <s v="High"/>
    <x v="7"/>
    <x v="3"/>
    <s v="Married"/>
    <n v="17159"/>
    <n v="6"/>
    <x v="1"/>
    <n v="24"/>
    <s v="Outstanding"/>
    <s v="High"/>
    <n v="3"/>
    <x v="1"/>
    <x v="0"/>
    <x v="3"/>
  </r>
  <r>
    <n v="844"/>
    <n v="27"/>
    <x v="1"/>
    <x v="0"/>
    <x v="1"/>
    <n v="5"/>
    <x v="1"/>
    <s v="Technical Degree"/>
    <s v="High"/>
    <x v="1"/>
    <s v="Medium"/>
    <x v="7"/>
    <x v="0"/>
    <s v="Divorced"/>
    <n v="12808"/>
    <n v="1"/>
    <x v="0"/>
    <n v="16"/>
    <s v="Excellent"/>
    <s v="Medium"/>
    <n v="3"/>
    <x v="1"/>
    <x v="2"/>
    <x v="3"/>
  </r>
  <r>
    <n v="845"/>
    <n v="35"/>
    <x v="1"/>
    <x v="0"/>
    <x v="1"/>
    <n v="7"/>
    <x v="3"/>
    <s v="Other"/>
    <s v="High"/>
    <x v="1"/>
    <s v="High"/>
    <x v="3"/>
    <x v="2"/>
    <s v="Single"/>
    <n v="10221"/>
    <n v="3"/>
    <x v="1"/>
    <n v="21"/>
    <s v="Outstanding"/>
    <s v="Medium"/>
    <n v="3"/>
    <x v="3"/>
    <x v="0"/>
    <x v="3"/>
  </r>
  <r>
    <n v="846"/>
    <n v="28"/>
    <x v="1"/>
    <x v="0"/>
    <x v="0"/>
    <n v="2"/>
    <x v="2"/>
    <s v="Marketing"/>
    <s v="Medium"/>
    <x v="0"/>
    <s v="High"/>
    <x v="0"/>
    <x v="1"/>
    <s v="Married"/>
    <n v="4779"/>
    <n v="1"/>
    <x v="0"/>
    <n v="20"/>
    <s v="Outstanding"/>
    <s v="Low"/>
    <n v="2"/>
    <x v="1"/>
    <x v="2"/>
    <x v="2"/>
  </r>
  <r>
    <n v="847"/>
    <n v="34"/>
    <x v="1"/>
    <x v="0"/>
    <x v="2"/>
    <n v="3"/>
    <x v="0"/>
    <s v="Human Resources"/>
    <s v="High"/>
    <x v="1"/>
    <s v="High"/>
    <x v="8"/>
    <x v="0"/>
    <s v="Married"/>
    <n v="3737"/>
    <n v="0"/>
    <x v="1"/>
    <n v="19"/>
    <s v="Excellent"/>
    <s v="High"/>
    <n v="1"/>
    <x v="0"/>
    <x v="2"/>
    <x v="2"/>
  </r>
  <r>
    <n v="848"/>
    <n v="26"/>
    <x v="0"/>
    <x v="1"/>
    <x v="1"/>
    <n v="5"/>
    <x v="0"/>
    <s v="Medical"/>
    <s v="High"/>
    <x v="0"/>
    <s v="Medium"/>
    <x v="1"/>
    <x v="2"/>
    <s v="Married"/>
    <n v="2366"/>
    <n v="1"/>
    <x v="0"/>
    <n v="14"/>
    <s v="Excellent"/>
    <s v="Low"/>
    <n v="2"/>
    <x v="1"/>
    <x v="2"/>
    <x v="1"/>
  </r>
  <r>
    <n v="850"/>
    <n v="27"/>
    <x v="1"/>
    <x v="2"/>
    <x v="1"/>
    <n v="3"/>
    <x v="3"/>
    <s v="Medical"/>
    <s v="Very high"/>
    <x v="1"/>
    <s v="High"/>
    <x v="1"/>
    <x v="0"/>
    <s v="Married"/>
    <n v="1706"/>
    <n v="1"/>
    <x v="1"/>
    <n v="11"/>
    <s v="Excellent"/>
    <s v="High"/>
    <n v="6"/>
    <x v="2"/>
    <x v="2"/>
    <x v="1"/>
  </r>
  <r>
    <n v="851"/>
    <n v="51"/>
    <x v="1"/>
    <x v="0"/>
    <x v="0"/>
    <n v="26"/>
    <x v="2"/>
    <s v="Marketing"/>
    <s v="Low"/>
    <x v="0"/>
    <s v="High"/>
    <x v="5"/>
    <x v="2"/>
    <s v="Married"/>
    <n v="16307"/>
    <n v="2"/>
    <x v="1"/>
    <n v="14"/>
    <s v="Excellent"/>
    <s v="High"/>
    <n v="2"/>
    <x v="2"/>
    <x v="1"/>
    <x v="3"/>
  </r>
  <r>
    <n v="852"/>
    <n v="44"/>
    <x v="1"/>
    <x v="0"/>
    <x v="1"/>
    <n v="4"/>
    <x v="3"/>
    <s v="Medical"/>
    <s v="Very high"/>
    <x v="1"/>
    <s v="High"/>
    <x v="4"/>
    <x v="1"/>
    <s v="Single"/>
    <n v="5933"/>
    <n v="9"/>
    <x v="1"/>
    <n v="12"/>
    <s v="Excellent"/>
    <s v="Very high"/>
    <n v="2"/>
    <x v="2"/>
    <x v="0"/>
    <x v="0"/>
  </r>
  <r>
    <n v="854"/>
    <n v="25"/>
    <x v="1"/>
    <x v="0"/>
    <x v="1"/>
    <n v="2"/>
    <x v="1"/>
    <s v="Medical"/>
    <s v="Low"/>
    <x v="1"/>
    <s v="Very high"/>
    <x v="1"/>
    <x v="3"/>
    <s v="Single"/>
    <n v="3424"/>
    <n v="7"/>
    <x v="1"/>
    <n v="13"/>
    <s v="Excellent"/>
    <s v="High"/>
    <n v="3"/>
    <x v="2"/>
    <x v="2"/>
    <x v="2"/>
  </r>
  <r>
    <n v="855"/>
    <n v="33"/>
    <x v="1"/>
    <x v="0"/>
    <x v="0"/>
    <n v="1"/>
    <x v="3"/>
    <s v="Medical"/>
    <s v="Low"/>
    <x v="1"/>
    <s v="Very high"/>
    <x v="0"/>
    <x v="3"/>
    <s v="Divorced"/>
    <n v="4037"/>
    <n v="1"/>
    <x v="1"/>
    <n v="22"/>
    <s v="Outstanding"/>
    <s v="Low"/>
    <n v="5"/>
    <x v="1"/>
    <x v="2"/>
    <x v="2"/>
  </r>
  <r>
    <n v="856"/>
    <n v="35"/>
    <x v="1"/>
    <x v="0"/>
    <x v="1"/>
    <n v="27"/>
    <x v="1"/>
    <s v="Medical"/>
    <s v="High"/>
    <x v="0"/>
    <s v="Medium"/>
    <x v="1"/>
    <x v="3"/>
    <s v="Single"/>
    <n v="2559"/>
    <n v="1"/>
    <x v="1"/>
    <n v="11"/>
    <s v="Excellent"/>
    <s v="Very high"/>
    <n v="3"/>
    <x v="2"/>
    <x v="0"/>
    <x v="1"/>
  </r>
  <r>
    <n v="857"/>
    <n v="36"/>
    <x v="1"/>
    <x v="0"/>
    <x v="0"/>
    <n v="1"/>
    <x v="0"/>
    <s v="Life Sciences"/>
    <s v="Medium"/>
    <x v="1"/>
    <s v="High"/>
    <x v="0"/>
    <x v="0"/>
    <s v="Married"/>
    <n v="6201"/>
    <n v="1"/>
    <x v="0"/>
    <n v="14"/>
    <s v="Excellent"/>
    <s v="Very high"/>
    <n v="1"/>
    <x v="2"/>
    <x v="0"/>
    <x v="0"/>
  </r>
  <r>
    <n v="859"/>
    <n v="32"/>
    <x v="1"/>
    <x v="0"/>
    <x v="0"/>
    <n v="13"/>
    <x v="2"/>
    <s v="Life Sciences"/>
    <s v="Medium"/>
    <x v="1"/>
    <s v="High"/>
    <x v="0"/>
    <x v="0"/>
    <s v="Divorced"/>
    <n v="4403"/>
    <n v="2"/>
    <x v="1"/>
    <n v="11"/>
    <s v="Excellent"/>
    <s v="High"/>
    <n v="3"/>
    <x v="2"/>
    <x v="2"/>
    <x v="2"/>
  </r>
  <r>
    <n v="861"/>
    <n v="30"/>
    <x v="1"/>
    <x v="1"/>
    <x v="1"/>
    <n v="5"/>
    <x v="2"/>
    <s v="Life Sciences"/>
    <s v="Medium"/>
    <x v="1"/>
    <s v="Medium"/>
    <x v="1"/>
    <x v="0"/>
    <s v="Divorced"/>
    <n v="3761"/>
    <n v="9"/>
    <x v="1"/>
    <n v="12"/>
    <s v="Excellent"/>
    <s v="Medium"/>
    <n v="3"/>
    <x v="2"/>
    <x v="2"/>
    <x v="2"/>
  </r>
  <r>
    <n v="862"/>
    <n v="53"/>
    <x v="1"/>
    <x v="0"/>
    <x v="0"/>
    <n v="7"/>
    <x v="0"/>
    <s v="Marketing"/>
    <s v="Low"/>
    <x v="0"/>
    <s v="Medium"/>
    <x v="0"/>
    <x v="0"/>
    <s v="Married"/>
    <n v="10934"/>
    <n v="7"/>
    <x v="0"/>
    <n v="18"/>
    <s v="Excellent"/>
    <s v="Very high"/>
    <n v="3"/>
    <x v="1"/>
    <x v="1"/>
    <x v="3"/>
  </r>
  <r>
    <n v="864"/>
    <n v="45"/>
    <x v="1"/>
    <x v="0"/>
    <x v="0"/>
    <n v="9"/>
    <x v="3"/>
    <s v="Marketing"/>
    <s v="Very high"/>
    <x v="1"/>
    <s v="High"/>
    <x v="0"/>
    <x v="3"/>
    <s v="Divorced"/>
    <n v="10761"/>
    <n v="4"/>
    <x v="0"/>
    <n v="12"/>
    <s v="Excellent"/>
    <s v="High"/>
    <n v="2"/>
    <x v="1"/>
    <x v="1"/>
    <x v="3"/>
  </r>
  <r>
    <n v="865"/>
    <n v="32"/>
    <x v="1"/>
    <x v="0"/>
    <x v="1"/>
    <n v="8"/>
    <x v="0"/>
    <s v="Medical"/>
    <s v="High"/>
    <x v="0"/>
    <s v="Very high"/>
    <x v="1"/>
    <x v="2"/>
    <s v="Married"/>
    <n v="5175"/>
    <n v="5"/>
    <x v="1"/>
    <n v="12"/>
    <s v="Excellent"/>
    <s v="High"/>
    <n v="3"/>
    <x v="2"/>
    <x v="2"/>
    <x v="0"/>
  </r>
  <r>
    <n v="867"/>
    <n v="52"/>
    <x v="1"/>
    <x v="1"/>
    <x v="1"/>
    <n v="25"/>
    <x v="2"/>
    <s v="Medical"/>
    <s v="High"/>
    <x v="0"/>
    <s v="Medium"/>
    <x v="3"/>
    <x v="0"/>
    <s v="Married"/>
    <n v="13826"/>
    <n v="3"/>
    <x v="1"/>
    <n v="22"/>
    <s v="Outstanding"/>
    <s v="High"/>
    <n v="3"/>
    <x v="1"/>
    <x v="1"/>
    <x v="3"/>
  </r>
  <r>
    <n v="868"/>
    <n v="37"/>
    <x v="1"/>
    <x v="0"/>
    <x v="0"/>
    <n v="16"/>
    <x v="2"/>
    <s v="Marketing"/>
    <s v="Very high"/>
    <x v="1"/>
    <s v="Medium"/>
    <x v="0"/>
    <x v="2"/>
    <s v="Divorced"/>
    <n v="6334"/>
    <n v="4"/>
    <x v="1"/>
    <n v="19"/>
    <s v="Excellent"/>
    <s v="Very high"/>
    <n v="2"/>
    <x v="1"/>
    <x v="0"/>
    <x v="0"/>
  </r>
  <r>
    <n v="869"/>
    <n v="28"/>
    <x v="1"/>
    <x v="0"/>
    <x v="2"/>
    <n v="8"/>
    <x v="0"/>
    <s v="Medical"/>
    <s v="Medium"/>
    <x v="1"/>
    <s v="Medium"/>
    <x v="8"/>
    <x v="0"/>
    <s v="Divorced"/>
    <n v="4936"/>
    <n v="1"/>
    <x v="1"/>
    <n v="13"/>
    <s v="Excellent"/>
    <s v="Very high"/>
    <n v="6"/>
    <x v="1"/>
    <x v="2"/>
    <x v="2"/>
  </r>
  <r>
    <n v="872"/>
    <n v="22"/>
    <x v="1"/>
    <x v="0"/>
    <x v="1"/>
    <n v="1"/>
    <x v="0"/>
    <s v="Life Sciences"/>
    <s v="Very high"/>
    <x v="1"/>
    <s v="Medium"/>
    <x v="3"/>
    <x v="0"/>
    <s v="Married"/>
    <n v="4775"/>
    <n v="6"/>
    <x v="1"/>
    <n v="22"/>
    <s v="Outstanding"/>
    <s v="Low"/>
    <n v="2"/>
    <x v="0"/>
    <x v="4"/>
    <x v="2"/>
  </r>
  <r>
    <n v="874"/>
    <n v="44"/>
    <x v="1"/>
    <x v="0"/>
    <x v="1"/>
    <n v="8"/>
    <x v="2"/>
    <s v="Life Sciences"/>
    <s v="Low"/>
    <x v="1"/>
    <s v="Very high"/>
    <x v="2"/>
    <x v="0"/>
    <s v="Married"/>
    <n v="2818"/>
    <n v="2"/>
    <x v="0"/>
    <n v="24"/>
    <s v="Outstanding"/>
    <s v="High"/>
    <n v="2"/>
    <x v="2"/>
    <x v="0"/>
    <x v="1"/>
  </r>
  <r>
    <n v="875"/>
    <n v="42"/>
    <x v="1"/>
    <x v="1"/>
    <x v="1"/>
    <n v="2"/>
    <x v="1"/>
    <s v="Medical"/>
    <s v="Medium"/>
    <x v="1"/>
    <s v="High"/>
    <x v="1"/>
    <x v="0"/>
    <s v="Single"/>
    <n v="2515"/>
    <n v="5"/>
    <x v="0"/>
    <n v="14"/>
    <s v="Excellent"/>
    <s v="Very high"/>
    <n v="2"/>
    <x v="1"/>
    <x v="0"/>
    <x v="1"/>
  </r>
  <r>
    <n v="878"/>
    <n v="36"/>
    <x v="1"/>
    <x v="0"/>
    <x v="2"/>
    <n v="8"/>
    <x v="3"/>
    <s v="Life Sciences"/>
    <s v="Low"/>
    <x v="1"/>
    <s v="Medium"/>
    <x v="8"/>
    <x v="3"/>
    <s v="Married"/>
    <n v="2342"/>
    <n v="0"/>
    <x v="1"/>
    <n v="21"/>
    <s v="Outstanding"/>
    <s v="High"/>
    <n v="3"/>
    <x v="1"/>
    <x v="0"/>
    <x v="1"/>
  </r>
  <r>
    <n v="879"/>
    <n v="25"/>
    <x v="1"/>
    <x v="0"/>
    <x v="0"/>
    <n v="3"/>
    <x v="1"/>
    <s v="Other"/>
    <s v="High"/>
    <x v="1"/>
    <s v="High"/>
    <x v="0"/>
    <x v="3"/>
    <s v="Married"/>
    <n v="4194"/>
    <n v="1"/>
    <x v="0"/>
    <n v="18"/>
    <s v="Excellent"/>
    <s v="Very high"/>
    <n v="3"/>
    <x v="1"/>
    <x v="2"/>
    <x v="2"/>
  </r>
  <r>
    <n v="880"/>
    <n v="35"/>
    <x v="1"/>
    <x v="0"/>
    <x v="1"/>
    <n v="9"/>
    <x v="3"/>
    <s v="Life Sciences"/>
    <s v="Very high"/>
    <x v="0"/>
    <s v="Medium"/>
    <x v="3"/>
    <x v="2"/>
    <s v="Married"/>
    <n v="10685"/>
    <n v="1"/>
    <x v="0"/>
    <n v="20"/>
    <s v="Outstanding"/>
    <s v="Medium"/>
    <n v="2"/>
    <x v="1"/>
    <x v="0"/>
    <x v="3"/>
  </r>
  <r>
    <n v="881"/>
    <n v="35"/>
    <x v="0"/>
    <x v="1"/>
    <x v="1"/>
    <n v="25"/>
    <x v="2"/>
    <s v="Life Sciences"/>
    <s v="Very high"/>
    <x v="0"/>
    <s v="High"/>
    <x v="1"/>
    <x v="1"/>
    <s v="Divorced"/>
    <n v="2022"/>
    <n v="1"/>
    <x v="0"/>
    <n v="19"/>
    <s v="Excellent"/>
    <s v="Low"/>
    <n v="3"/>
    <x v="2"/>
    <x v="0"/>
    <x v="1"/>
  </r>
  <r>
    <n v="882"/>
    <n v="32"/>
    <x v="1"/>
    <x v="2"/>
    <x v="1"/>
    <n v="1"/>
    <x v="3"/>
    <s v="Life Sciences"/>
    <s v="Very high"/>
    <x v="1"/>
    <s v="High"/>
    <x v="2"/>
    <x v="0"/>
    <s v="Divorced"/>
    <n v="2314"/>
    <n v="0"/>
    <x v="1"/>
    <n v="12"/>
    <s v="Excellent"/>
    <s v="Medium"/>
    <n v="2"/>
    <x v="1"/>
    <x v="2"/>
    <x v="1"/>
  </r>
  <r>
    <n v="885"/>
    <n v="25"/>
    <x v="1"/>
    <x v="0"/>
    <x v="0"/>
    <n v="4"/>
    <x v="1"/>
    <s v="Marketing"/>
    <s v="High"/>
    <x v="1"/>
    <s v="Medium"/>
    <x v="0"/>
    <x v="3"/>
    <s v="Married"/>
    <n v="4256"/>
    <n v="1"/>
    <x v="1"/>
    <n v="12"/>
    <s v="Excellent"/>
    <s v="Low"/>
    <n v="1"/>
    <x v="3"/>
    <x v="2"/>
    <x v="2"/>
  </r>
  <r>
    <n v="887"/>
    <n v="49"/>
    <x v="1"/>
    <x v="0"/>
    <x v="1"/>
    <n v="1"/>
    <x v="3"/>
    <s v="Technical Degree"/>
    <s v="High"/>
    <x v="0"/>
    <s v="High"/>
    <x v="1"/>
    <x v="3"/>
    <s v="Married"/>
    <n v="3580"/>
    <n v="2"/>
    <x v="1"/>
    <n v="16"/>
    <s v="Excellent"/>
    <s v="Medium"/>
    <n v="2"/>
    <x v="1"/>
    <x v="1"/>
    <x v="2"/>
  </r>
  <r>
    <n v="888"/>
    <n v="24"/>
    <x v="1"/>
    <x v="2"/>
    <x v="1"/>
    <n v="4"/>
    <x v="1"/>
    <s v="Life Sciences"/>
    <s v="Low"/>
    <x v="1"/>
    <s v="Medium"/>
    <x v="2"/>
    <x v="0"/>
    <s v="Married"/>
    <n v="3162"/>
    <n v="0"/>
    <x v="1"/>
    <n v="17"/>
    <s v="Excellent"/>
    <s v="Very high"/>
    <n v="2"/>
    <x v="2"/>
    <x v="4"/>
    <x v="2"/>
  </r>
  <r>
    <n v="889"/>
    <n v="32"/>
    <x v="1"/>
    <x v="1"/>
    <x v="0"/>
    <n v="5"/>
    <x v="0"/>
    <s v="Life Sciences"/>
    <s v="Medium"/>
    <x v="1"/>
    <s v="High"/>
    <x v="0"/>
    <x v="1"/>
    <s v="Married"/>
    <n v="6524"/>
    <n v="1"/>
    <x v="1"/>
    <n v="14"/>
    <s v="Excellent"/>
    <s v="Very high"/>
    <n v="3"/>
    <x v="1"/>
    <x v="2"/>
    <x v="0"/>
  </r>
  <r>
    <n v="893"/>
    <n v="38"/>
    <x v="1"/>
    <x v="0"/>
    <x v="0"/>
    <n v="9"/>
    <x v="3"/>
    <s v="Marketing"/>
    <s v="Medium"/>
    <x v="1"/>
    <s v="Medium"/>
    <x v="6"/>
    <x v="1"/>
    <s v="Married"/>
    <n v="2899"/>
    <n v="0"/>
    <x v="1"/>
    <n v="19"/>
    <s v="Excellent"/>
    <s v="Very high"/>
    <n v="3"/>
    <x v="1"/>
    <x v="0"/>
    <x v="1"/>
  </r>
  <r>
    <n v="894"/>
    <n v="42"/>
    <x v="1"/>
    <x v="0"/>
    <x v="1"/>
    <n v="3"/>
    <x v="3"/>
    <s v="Life Sciences"/>
    <s v="High"/>
    <x v="0"/>
    <s v="Very high"/>
    <x v="2"/>
    <x v="0"/>
    <s v="Married"/>
    <n v="5231"/>
    <n v="2"/>
    <x v="0"/>
    <n v="13"/>
    <s v="Excellent"/>
    <s v="Medium"/>
    <n v="1"/>
    <x v="2"/>
    <x v="0"/>
    <x v="0"/>
  </r>
  <r>
    <n v="895"/>
    <n v="31"/>
    <x v="1"/>
    <x v="0"/>
    <x v="1"/>
    <n v="11"/>
    <x v="2"/>
    <s v="Life Sciences"/>
    <s v="Very high"/>
    <x v="1"/>
    <s v="High"/>
    <x v="1"/>
    <x v="0"/>
    <s v="Married"/>
    <n v="2356"/>
    <n v="3"/>
    <x v="0"/>
    <n v="19"/>
    <s v="Excellent"/>
    <s v="Medium"/>
    <n v="2"/>
    <x v="1"/>
    <x v="2"/>
    <x v="1"/>
  </r>
  <r>
    <n v="896"/>
    <n v="29"/>
    <x v="0"/>
    <x v="0"/>
    <x v="0"/>
    <n v="1"/>
    <x v="3"/>
    <s v="Medical"/>
    <s v="Medium"/>
    <x v="0"/>
    <s v="Medium"/>
    <x v="6"/>
    <x v="2"/>
    <s v="Divorced"/>
    <n v="2800"/>
    <n v="6"/>
    <x v="0"/>
    <n v="19"/>
    <s v="Excellent"/>
    <s v="High"/>
    <n v="3"/>
    <x v="1"/>
    <x v="2"/>
    <x v="1"/>
  </r>
  <r>
    <n v="897"/>
    <n v="53"/>
    <x v="1"/>
    <x v="0"/>
    <x v="0"/>
    <n v="8"/>
    <x v="3"/>
    <s v="Marketing"/>
    <s v="Low"/>
    <x v="1"/>
    <s v="High"/>
    <x v="0"/>
    <x v="0"/>
    <s v="Married"/>
    <n v="11836"/>
    <n v="5"/>
    <x v="1"/>
    <n v="14"/>
    <s v="Excellent"/>
    <s v="High"/>
    <n v="3"/>
    <x v="1"/>
    <x v="1"/>
    <x v="3"/>
  </r>
  <r>
    <n v="899"/>
    <n v="35"/>
    <x v="1"/>
    <x v="0"/>
    <x v="1"/>
    <n v="25"/>
    <x v="3"/>
    <s v="Technical Degree"/>
    <s v="Very high"/>
    <x v="1"/>
    <s v="Medium"/>
    <x v="3"/>
    <x v="1"/>
    <s v="Married"/>
    <n v="10903"/>
    <n v="3"/>
    <x v="1"/>
    <n v="16"/>
    <s v="Excellent"/>
    <s v="Low"/>
    <n v="2"/>
    <x v="1"/>
    <x v="0"/>
    <x v="3"/>
  </r>
  <r>
    <n v="900"/>
    <n v="37"/>
    <x v="1"/>
    <x v="1"/>
    <x v="0"/>
    <n v="21"/>
    <x v="0"/>
    <s v="Medical"/>
    <s v="High"/>
    <x v="0"/>
    <s v="High"/>
    <x v="6"/>
    <x v="0"/>
    <s v="Married"/>
    <n v="2973"/>
    <n v="5"/>
    <x v="1"/>
    <n v="15"/>
    <s v="Excellent"/>
    <s v="Medium"/>
    <n v="3"/>
    <x v="1"/>
    <x v="0"/>
    <x v="1"/>
  </r>
  <r>
    <n v="901"/>
    <n v="53"/>
    <x v="1"/>
    <x v="0"/>
    <x v="1"/>
    <n v="23"/>
    <x v="2"/>
    <s v="Life Sciences"/>
    <s v="Very high"/>
    <x v="0"/>
    <s v="High"/>
    <x v="7"/>
    <x v="0"/>
    <s v="Single"/>
    <n v="14275"/>
    <n v="6"/>
    <x v="1"/>
    <n v="18"/>
    <s v="Excellent"/>
    <s v="High"/>
    <n v="0"/>
    <x v="1"/>
    <x v="1"/>
    <x v="3"/>
  </r>
  <r>
    <n v="902"/>
    <n v="43"/>
    <x v="1"/>
    <x v="1"/>
    <x v="1"/>
    <n v="1"/>
    <x v="3"/>
    <s v="Life Sciences"/>
    <s v="Very high"/>
    <x v="0"/>
    <s v="High"/>
    <x v="4"/>
    <x v="0"/>
    <s v="Married"/>
    <n v="5562"/>
    <n v="4"/>
    <x v="1"/>
    <n v="13"/>
    <s v="Excellent"/>
    <s v="Medium"/>
    <n v="2"/>
    <x v="2"/>
    <x v="0"/>
    <x v="0"/>
  </r>
  <r>
    <n v="903"/>
    <n v="47"/>
    <x v="1"/>
    <x v="0"/>
    <x v="0"/>
    <n v="2"/>
    <x v="0"/>
    <s v="Marketing"/>
    <s v="High"/>
    <x v="0"/>
    <s v="High"/>
    <x v="0"/>
    <x v="0"/>
    <s v="Married"/>
    <n v="4537"/>
    <n v="0"/>
    <x v="0"/>
    <n v="22"/>
    <s v="Outstanding"/>
    <s v="Low"/>
    <n v="2"/>
    <x v="1"/>
    <x v="1"/>
    <x v="2"/>
  </r>
  <r>
    <n v="904"/>
    <n v="37"/>
    <x v="1"/>
    <x v="2"/>
    <x v="0"/>
    <n v="19"/>
    <x v="0"/>
    <s v="Medical"/>
    <s v="Low"/>
    <x v="1"/>
    <s v="High"/>
    <x v="0"/>
    <x v="1"/>
    <s v="Single"/>
    <n v="7642"/>
    <n v="1"/>
    <x v="0"/>
    <n v="13"/>
    <s v="Excellent"/>
    <s v="Very high"/>
    <n v="2"/>
    <x v="1"/>
    <x v="0"/>
    <x v="0"/>
  </r>
  <r>
    <n v="905"/>
    <n v="50"/>
    <x v="1"/>
    <x v="2"/>
    <x v="1"/>
    <n v="2"/>
    <x v="2"/>
    <s v="Life Sciences"/>
    <s v="Low"/>
    <x v="1"/>
    <s v="High"/>
    <x v="5"/>
    <x v="3"/>
    <s v="Divorced"/>
    <n v="17924"/>
    <n v="1"/>
    <x v="1"/>
    <n v="11"/>
    <s v="Excellent"/>
    <s v="Very high"/>
    <n v="3"/>
    <x v="1"/>
    <x v="1"/>
    <x v="3"/>
  </r>
  <r>
    <n v="909"/>
    <n v="39"/>
    <x v="1"/>
    <x v="0"/>
    <x v="2"/>
    <n v="2"/>
    <x v="3"/>
    <s v="Life Sciences"/>
    <s v="Very high"/>
    <x v="0"/>
    <s v="Medium"/>
    <x v="8"/>
    <x v="0"/>
    <s v="Married"/>
    <n v="5204"/>
    <n v="8"/>
    <x v="1"/>
    <n v="11"/>
    <s v="Excellent"/>
    <s v="High"/>
    <n v="2"/>
    <x v="1"/>
    <x v="0"/>
    <x v="0"/>
  </r>
  <r>
    <n v="910"/>
    <n v="33"/>
    <x v="1"/>
    <x v="0"/>
    <x v="2"/>
    <n v="3"/>
    <x v="0"/>
    <s v="Human Resources"/>
    <s v="Very high"/>
    <x v="1"/>
    <s v="High"/>
    <x v="8"/>
    <x v="1"/>
    <s v="Divorced"/>
    <n v="2277"/>
    <n v="3"/>
    <x v="0"/>
    <n v="11"/>
    <s v="Excellent"/>
    <s v="High"/>
    <n v="4"/>
    <x v="3"/>
    <x v="2"/>
    <x v="1"/>
  </r>
  <r>
    <n v="911"/>
    <n v="32"/>
    <x v="0"/>
    <x v="0"/>
    <x v="1"/>
    <n v="25"/>
    <x v="2"/>
    <s v="Life Sciences"/>
    <s v="Low"/>
    <x v="1"/>
    <s v="High"/>
    <x v="2"/>
    <x v="0"/>
    <s v="Single"/>
    <n v="2795"/>
    <n v="1"/>
    <x v="0"/>
    <n v="24"/>
    <s v="Outstanding"/>
    <s v="High"/>
    <n v="2"/>
    <x v="0"/>
    <x v="2"/>
    <x v="1"/>
  </r>
  <r>
    <n v="912"/>
    <n v="29"/>
    <x v="1"/>
    <x v="0"/>
    <x v="1"/>
    <n v="7"/>
    <x v="1"/>
    <s v="Medical"/>
    <s v="Low"/>
    <x v="0"/>
    <s v="Medium"/>
    <x v="2"/>
    <x v="0"/>
    <s v="Divorced"/>
    <n v="2532"/>
    <n v="6"/>
    <x v="1"/>
    <n v="14"/>
    <s v="Excellent"/>
    <s v="High"/>
    <n v="5"/>
    <x v="1"/>
    <x v="2"/>
    <x v="1"/>
  </r>
  <r>
    <n v="913"/>
    <n v="44"/>
    <x v="1"/>
    <x v="0"/>
    <x v="1"/>
    <n v="9"/>
    <x v="0"/>
    <s v="Life Sciences"/>
    <s v="Medium"/>
    <x v="1"/>
    <s v="High"/>
    <x v="1"/>
    <x v="3"/>
    <s v="Married"/>
    <n v="2559"/>
    <n v="1"/>
    <x v="0"/>
    <n v="13"/>
    <s v="Excellent"/>
    <s v="Very high"/>
    <n v="0"/>
    <x v="1"/>
    <x v="0"/>
    <x v="1"/>
  </r>
  <r>
    <n v="916"/>
    <n v="28"/>
    <x v="1"/>
    <x v="0"/>
    <x v="0"/>
    <n v="5"/>
    <x v="2"/>
    <s v="Medical"/>
    <s v="Low"/>
    <x v="1"/>
    <s v="High"/>
    <x v="0"/>
    <x v="0"/>
    <s v="Single"/>
    <n v="4908"/>
    <n v="1"/>
    <x v="1"/>
    <n v="14"/>
    <s v="Excellent"/>
    <s v="Medium"/>
    <n v="3"/>
    <x v="1"/>
    <x v="2"/>
    <x v="2"/>
  </r>
  <r>
    <n v="918"/>
    <n v="58"/>
    <x v="0"/>
    <x v="1"/>
    <x v="1"/>
    <n v="2"/>
    <x v="1"/>
    <s v="Life Sciences"/>
    <s v="Very high"/>
    <x v="1"/>
    <s v="Medium"/>
    <x v="2"/>
    <x v="0"/>
    <s v="Divorced"/>
    <n v="2380"/>
    <n v="9"/>
    <x v="0"/>
    <n v="14"/>
    <s v="Excellent"/>
    <s v="Very high"/>
    <n v="3"/>
    <x v="2"/>
    <x v="3"/>
    <x v="1"/>
  </r>
  <r>
    <n v="920"/>
    <n v="43"/>
    <x v="1"/>
    <x v="0"/>
    <x v="1"/>
    <n v="8"/>
    <x v="3"/>
    <s v="Life Sciences"/>
    <s v="Low"/>
    <x v="0"/>
    <s v="High"/>
    <x v="3"/>
    <x v="1"/>
    <s v="Divorced"/>
    <n v="4765"/>
    <n v="4"/>
    <x v="1"/>
    <n v="21"/>
    <s v="Outstanding"/>
    <s v="High"/>
    <n v="2"/>
    <x v="3"/>
    <x v="0"/>
    <x v="2"/>
  </r>
  <r>
    <n v="922"/>
    <n v="20"/>
    <x v="0"/>
    <x v="0"/>
    <x v="0"/>
    <n v="2"/>
    <x v="3"/>
    <s v="Medical"/>
    <s v="High"/>
    <x v="0"/>
    <s v="Medium"/>
    <x v="6"/>
    <x v="2"/>
    <s v="Single"/>
    <n v="2044"/>
    <n v="1"/>
    <x v="1"/>
    <n v="13"/>
    <s v="Excellent"/>
    <s v="Very high"/>
    <n v="3"/>
    <x v="2"/>
    <x v="4"/>
    <x v="1"/>
  </r>
  <r>
    <n v="923"/>
    <n v="21"/>
    <x v="0"/>
    <x v="0"/>
    <x v="1"/>
    <n v="18"/>
    <x v="1"/>
    <s v="Other"/>
    <s v="Very high"/>
    <x v="0"/>
    <s v="High"/>
    <x v="1"/>
    <x v="0"/>
    <s v="Single"/>
    <n v="2693"/>
    <n v="1"/>
    <x v="1"/>
    <n v="19"/>
    <s v="Excellent"/>
    <s v="Low"/>
    <n v="3"/>
    <x v="2"/>
    <x v="4"/>
    <x v="1"/>
  </r>
  <r>
    <n v="924"/>
    <n v="36"/>
    <x v="1"/>
    <x v="0"/>
    <x v="1"/>
    <n v="14"/>
    <x v="1"/>
    <s v="Life Sciences"/>
    <s v="High"/>
    <x v="1"/>
    <s v="High"/>
    <x v="4"/>
    <x v="0"/>
    <s v="Married"/>
    <n v="6586"/>
    <n v="0"/>
    <x v="0"/>
    <n v="17"/>
    <s v="Excellent"/>
    <s v="Low"/>
    <n v="2"/>
    <x v="2"/>
    <x v="0"/>
    <x v="0"/>
  </r>
  <r>
    <n v="925"/>
    <n v="47"/>
    <x v="1"/>
    <x v="0"/>
    <x v="0"/>
    <n v="2"/>
    <x v="2"/>
    <s v="Life Sciences"/>
    <s v="Very high"/>
    <x v="0"/>
    <s v="Medium"/>
    <x v="6"/>
    <x v="0"/>
    <s v="Single"/>
    <n v="3294"/>
    <n v="1"/>
    <x v="0"/>
    <n v="18"/>
    <s v="Excellent"/>
    <s v="Low"/>
    <n v="3"/>
    <x v="2"/>
    <x v="1"/>
    <x v="2"/>
  </r>
  <r>
    <n v="926"/>
    <n v="22"/>
    <x v="0"/>
    <x v="0"/>
    <x v="1"/>
    <n v="3"/>
    <x v="1"/>
    <s v="Life Sciences"/>
    <s v="Medium"/>
    <x v="0"/>
    <s v="High"/>
    <x v="3"/>
    <x v="2"/>
    <s v="Married"/>
    <n v="4171"/>
    <n v="0"/>
    <x v="0"/>
    <n v="19"/>
    <s v="Excellent"/>
    <s v="Low"/>
    <n v="3"/>
    <x v="3"/>
    <x v="4"/>
    <x v="2"/>
  </r>
  <r>
    <n v="927"/>
    <n v="41"/>
    <x v="0"/>
    <x v="0"/>
    <x v="1"/>
    <n v="2"/>
    <x v="2"/>
    <s v="Life Sciences"/>
    <s v="Medium"/>
    <x v="0"/>
    <s v="Low"/>
    <x v="2"/>
    <x v="0"/>
    <s v="Divorced"/>
    <n v="2778"/>
    <n v="4"/>
    <x v="0"/>
    <n v="13"/>
    <s v="Excellent"/>
    <s v="High"/>
    <n v="1"/>
    <x v="2"/>
    <x v="0"/>
    <x v="1"/>
  </r>
  <r>
    <n v="930"/>
    <n v="28"/>
    <x v="1"/>
    <x v="0"/>
    <x v="1"/>
    <n v="9"/>
    <x v="3"/>
    <s v="Medical"/>
    <s v="High"/>
    <x v="0"/>
    <s v="High"/>
    <x v="1"/>
    <x v="2"/>
    <s v="Divorced"/>
    <n v="2377"/>
    <n v="5"/>
    <x v="1"/>
    <n v="18"/>
    <s v="Excellent"/>
    <s v="Medium"/>
    <n v="2"/>
    <x v="1"/>
    <x v="2"/>
    <x v="1"/>
  </r>
  <r>
    <n v="932"/>
    <n v="39"/>
    <x v="0"/>
    <x v="0"/>
    <x v="1"/>
    <n v="6"/>
    <x v="3"/>
    <s v="Medical"/>
    <s v="Very high"/>
    <x v="1"/>
    <s v="High"/>
    <x v="2"/>
    <x v="3"/>
    <s v="Married"/>
    <n v="2404"/>
    <n v="7"/>
    <x v="0"/>
    <n v="21"/>
    <s v="Outstanding"/>
    <s v="Very high"/>
    <n v="2"/>
    <x v="0"/>
    <x v="0"/>
    <x v="1"/>
  </r>
  <r>
    <n v="933"/>
    <n v="27"/>
    <x v="1"/>
    <x v="0"/>
    <x v="1"/>
    <n v="4"/>
    <x v="3"/>
    <s v="Life Sciences"/>
    <s v="Medium"/>
    <x v="0"/>
    <s v="High"/>
    <x v="1"/>
    <x v="2"/>
    <s v="Single"/>
    <n v="2318"/>
    <n v="1"/>
    <x v="1"/>
    <n v="19"/>
    <s v="Excellent"/>
    <s v="High"/>
    <n v="2"/>
    <x v="1"/>
    <x v="2"/>
    <x v="1"/>
  </r>
  <r>
    <n v="934"/>
    <n v="34"/>
    <x v="1"/>
    <x v="0"/>
    <x v="1"/>
    <n v="10"/>
    <x v="3"/>
    <s v="Life Sciences"/>
    <s v="Medium"/>
    <x v="1"/>
    <s v="High"/>
    <x v="2"/>
    <x v="1"/>
    <s v="Divorced"/>
    <n v="2008"/>
    <n v="1"/>
    <x v="1"/>
    <n v="14"/>
    <s v="Excellent"/>
    <s v="Medium"/>
    <n v="3"/>
    <x v="1"/>
    <x v="2"/>
    <x v="1"/>
  </r>
  <r>
    <n v="936"/>
    <n v="42"/>
    <x v="1"/>
    <x v="0"/>
    <x v="0"/>
    <n v="14"/>
    <x v="0"/>
    <s v="Medical"/>
    <s v="High"/>
    <x v="0"/>
    <s v="Medium"/>
    <x v="0"/>
    <x v="2"/>
    <s v="Single"/>
    <n v="6244"/>
    <n v="7"/>
    <x v="1"/>
    <n v="17"/>
    <s v="Excellent"/>
    <s v="Low"/>
    <n v="6"/>
    <x v="1"/>
    <x v="0"/>
    <x v="0"/>
  </r>
  <r>
    <n v="939"/>
    <n v="33"/>
    <x v="1"/>
    <x v="0"/>
    <x v="1"/>
    <n v="1"/>
    <x v="2"/>
    <s v="Other"/>
    <s v="High"/>
    <x v="1"/>
    <s v="Medium"/>
    <x v="1"/>
    <x v="3"/>
    <s v="Single"/>
    <n v="2799"/>
    <n v="3"/>
    <x v="0"/>
    <n v="11"/>
    <s v="Excellent"/>
    <s v="Medium"/>
    <n v="1"/>
    <x v="1"/>
    <x v="2"/>
    <x v="1"/>
  </r>
  <r>
    <n v="940"/>
    <n v="58"/>
    <x v="1"/>
    <x v="0"/>
    <x v="1"/>
    <n v="5"/>
    <x v="3"/>
    <s v="Technical Degree"/>
    <s v="High"/>
    <x v="0"/>
    <s v="Medium"/>
    <x v="4"/>
    <x v="1"/>
    <s v="Divorced"/>
    <n v="10552"/>
    <n v="2"/>
    <x v="0"/>
    <n v="13"/>
    <s v="Excellent"/>
    <s v="Very high"/>
    <n v="3"/>
    <x v="1"/>
    <x v="3"/>
    <x v="3"/>
  </r>
  <r>
    <n v="941"/>
    <n v="31"/>
    <x v="1"/>
    <x v="0"/>
    <x v="0"/>
    <n v="7"/>
    <x v="2"/>
    <s v="Life Sciences"/>
    <s v="Medium"/>
    <x v="1"/>
    <s v="Medium"/>
    <x v="6"/>
    <x v="2"/>
    <s v="Married"/>
    <n v="2329"/>
    <n v="3"/>
    <x v="1"/>
    <n v="15"/>
    <s v="Excellent"/>
    <s v="Medium"/>
    <n v="2"/>
    <x v="3"/>
    <x v="2"/>
    <x v="1"/>
  </r>
  <r>
    <n v="942"/>
    <n v="35"/>
    <x v="1"/>
    <x v="0"/>
    <x v="1"/>
    <n v="21"/>
    <x v="1"/>
    <s v="Life Sciences"/>
    <s v="Very high"/>
    <x v="0"/>
    <s v="High"/>
    <x v="4"/>
    <x v="0"/>
    <s v="Married"/>
    <n v="4014"/>
    <n v="1"/>
    <x v="0"/>
    <n v="25"/>
    <s v="Outstanding"/>
    <s v="Very high"/>
    <n v="2"/>
    <x v="0"/>
    <x v="0"/>
    <x v="2"/>
  </r>
  <r>
    <n v="944"/>
    <n v="49"/>
    <x v="1"/>
    <x v="0"/>
    <x v="1"/>
    <n v="8"/>
    <x v="0"/>
    <s v="Other"/>
    <s v="Low"/>
    <x v="0"/>
    <s v="High"/>
    <x v="2"/>
    <x v="1"/>
    <s v="Married"/>
    <n v="7403"/>
    <n v="4"/>
    <x v="1"/>
    <n v="11"/>
    <s v="Excellent"/>
    <s v="High"/>
    <n v="3"/>
    <x v="2"/>
    <x v="1"/>
    <x v="0"/>
  </r>
  <r>
    <n v="945"/>
    <n v="48"/>
    <x v="1"/>
    <x v="0"/>
    <x v="1"/>
    <n v="20"/>
    <x v="2"/>
    <s v="Medical"/>
    <s v="Very high"/>
    <x v="1"/>
    <s v="High"/>
    <x v="1"/>
    <x v="2"/>
    <s v="Married"/>
    <n v="2259"/>
    <n v="4"/>
    <x v="1"/>
    <n v="17"/>
    <s v="Excellent"/>
    <s v="Low"/>
    <n v="2"/>
    <x v="2"/>
    <x v="1"/>
    <x v="1"/>
  </r>
  <r>
    <n v="947"/>
    <n v="31"/>
    <x v="1"/>
    <x v="2"/>
    <x v="0"/>
    <n v="20"/>
    <x v="0"/>
    <s v="Marketing"/>
    <s v="Very high"/>
    <x v="0"/>
    <s v="High"/>
    <x v="0"/>
    <x v="2"/>
    <s v="Married"/>
    <n v="6932"/>
    <n v="1"/>
    <x v="1"/>
    <n v="13"/>
    <s v="Excellent"/>
    <s v="Very high"/>
    <n v="2"/>
    <x v="2"/>
    <x v="2"/>
    <x v="0"/>
  </r>
  <r>
    <n v="949"/>
    <n v="36"/>
    <x v="1"/>
    <x v="0"/>
    <x v="1"/>
    <n v="7"/>
    <x v="2"/>
    <s v="Other"/>
    <s v="Medium"/>
    <x v="1"/>
    <s v="High"/>
    <x v="1"/>
    <x v="0"/>
    <s v="Single"/>
    <n v="4678"/>
    <n v="2"/>
    <x v="1"/>
    <n v="18"/>
    <s v="Excellent"/>
    <s v="High"/>
    <n v="6"/>
    <x v="1"/>
    <x v="0"/>
    <x v="2"/>
  </r>
  <r>
    <n v="950"/>
    <n v="38"/>
    <x v="1"/>
    <x v="0"/>
    <x v="1"/>
    <n v="1"/>
    <x v="3"/>
    <s v="Technical Degree"/>
    <s v="Very high"/>
    <x v="0"/>
    <s v="High"/>
    <x v="7"/>
    <x v="3"/>
    <s v="Married"/>
    <n v="13582"/>
    <n v="1"/>
    <x v="1"/>
    <n v="13"/>
    <s v="Excellent"/>
    <s v="Medium"/>
    <n v="3"/>
    <x v="1"/>
    <x v="0"/>
    <x v="3"/>
  </r>
  <r>
    <n v="951"/>
    <n v="32"/>
    <x v="1"/>
    <x v="2"/>
    <x v="1"/>
    <n v="1"/>
    <x v="3"/>
    <s v="Life Sciences"/>
    <s v="High"/>
    <x v="0"/>
    <s v="Medium"/>
    <x v="2"/>
    <x v="1"/>
    <s v="Married"/>
    <n v="2332"/>
    <n v="6"/>
    <x v="1"/>
    <n v="20"/>
    <s v="Outstanding"/>
    <s v="High"/>
    <n v="3"/>
    <x v="1"/>
    <x v="2"/>
    <x v="1"/>
  </r>
  <r>
    <n v="952"/>
    <n v="25"/>
    <x v="0"/>
    <x v="0"/>
    <x v="0"/>
    <n v="19"/>
    <x v="0"/>
    <s v="Marketing"/>
    <s v="High"/>
    <x v="1"/>
    <s v="Medium"/>
    <x v="6"/>
    <x v="1"/>
    <s v="Married"/>
    <n v="2413"/>
    <n v="1"/>
    <x v="0"/>
    <n v="18"/>
    <s v="Excellent"/>
    <s v="High"/>
    <n v="2"/>
    <x v="1"/>
    <x v="2"/>
    <x v="1"/>
  </r>
  <r>
    <n v="954"/>
    <n v="40"/>
    <x v="1"/>
    <x v="0"/>
    <x v="0"/>
    <n v="10"/>
    <x v="2"/>
    <s v="Marketing"/>
    <s v="Low"/>
    <x v="1"/>
    <s v="Medium"/>
    <x v="0"/>
    <x v="1"/>
    <s v="Divorced"/>
    <n v="9705"/>
    <n v="2"/>
    <x v="1"/>
    <n v="12"/>
    <s v="Excellent"/>
    <s v="Medium"/>
    <n v="2"/>
    <x v="2"/>
    <x v="0"/>
    <x v="3"/>
  </r>
  <r>
    <n v="956"/>
    <n v="26"/>
    <x v="1"/>
    <x v="1"/>
    <x v="0"/>
    <n v="1"/>
    <x v="3"/>
    <s v="Medical"/>
    <s v="High"/>
    <x v="1"/>
    <s v="Medium"/>
    <x v="0"/>
    <x v="3"/>
    <s v="Single"/>
    <n v="4294"/>
    <n v="1"/>
    <x v="1"/>
    <n v="12"/>
    <s v="Excellent"/>
    <s v="Medium"/>
    <n v="2"/>
    <x v="1"/>
    <x v="2"/>
    <x v="2"/>
  </r>
  <r>
    <n v="957"/>
    <n v="41"/>
    <x v="1"/>
    <x v="0"/>
    <x v="1"/>
    <n v="6"/>
    <x v="3"/>
    <s v="Medical"/>
    <s v="Very high"/>
    <x v="1"/>
    <s v="High"/>
    <x v="2"/>
    <x v="3"/>
    <s v="Single"/>
    <n v="4721"/>
    <n v="2"/>
    <x v="0"/>
    <n v="13"/>
    <s v="Excellent"/>
    <s v="High"/>
    <n v="3"/>
    <x v="1"/>
    <x v="0"/>
    <x v="2"/>
  </r>
  <r>
    <n v="958"/>
    <n v="36"/>
    <x v="1"/>
    <x v="0"/>
    <x v="1"/>
    <n v="2"/>
    <x v="2"/>
    <s v="Medical"/>
    <s v="High"/>
    <x v="1"/>
    <s v="High"/>
    <x v="2"/>
    <x v="2"/>
    <s v="Single"/>
    <n v="2519"/>
    <n v="4"/>
    <x v="1"/>
    <n v="21"/>
    <s v="Outstanding"/>
    <s v="High"/>
    <n v="6"/>
    <x v="1"/>
    <x v="0"/>
    <x v="1"/>
  </r>
  <r>
    <n v="959"/>
    <n v="19"/>
    <x v="0"/>
    <x v="0"/>
    <x v="0"/>
    <n v="21"/>
    <x v="3"/>
    <s v="Other"/>
    <s v="Very high"/>
    <x v="1"/>
    <s v="Medium"/>
    <x v="6"/>
    <x v="1"/>
    <s v="Single"/>
    <n v="2121"/>
    <n v="1"/>
    <x v="0"/>
    <n v="13"/>
    <s v="Excellent"/>
    <s v="Medium"/>
    <n v="3"/>
    <x v="3"/>
    <x v="4"/>
    <x v="1"/>
  </r>
  <r>
    <n v="960"/>
    <n v="20"/>
    <x v="0"/>
    <x v="0"/>
    <x v="1"/>
    <n v="4"/>
    <x v="3"/>
    <s v="Technical Degree"/>
    <s v="Low"/>
    <x v="1"/>
    <s v="High"/>
    <x v="2"/>
    <x v="3"/>
    <s v="Single"/>
    <n v="2973"/>
    <n v="1"/>
    <x v="1"/>
    <n v="19"/>
    <s v="Excellent"/>
    <s v="Medium"/>
    <n v="2"/>
    <x v="1"/>
    <x v="4"/>
    <x v="1"/>
  </r>
  <r>
    <n v="961"/>
    <n v="31"/>
    <x v="1"/>
    <x v="0"/>
    <x v="1"/>
    <n v="12"/>
    <x v="3"/>
    <s v="Medical"/>
    <s v="Very high"/>
    <x v="0"/>
    <s v="High"/>
    <x v="4"/>
    <x v="0"/>
    <s v="Married"/>
    <n v="5855"/>
    <n v="0"/>
    <x v="0"/>
    <n v="11"/>
    <s v="Excellent"/>
    <s v="High"/>
    <n v="2"/>
    <x v="0"/>
    <x v="2"/>
    <x v="0"/>
  </r>
  <r>
    <n v="964"/>
    <n v="40"/>
    <x v="1"/>
    <x v="1"/>
    <x v="1"/>
    <n v="9"/>
    <x v="2"/>
    <s v="Medical"/>
    <s v="Very high"/>
    <x v="1"/>
    <s v="High"/>
    <x v="1"/>
    <x v="1"/>
    <s v="Divorced"/>
    <n v="3617"/>
    <n v="8"/>
    <x v="0"/>
    <n v="14"/>
    <s v="Excellent"/>
    <s v="Very high"/>
    <n v="2"/>
    <x v="1"/>
    <x v="0"/>
    <x v="2"/>
  </r>
  <r>
    <n v="966"/>
    <n v="32"/>
    <x v="1"/>
    <x v="0"/>
    <x v="1"/>
    <n v="3"/>
    <x v="2"/>
    <s v="Medical"/>
    <s v="High"/>
    <x v="0"/>
    <s v="High"/>
    <x v="3"/>
    <x v="3"/>
    <s v="Married"/>
    <n v="6725"/>
    <n v="1"/>
    <x v="1"/>
    <n v="12"/>
    <s v="Excellent"/>
    <s v="High"/>
    <n v="2"/>
    <x v="3"/>
    <x v="2"/>
    <x v="0"/>
  </r>
  <r>
    <n v="967"/>
    <n v="36"/>
    <x v="0"/>
    <x v="0"/>
    <x v="0"/>
    <n v="3"/>
    <x v="1"/>
    <s v="Life Sciences"/>
    <s v="High"/>
    <x v="1"/>
    <s v="Medium"/>
    <x v="0"/>
    <x v="0"/>
    <s v="Married"/>
    <n v="10325"/>
    <n v="1"/>
    <x v="0"/>
    <n v="11"/>
    <s v="Excellent"/>
    <s v="Low"/>
    <n v="6"/>
    <x v="1"/>
    <x v="0"/>
    <x v="3"/>
  </r>
  <r>
    <n v="969"/>
    <n v="33"/>
    <x v="1"/>
    <x v="0"/>
    <x v="1"/>
    <n v="1"/>
    <x v="3"/>
    <s v="Life Sciences"/>
    <s v="Medium"/>
    <x v="0"/>
    <s v="Medium"/>
    <x v="4"/>
    <x v="0"/>
    <s v="Single"/>
    <n v="6949"/>
    <n v="0"/>
    <x v="1"/>
    <n v="14"/>
    <s v="Excellent"/>
    <s v="Low"/>
    <n v="3"/>
    <x v="1"/>
    <x v="2"/>
    <x v="0"/>
  </r>
  <r>
    <n v="970"/>
    <n v="37"/>
    <x v="0"/>
    <x v="0"/>
    <x v="0"/>
    <n v="1"/>
    <x v="2"/>
    <s v="Life Sciences"/>
    <s v="Low"/>
    <x v="1"/>
    <s v="Medium"/>
    <x v="0"/>
    <x v="2"/>
    <s v="Married"/>
    <n v="10609"/>
    <n v="5"/>
    <x v="1"/>
    <n v="11"/>
    <s v="Excellent"/>
    <s v="High"/>
    <n v="2"/>
    <x v="0"/>
    <x v="0"/>
    <x v="3"/>
  </r>
  <r>
    <n v="972"/>
    <n v="45"/>
    <x v="1"/>
    <x v="2"/>
    <x v="1"/>
    <n v="4"/>
    <x v="0"/>
    <s v="Life Sciences"/>
    <s v="High"/>
    <x v="1"/>
    <s v="High"/>
    <x v="2"/>
    <x v="1"/>
    <s v="Married"/>
    <n v="4447"/>
    <n v="1"/>
    <x v="1"/>
    <n v="12"/>
    <s v="Excellent"/>
    <s v="Medium"/>
    <n v="5"/>
    <x v="2"/>
    <x v="1"/>
    <x v="2"/>
  </r>
  <r>
    <n v="974"/>
    <n v="29"/>
    <x v="1"/>
    <x v="1"/>
    <x v="0"/>
    <n v="20"/>
    <x v="3"/>
    <s v="Technical Degree"/>
    <s v="High"/>
    <x v="0"/>
    <s v="High"/>
    <x v="6"/>
    <x v="0"/>
    <s v="Married"/>
    <n v="2157"/>
    <n v="1"/>
    <x v="1"/>
    <n v="15"/>
    <s v="Excellent"/>
    <s v="Medium"/>
    <n v="5"/>
    <x v="1"/>
    <x v="2"/>
    <x v="1"/>
  </r>
  <r>
    <n v="975"/>
    <n v="35"/>
    <x v="1"/>
    <x v="0"/>
    <x v="0"/>
    <n v="18"/>
    <x v="3"/>
    <s v="Medical"/>
    <s v="High"/>
    <x v="0"/>
    <s v="High"/>
    <x v="0"/>
    <x v="2"/>
    <s v="Married"/>
    <n v="4601"/>
    <n v="1"/>
    <x v="1"/>
    <n v="16"/>
    <s v="Excellent"/>
    <s v="Medium"/>
    <n v="3"/>
    <x v="1"/>
    <x v="0"/>
    <x v="2"/>
  </r>
  <r>
    <n v="976"/>
    <n v="52"/>
    <x v="1"/>
    <x v="0"/>
    <x v="1"/>
    <n v="1"/>
    <x v="0"/>
    <s v="Life Sciences"/>
    <s v="Very high"/>
    <x v="1"/>
    <s v="High"/>
    <x v="5"/>
    <x v="0"/>
    <s v="Married"/>
    <n v="17099"/>
    <n v="2"/>
    <x v="1"/>
    <n v="15"/>
    <s v="Excellent"/>
    <s v="Medium"/>
    <n v="2"/>
    <x v="2"/>
    <x v="1"/>
    <x v="3"/>
  </r>
  <r>
    <n v="977"/>
    <n v="58"/>
    <x v="0"/>
    <x v="0"/>
    <x v="1"/>
    <n v="2"/>
    <x v="3"/>
    <s v="Technical Degree"/>
    <s v="Very high"/>
    <x v="1"/>
    <s v="High"/>
    <x v="1"/>
    <x v="2"/>
    <s v="Single"/>
    <n v="2479"/>
    <n v="4"/>
    <x v="1"/>
    <n v="24"/>
    <s v="Outstanding"/>
    <s v="Low"/>
    <n v="4"/>
    <x v="1"/>
    <x v="3"/>
    <x v="1"/>
  </r>
  <r>
    <n v="981"/>
    <n v="53"/>
    <x v="1"/>
    <x v="0"/>
    <x v="0"/>
    <n v="2"/>
    <x v="0"/>
    <s v="Medical"/>
    <s v="High"/>
    <x v="1"/>
    <s v="High"/>
    <x v="5"/>
    <x v="2"/>
    <s v="Divorced"/>
    <n v="14852"/>
    <n v="6"/>
    <x v="1"/>
    <n v="13"/>
    <s v="Excellent"/>
    <s v="High"/>
    <n v="3"/>
    <x v="3"/>
    <x v="1"/>
    <x v="3"/>
  </r>
  <r>
    <n v="982"/>
    <n v="30"/>
    <x v="1"/>
    <x v="0"/>
    <x v="0"/>
    <n v="8"/>
    <x v="0"/>
    <s v="Other"/>
    <s v="High"/>
    <x v="1"/>
    <s v="High"/>
    <x v="0"/>
    <x v="2"/>
    <s v="Divorced"/>
    <n v="7264"/>
    <n v="5"/>
    <x v="1"/>
    <n v="11"/>
    <s v="Excellent"/>
    <s v="Low"/>
    <n v="2"/>
    <x v="3"/>
    <x v="2"/>
    <x v="0"/>
  </r>
  <r>
    <n v="983"/>
    <n v="38"/>
    <x v="1"/>
    <x v="2"/>
    <x v="0"/>
    <n v="10"/>
    <x v="3"/>
    <s v="Technical Degree"/>
    <s v="High"/>
    <x v="0"/>
    <s v="High"/>
    <x v="0"/>
    <x v="0"/>
    <s v="Single"/>
    <n v="5666"/>
    <n v="1"/>
    <x v="0"/>
    <n v="13"/>
    <s v="Excellent"/>
    <s v="Medium"/>
    <n v="1"/>
    <x v="1"/>
    <x v="0"/>
    <x v="0"/>
  </r>
  <r>
    <n v="984"/>
    <n v="35"/>
    <x v="1"/>
    <x v="0"/>
    <x v="0"/>
    <n v="3"/>
    <x v="2"/>
    <s v="Life Sciences"/>
    <s v="Very high"/>
    <x v="1"/>
    <s v="High"/>
    <x v="0"/>
    <x v="0"/>
    <s v="Divorced"/>
    <n v="7823"/>
    <n v="6"/>
    <x v="1"/>
    <n v="13"/>
    <s v="Excellent"/>
    <s v="Medium"/>
    <n v="2"/>
    <x v="1"/>
    <x v="0"/>
    <x v="0"/>
  </r>
  <r>
    <n v="985"/>
    <n v="39"/>
    <x v="1"/>
    <x v="0"/>
    <x v="0"/>
    <n v="2"/>
    <x v="4"/>
    <s v="Life Sciences"/>
    <s v="Low"/>
    <x v="1"/>
    <s v="Very high"/>
    <x v="0"/>
    <x v="2"/>
    <s v="Single"/>
    <n v="7880"/>
    <n v="0"/>
    <x v="1"/>
    <n v="18"/>
    <s v="Excellent"/>
    <s v="Very high"/>
    <n v="3"/>
    <x v="1"/>
    <x v="0"/>
    <x v="0"/>
  </r>
  <r>
    <n v="986"/>
    <n v="40"/>
    <x v="0"/>
    <x v="2"/>
    <x v="0"/>
    <n v="24"/>
    <x v="3"/>
    <s v="Life Sciences"/>
    <s v="Medium"/>
    <x v="0"/>
    <s v="Very high"/>
    <x v="0"/>
    <x v="1"/>
    <s v="Single"/>
    <n v="13194"/>
    <n v="4"/>
    <x v="0"/>
    <n v="16"/>
    <s v="Excellent"/>
    <s v="Very high"/>
    <n v="2"/>
    <x v="2"/>
    <x v="0"/>
    <x v="3"/>
  </r>
  <r>
    <n v="987"/>
    <n v="47"/>
    <x v="1"/>
    <x v="1"/>
    <x v="1"/>
    <n v="16"/>
    <x v="2"/>
    <s v="Medical"/>
    <s v="High"/>
    <x v="1"/>
    <s v="Very high"/>
    <x v="3"/>
    <x v="2"/>
    <s v="Divorced"/>
    <n v="5067"/>
    <n v="1"/>
    <x v="0"/>
    <n v="19"/>
    <s v="Excellent"/>
    <s v="High"/>
    <n v="3"/>
    <x v="3"/>
    <x v="1"/>
    <x v="0"/>
  </r>
  <r>
    <n v="990"/>
    <n v="36"/>
    <x v="1"/>
    <x v="2"/>
    <x v="0"/>
    <n v="8"/>
    <x v="2"/>
    <s v="Technical Degree"/>
    <s v="Low"/>
    <x v="1"/>
    <s v="High"/>
    <x v="0"/>
    <x v="0"/>
    <s v="Divorced"/>
    <n v="5079"/>
    <n v="4"/>
    <x v="1"/>
    <n v="13"/>
    <s v="Excellent"/>
    <s v="Very high"/>
    <n v="3"/>
    <x v="1"/>
    <x v="0"/>
    <x v="0"/>
  </r>
  <r>
    <n v="991"/>
    <n v="31"/>
    <x v="0"/>
    <x v="2"/>
    <x v="1"/>
    <n v="9"/>
    <x v="0"/>
    <s v="Medical"/>
    <s v="High"/>
    <x v="1"/>
    <s v="Medium"/>
    <x v="1"/>
    <x v="3"/>
    <s v="Single"/>
    <n v="2321"/>
    <n v="0"/>
    <x v="0"/>
    <n v="22"/>
    <s v="Outstanding"/>
    <s v="Low"/>
    <n v="0"/>
    <x v="1"/>
    <x v="2"/>
    <x v="1"/>
  </r>
  <r>
    <n v="992"/>
    <n v="33"/>
    <x v="1"/>
    <x v="2"/>
    <x v="0"/>
    <n v="17"/>
    <x v="3"/>
    <s v="Life Sciences"/>
    <s v="Very high"/>
    <x v="1"/>
    <s v="High"/>
    <x v="5"/>
    <x v="2"/>
    <s v="Single"/>
    <n v="17444"/>
    <n v="1"/>
    <x v="1"/>
    <n v="11"/>
    <s v="Excellent"/>
    <s v="Very high"/>
    <n v="2"/>
    <x v="1"/>
    <x v="2"/>
    <x v="3"/>
  </r>
  <r>
    <n v="994"/>
    <n v="29"/>
    <x v="0"/>
    <x v="0"/>
    <x v="1"/>
    <n v="10"/>
    <x v="3"/>
    <s v="Life Sciences"/>
    <s v="Very high"/>
    <x v="0"/>
    <s v="Medium"/>
    <x v="1"/>
    <x v="3"/>
    <s v="Single"/>
    <n v="2404"/>
    <n v="6"/>
    <x v="0"/>
    <n v="20"/>
    <s v="Outstanding"/>
    <s v="High"/>
    <n v="5"/>
    <x v="1"/>
    <x v="2"/>
    <x v="1"/>
  </r>
  <r>
    <n v="995"/>
    <n v="33"/>
    <x v="1"/>
    <x v="0"/>
    <x v="1"/>
    <n v="13"/>
    <x v="1"/>
    <s v="Life Sciences"/>
    <s v="Medium"/>
    <x v="0"/>
    <s v="High"/>
    <x v="1"/>
    <x v="0"/>
    <s v="Single"/>
    <n v="3452"/>
    <n v="3"/>
    <x v="1"/>
    <n v="18"/>
    <s v="Excellent"/>
    <s v="Low"/>
    <n v="4"/>
    <x v="1"/>
    <x v="2"/>
    <x v="2"/>
  </r>
  <r>
    <n v="996"/>
    <n v="45"/>
    <x v="1"/>
    <x v="0"/>
    <x v="1"/>
    <n v="1"/>
    <x v="2"/>
    <s v="Medical"/>
    <s v="Very high"/>
    <x v="0"/>
    <s v="High"/>
    <x v="2"/>
    <x v="0"/>
    <s v="Divorced"/>
    <n v="2270"/>
    <n v="3"/>
    <x v="1"/>
    <n v="14"/>
    <s v="Excellent"/>
    <s v="Very high"/>
    <n v="2"/>
    <x v="1"/>
    <x v="1"/>
    <x v="1"/>
  </r>
  <r>
    <n v="997"/>
    <n v="50"/>
    <x v="1"/>
    <x v="0"/>
    <x v="1"/>
    <n v="1"/>
    <x v="0"/>
    <s v="Medical"/>
    <s v="Very high"/>
    <x v="1"/>
    <s v="High"/>
    <x v="7"/>
    <x v="0"/>
    <s v="Divorced"/>
    <n v="17399"/>
    <n v="9"/>
    <x v="1"/>
    <n v="22"/>
    <s v="Outstanding"/>
    <s v="High"/>
    <n v="1"/>
    <x v="2"/>
    <x v="1"/>
    <x v="3"/>
  </r>
  <r>
    <n v="998"/>
    <n v="33"/>
    <x v="1"/>
    <x v="1"/>
    <x v="1"/>
    <n v="1"/>
    <x v="2"/>
    <s v="Other"/>
    <s v="High"/>
    <x v="0"/>
    <s v="Very high"/>
    <x v="4"/>
    <x v="1"/>
    <s v="Married"/>
    <n v="5488"/>
    <n v="1"/>
    <x v="0"/>
    <n v="13"/>
    <s v="Excellent"/>
    <s v="Low"/>
    <n v="2"/>
    <x v="1"/>
    <x v="2"/>
    <x v="0"/>
  </r>
  <r>
    <n v="999"/>
    <n v="41"/>
    <x v="1"/>
    <x v="1"/>
    <x v="1"/>
    <n v="9"/>
    <x v="3"/>
    <s v="Medical"/>
    <s v="Low"/>
    <x v="1"/>
    <s v="High"/>
    <x v="7"/>
    <x v="2"/>
    <s v="Divorced"/>
    <n v="19419"/>
    <n v="2"/>
    <x v="1"/>
    <n v="17"/>
    <s v="Excellent"/>
    <s v="Medium"/>
    <n v="2"/>
    <x v="3"/>
    <x v="0"/>
    <x v="3"/>
  </r>
  <r>
    <n v="1001"/>
    <n v="27"/>
    <x v="1"/>
    <x v="0"/>
    <x v="1"/>
    <n v="16"/>
    <x v="2"/>
    <s v="Technical Degree"/>
    <s v="High"/>
    <x v="0"/>
    <s v="High"/>
    <x v="2"/>
    <x v="1"/>
    <s v="Married"/>
    <n v="2811"/>
    <n v="9"/>
    <x v="1"/>
    <n v="14"/>
    <s v="Excellent"/>
    <s v="Medium"/>
    <n v="2"/>
    <x v="1"/>
    <x v="2"/>
    <x v="1"/>
  </r>
  <r>
    <n v="1002"/>
    <n v="45"/>
    <x v="1"/>
    <x v="2"/>
    <x v="1"/>
    <n v="23"/>
    <x v="0"/>
    <s v="Life Sciences"/>
    <s v="Very high"/>
    <x v="1"/>
    <s v="High"/>
    <x v="2"/>
    <x v="3"/>
    <s v="Married"/>
    <n v="3633"/>
    <n v="1"/>
    <x v="0"/>
    <n v="15"/>
    <s v="Excellent"/>
    <s v="High"/>
    <n v="2"/>
    <x v="1"/>
    <x v="1"/>
    <x v="2"/>
  </r>
  <r>
    <n v="1003"/>
    <n v="47"/>
    <x v="1"/>
    <x v="0"/>
    <x v="0"/>
    <n v="4"/>
    <x v="0"/>
    <s v="Life Sciences"/>
    <s v="Very high"/>
    <x v="0"/>
    <s v="High"/>
    <x v="0"/>
    <x v="0"/>
    <s v="Single"/>
    <n v="4163"/>
    <n v="1"/>
    <x v="0"/>
    <n v="17"/>
    <s v="Excellent"/>
    <s v="High"/>
    <n v="0"/>
    <x v="1"/>
    <x v="1"/>
    <x v="2"/>
  </r>
  <r>
    <n v="1004"/>
    <n v="30"/>
    <x v="0"/>
    <x v="0"/>
    <x v="1"/>
    <n v="22"/>
    <x v="3"/>
    <s v="Life Sciences"/>
    <s v="Low"/>
    <x v="0"/>
    <s v="High"/>
    <x v="1"/>
    <x v="2"/>
    <s v="Married"/>
    <n v="2132"/>
    <n v="4"/>
    <x v="0"/>
    <n v="11"/>
    <s v="Excellent"/>
    <s v="Medium"/>
    <n v="2"/>
    <x v="1"/>
    <x v="2"/>
    <x v="1"/>
  </r>
  <r>
    <n v="1005"/>
    <n v="50"/>
    <x v="1"/>
    <x v="0"/>
    <x v="1"/>
    <n v="24"/>
    <x v="3"/>
    <s v="Life Sciences"/>
    <s v="Very high"/>
    <x v="1"/>
    <s v="High"/>
    <x v="3"/>
    <x v="2"/>
    <s v="Married"/>
    <n v="13973"/>
    <n v="3"/>
    <x v="0"/>
    <n v="18"/>
    <s v="Excellent"/>
    <s v="Very high"/>
    <n v="2"/>
    <x v="1"/>
    <x v="1"/>
    <x v="3"/>
  </r>
  <r>
    <n v="1006"/>
    <n v="38"/>
    <x v="1"/>
    <x v="1"/>
    <x v="1"/>
    <n v="10"/>
    <x v="1"/>
    <s v="Medical"/>
    <s v="High"/>
    <x v="1"/>
    <s v="High"/>
    <x v="1"/>
    <x v="2"/>
    <s v="Married"/>
    <n v="2684"/>
    <n v="0"/>
    <x v="1"/>
    <n v="17"/>
    <s v="Excellent"/>
    <s v="Medium"/>
    <n v="0"/>
    <x v="2"/>
    <x v="0"/>
    <x v="1"/>
  </r>
  <r>
    <n v="1007"/>
    <n v="46"/>
    <x v="1"/>
    <x v="0"/>
    <x v="1"/>
    <n v="7"/>
    <x v="0"/>
    <s v="Medical"/>
    <s v="Very high"/>
    <x v="1"/>
    <s v="High"/>
    <x v="3"/>
    <x v="2"/>
    <s v="Divorced"/>
    <n v="10845"/>
    <n v="6"/>
    <x v="1"/>
    <n v="13"/>
    <s v="Excellent"/>
    <s v="Medium"/>
    <n v="3"/>
    <x v="1"/>
    <x v="1"/>
    <x v="3"/>
  </r>
  <r>
    <n v="1009"/>
    <n v="24"/>
    <x v="1"/>
    <x v="0"/>
    <x v="1"/>
    <n v="17"/>
    <x v="1"/>
    <s v="Medical"/>
    <s v="Very high"/>
    <x v="0"/>
    <s v="Medium"/>
    <x v="3"/>
    <x v="2"/>
    <s v="Divorced"/>
    <n v="4377"/>
    <n v="1"/>
    <x v="1"/>
    <n v="15"/>
    <s v="Excellent"/>
    <s v="Medium"/>
    <n v="6"/>
    <x v="1"/>
    <x v="4"/>
    <x v="2"/>
  </r>
  <r>
    <n v="1010"/>
    <n v="35"/>
    <x v="0"/>
    <x v="0"/>
    <x v="1"/>
    <n v="14"/>
    <x v="2"/>
    <s v="Other"/>
    <s v="High"/>
    <x v="1"/>
    <s v="Medium"/>
    <x v="2"/>
    <x v="1"/>
    <s v="Divorced"/>
    <n v="3743"/>
    <n v="1"/>
    <x v="0"/>
    <n v="24"/>
    <s v="Outstanding"/>
    <s v="Very high"/>
    <n v="2"/>
    <x v="0"/>
    <x v="0"/>
    <x v="2"/>
  </r>
  <r>
    <n v="1011"/>
    <n v="31"/>
    <x v="1"/>
    <x v="1"/>
    <x v="1"/>
    <n v="1"/>
    <x v="1"/>
    <s v="Life Sciences"/>
    <s v="High"/>
    <x v="0"/>
    <s v="High"/>
    <x v="3"/>
    <x v="3"/>
    <s v="Married"/>
    <n v="4148"/>
    <n v="1"/>
    <x v="1"/>
    <n v="12"/>
    <s v="Excellent"/>
    <s v="High"/>
    <n v="1"/>
    <x v="1"/>
    <x v="2"/>
    <x v="2"/>
  </r>
  <r>
    <n v="1012"/>
    <n v="18"/>
    <x v="1"/>
    <x v="2"/>
    <x v="1"/>
    <n v="5"/>
    <x v="0"/>
    <s v="Life Sciences"/>
    <s v="Medium"/>
    <x v="1"/>
    <s v="High"/>
    <x v="1"/>
    <x v="0"/>
    <s v="Single"/>
    <n v="1051"/>
    <n v="1"/>
    <x v="1"/>
    <n v="15"/>
    <s v="Excellent"/>
    <s v="Very high"/>
    <n v="2"/>
    <x v="1"/>
    <x v="4"/>
    <x v="1"/>
  </r>
  <r>
    <n v="1013"/>
    <n v="54"/>
    <x v="1"/>
    <x v="0"/>
    <x v="1"/>
    <n v="17"/>
    <x v="3"/>
    <s v="Technical Degree"/>
    <s v="High"/>
    <x v="0"/>
    <s v="High"/>
    <x v="3"/>
    <x v="2"/>
    <s v="Married"/>
    <n v="10739"/>
    <n v="8"/>
    <x v="1"/>
    <n v="11"/>
    <s v="Excellent"/>
    <s v="High"/>
    <n v="2"/>
    <x v="1"/>
    <x v="1"/>
    <x v="3"/>
  </r>
  <r>
    <n v="1014"/>
    <n v="35"/>
    <x v="1"/>
    <x v="0"/>
    <x v="1"/>
    <n v="25"/>
    <x v="2"/>
    <s v="Medical"/>
    <s v="High"/>
    <x v="0"/>
    <s v="High"/>
    <x v="4"/>
    <x v="2"/>
    <s v="Divorced"/>
    <n v="10388"/>
    <n v="1"/>
    <x v="0"/>
    <n v="11"/>
    <s v="Excellent"/>
    <s v="High"/>
    <n v="3"/>
    <x v="2"/>
    <x v="0"/>
    <x v="3"/>
  </r>
  <r>
    <n v="1015"/>
    <n v="30"/>
    <x v="1"/>
    <x v="0"/>
    <x v="1"/>
    <n v="8"/>
    <x v="0"/>
    <s v="Life Sciences"/>
    <s v="Medium"/>
    <x v="0"/>
    <s v="Very high"/>
    <x v="7"/>
    <x v="3"/>
    <s v="Married"/>
    <n v="11416"/>
    <n v="0"/>
    <x v="0"/>
    <n v="12"/>
    <s v="Excellent"/>
    <s v="High"/>
    <n v="4"/>
    <x v="2"/>
    <x v="2"/>
    <x v="3"/>
  </r>
  <r>
    <n v="1016"/>
    <n v="20"/>
    <x v="0"/>
    <x v="0"/>
    <x v="1"/>
    <n v="11"/>
    <x v="3"/>
    <s v="Medical"/>
    <s v="Very high"/>
    <x v="0"/>
    <s v="Medium"/>
    <x v="1"/>
    <x v="3"/>
    <s v="Single"/>
    <n v="2600"/>
    <n v="1"/>
    <x v="0"/>
    <n v="15"/>
    <s v="Excellent"/>
    <s v="Low"/>
    <n v="2"/>
    <x v="1"/>
    <x v="4"/>
    <x v="1"/>
  </r>
  <r>
    <n v="1017"/>
    <n v="30"/>
    <x v="0"/>
    <x v="1"/>
    <x v="1"/>
    <n v="5"/>
    <x v="3"/>
    <s v="Medical"/>
    <s v="Medium"/>
    <x v="0"/>
    <s v="High"/>
    <x v="2"/>
    <x v="1"/>
    <s v="Single"/>
    <n v="2422"/>
    <n v="0"/>
    <x v="1"/>
    <n v="17"/>
    <s v="Excellent"/>
    <s v="Low"/>
    <n v="3"/>
    <x v="1"/>
    <x v="2"/>
    <x v="1"/>
  </r>
  <r>
    <n v="1018"/>
    <n v="26"/>
    <x v="1"/>
    <x v="0"/>
    <x v="1"/>
    <n v="2"/>
    <x v="0"/>
    <s v="Medical"/>
    <s v="Very high"/>
    <x v="1"/>
    <s v="Very high"/>
    <x v="3"/>
    <x v="0"/>
    <s v="Married"/>
    <n v="5472"/>
    <n v="1"/>
    <x v="1"/>
    <n v="12"/>
    <s v="Excellent"/>
    <s v="Medium"/>
    <n v="2"/>
    <x v="1"/>
    <x v="2"/>
    <x v="0"/>
  </r>
  <r>
    <n v="1019"/>
    <n v="22"/>
    <x v="1"/>
    <x v="0"/>
    <x v="1"/>
    <n v="8"/>
    <x v="1"/>
    <s v="Life Sciences"/>
    <s v="Medium"/>
    <x v="1"/>
    <s v="Low"/>
    <x v="2"/>
    <x v="3"/>
    <s v="Married"/>
    <n v="2451"/>
    <n v="1"/>
    <x v="1"/>
    <n v="15"/>
    <s v="Excellent"/>
    <s v="Low"/>
    <n v="3"/>
    <x v="2"/>
    <x v="4"/>
    <x v="1"/>
  </r>
  <r>
    <n v="1022"/>
    <n v="48"/>
    <x v="1"/>
    <x v="0"/>
    <x v="1"/>
    <n v="6"/>
    <x v="3"/>
    <s v="Life Sciences"/>
    <s v="Low"/>
    <x v="1"/>
    <s v="Medium"/>
    <x v="4"/>
    <x v="2"/>
    <s v="Single"/>
    <n v="4240"/>
    <n v="2"/>
    <x v="1"/>
    <n v="13"/>
    <s v="Excellent"/>
    <s v="Very high"/>
    <n v="0"/>
    <x v="1"/>
    <x v="1"/>
    <x v="2"/>
  </r>
  <r>
    <n v="1024"/>
    <n v="48"/>
    <x v="1"/>
    <x v="0"/>
    <x v="1"/>
    <n v="4"/>
    <x v="2"/>
    <s v="Life Sciences"/>
    <s v="High"/>
    <x v="1"/>
    <s v="Medium"/>
    <x v="4"/>
    <x v="2"/>
    <s v="Single"/>
    <n v="10999"/>
    <n v="7"/>
    <x v="1"/>
    <n v="14"/>
    <s v="Excellent"/>
    <s v="Medium"/>
    <n v="3"/>
    <x v="1"/>
    <x v="1"/>
    <x v="3"/>
  </r>
  <r>
    <n v="1025"/>
    <n v="41"/>
    <x v="1"/>
    <x v="0"/>
    <x v="1"/>
    <n v="7"/>
    <x v="0"/>
    <s v="Medical"/>
    <s v="Very high"/>
    <x v="0"/>
    <s v="High"/>
    <x v="3"/>
    <x v="2"/>
    <s v="Single"/>
    <n v="5003"/>
    <n v="6"/>
    <x v="1"/>
    <n v="14"/>
    <s v="Excellent"/>
    <s v="Medium"/>
    <n v="6"/>
    <x v="1"/>
    <x v="0"/>
    <x v="0"/>
  </r>
  <r>
    <n v="1026"/>
    <n v="39"/>
    <x v="1"/>
    <x v="0"/>
    <x v="1"/>
    <n v="1"/>
    <x v="1"/>
    <s v="Life Sciences"/>
    <s v="Very high"/>
    <x v="0"/>
    <s v="Medium"/>
    <x v="3"/>
    <x v="0"/>
    <s v="Married"/>
    <n v="12742"/>
    <n v="1"/>
    <x v="1"/>
    <n v="16"/>
    <s v="Excellent"/>
    <s v="High"/>
    <n v="3"/>
    <x v="1"/>
    <x v="0"/>
    <x v="3"/>
  </r>
  <r>
    <n v="1027"/>
    <n v="27"/>
    <x v="1"/>
    <x v="0"/>
    <x v="1"/>
    <n v="2"/>
    <x v="2"/>
    <s v="Life Sciences"/>
    <s v="Low"/>
    <x v="0"/>
    <s v="High"/>
    <x v="3"/>
    <x v="0"/>
    <s v="Married"/>
    <n v="4227"/>
    <n v="0"/>
    <x v="1"/>
    <n v="18"/>
    <s v="Excellent"/>
    <s v="Medium"/>
    <n v="2"/>
    <x v="1"/>
    <x v="2"/>
    <x v="2"/>
  </r>
  <r>
    <n v="1028"/>
    <n v="35"/>
    <x v="1"/>
    <x v="0"/>
    <x v="1"/>
    <n v="10"/>
    <x v="3"/>
    <s v="Other"/>
    <s v="Medium"/>
    <x v="1"/>
    <s v="High"/>
    <x v="2"/>
    <x v="0"/>
    <s v="Divorced"/>
    <n v="3917"/>
    <n v="1"/>
    <x v="1"/>
    <n v="20"/>
    <s v="Outstanding"/>
    <s v="Low"/>
    <n v="4"/>
    <x v="2"/>
    <x v="0"/>
    <x v="2"/>
  </r>
  <r>
    <n v="1029"/>
    <n v="42"/>
    <x v="1"/>
    <x v="0"/>
    <x v="0"/>
    <n v="5"/>
    <x v="0"/>
    <s v="Marketing"/>
    <s v="Very high"/>
    <x v="1"/>
    <s v="High"/>
    <x v="5"/>
    <x v="2"/>
    <s v="Married"/>
    <n v="18303"/>
    <n v="6"/>
    <x v="1"/>
    <n v="13"/>
    <s v="Excellent"/>
    <s v="Medium"/>
    <n v="3"/>
    <x v="3"/>
    <x v="0"/>
    <x v="3"/>
  </r>
  <r>
    <n v="1030"/>
    <n v="50"/>
    <x v="1"/>
    <x v="0"/>
    <x v="1"/>
    <n v="9"/>
    <x v="3"/>
    <s v="Life Sciences"/>
    <s v="Low"/>
    <x v="1"/>
    <s v="High"/>
    <x v="2"/>
    <x v="0"/>
    <s v="Married"/>
    <n v="2380"/>
    <n v="4"/>
    <x v="1"/>
    <n v="18"/>
    <s v="Excellent"/>
    <s v="Medium"/>
    <n v="5"/>
    <x v="1"/>
    <x v="1"/>
    <x v="1"/>
  </r>
  <r>
    <n v="1032"/>
    <n v="59"/>
    <x v="1"/>
    <x v="0"/>
    <x v="1"/>
    <n v="2"/>
    <x v="3"/>
    <s v="Life Sciences"/>
    <s v="High"/>
    <x v="0"/>
    <s v="Medium"/>
    <x v="3"/>
    <x v="0"/>
    <s v="Single"/>
    <n v="13726"/>
    <n v="3"/>
    <x v="0"/>
    <n v="13"/>
    <s v="Excellent"/>
    <s v="Low"/>
    <n v="4"/>
    <x v="1"/>
    <x v="3"/>
    <x v="3"/>
  </r>
  <r>
    <n v="1033"/>
    <n v="37"/>
    <x v="0"/>
    <x v="0"/>
    <x v="1"/>
    <n v="11"/>
    <x v="0"/>
    <s v="Medical"/>
    <s v="Low"/>
    <x v="0"/>
    <s v="Low"/>
    <x v="4"/>
    <x v="1"/>
    <s v="Married"/>
    <n v="4777"/>
    <n v="5"/>
    <x v="1"/>
    <n v="15"/>
    <s v="Excellent"/>
    <s v="Low"/>
    <n v="2"/>
    <x v="0"/>
    <x v="0"/>
    <x v="2"/>
  </r>
  <r>
    <n v="1034"/>
    <n v="55"/>
    <x v="1"/>
    <x v="1"/>
    <x v="1"/>
    <n v="18"/>
    <x v="2"/>
    <s v="Medical"/>
    <s v="High"/>
    <x v="1"/>
    <s v="High"/>
    <x v="4"/>
    <x v="1"/>
    <s v="Married"/>
    <n v="6385"/>
    <n v="3"/>
    <x v="0"/>
    <n v="14"/>
    <s v="Excellent"/>
    <s v="Very high"/>
    <n v="3"/>
    <x v="1"/>
    <x v="3"/>
    <x v="0"/>
  </r>
  <r>
    <n v="1035"/>
    <n v="41"/>
    <x v="1"/>
    <x v="2"/>
    <x v="1"/>
    <n v="7"/>
    <x v="1"/>
    <s v="Life Sciences"/>
    <s v="Medium"/>
    <x v="0"/>
    <s v="Low"/>
    <x v="7"/>
    <x v="2"/>
    <s v="Divorced"/>
    <n v="19973"/>
    <n v="1"/>
    <x v="1"/>
    <n v="22"/>
    <s v="Outstanding"/>
    <s v="Medium"/>
    <n v="3"/>
    <x v="1"/>
    <x v="0"/>
    <x v="3"/>
  </r>
  <r>
    <n v="1036"/>
    <n v="38"/>
    <x v="1"/>
    <x v="0"/>
    <x v="0"/>
    <n v="3"/>
    <x v="2"/>
    <s v="Life Sciences"/>
    <s v="Medium"/>
    <x v="1"/>
    <s v="High"/>
    <x v="0"/>
    <x v="0"/>
    <s v="Single"/>
    <n v="6861"/>
    <n v="8"/>
    <x v="0"/>
    <n v="12"/>
    <s v="Excellent"/>
    <s v="High"/>
    <n v="1"/>
    <x v="1"/>
    <x v="0"/>
    <x v="0"/>
  </r>
  <r>
    <n v="1037"/>
    <n v="26"/>
    <x v="0"/>
    <x v="2"/>
    <x v="0"/>
    <n v="29"/>
    <x v="0"/>
    <s v="Medical"/>
    <s v="Medium"/>
    <x v="1"/>
    <s v="Low"/>
    <x v="0"/>
    <x v="3"/>
    <s v="Single"/>
    <n v="4969"/>
    <n v="8"/>
    <x v="1"/>
    <n v="18"/>
    <s v="Excellent"/>
    <s v="Very high"/>
    <n v="6"/>
    <x v="1"/>
    <x v="2"/>
    <x v="2"/>
  </r>
  <r>
    <n v="1038"/>
    <n v="52"/>
    <x v="0"/>
    <x v="0"/>
    <x v="0"/>
    <n v="2"/>
    <x v="1"/>
    <s v="Marketing"/>
    <s v="Low"/>
    <x v="0"/>
    <s v="Low"/>
    <x v="5"/>
    <x v="0"/>
    <s v="Married"/>
    <n v="19845"/>
    <n v="1"/>
    <x v="1"/>
    <n v="15"/>
    <s v="Excellent"/>
    <s v="Very high"/>
    <n v="3"/>
    <x v="1"/>
    <x v="1"/>
    <x v="3"/>
  </r>
  <r>
    <n v="1039"/>
    <n v="44"/>
    <x v="1"/>
    <x v="0"/>
    <x v="0"/>
    <n v="28"/>
    <x v="3"/>
    <s v="Medical"/>
    <s v="Very high"/>
    <x v="0"/>
    <s v="Very high"/>
    <x v="0"/>
    <x v="0"/>
    <s v="Married"/>
    <n v="13320"/>
    <n v="3"/>
    <x v="0"/>
    <n v="18"/>
    <s v="Excellent"/>
    <s v="High"/>
    <n v="2"/>
    <x v="1"/>
    <x v="0"/>
    <x v="3"/>
  </r>
  <r>
    <n v="1040"/>
    <n v="50"/>
    <x v="1"/>
    <x v="2"/>
    <x v="0"/>
    <n v="1"/>
    <x v="3"/>
    <s v="Life Sciences"/>
    <s v="Very high"/>
    <x v="0"/>
    <s v="High"/>
    <x v="0"/>
    <x v="2"/>
    <s v="Married"/>
    <n v="6347"/>
    <n v="0"/>
    <x v="1"/>
    <n v="12"/>
    <s v="Excellent"/>
    <s v="Low"/>
    <n v="3"/>
    <x v="1"/>
    <x v="1"/>
    <x v="0"/>
  </r>
  <r>
    <n v="1042"/>
    <n v="36"/>
    <x v="0"/>
    <x v="0"/>
    <x v="1"/>
    <n v="16"/>
    <x v="2"/>
    <s v="Life Sciences"/>
    <s v="High"/>
    <x v="0"/>
    <s v="Very high"/>
    <x v="2"/>
    <x v="3"/>
    <s v="Single"/>
    <n v="2743"/>
    <n v="1"/>
    <x v="1"/>
    <n v="16"/>
    <s v="Excellent"/>
    <s v="High"/>
    <n v="1"/>
    <x v="1"/>
    <x v="0"/>
    <x v="1"/>
  </r>
  <r>
    <n v="1043"/>
    <n v="39"/>
    <x v="1"/>
    <x v="1"/>
    <x v="1"/>
    <n v="22"/>
    <x v="3"/>
    <s v="Medical"/>
    <s v="Very high"/>
    <x v="0"/>
    <s v="High"/>
    <x v="3"/>
    <x v="3"/>
    <s v="Single"/>
    <n v="10880"/>
    <n v="1"/>
    <x v="0"/>
    <n v="13"/>
    <s v="Excellent"/>
    <s v="High"/>
    <n v="2"/>
    <x v="1"/>
    <x v="0"/>
    <x v="3"/>
  </r>
  <r>
    <n v="1044"/>
    <n v="33"/>
    <x v="1"/>
    <x v="2"/>
    <x v="0"/>
    <n v="8"/>
    <x v="1"/>
    <s v="Life Sciences"/>
    <s v="Medium"/>
    <x v="0"/>
    <s v="Medium"/>
    <x v="6"/>
    <x v="0"/>
    <s v="Single"/>
    <n v="2342"/>
    <n v="0"/>
    <x v="1"/>
    <n v="19"/>
    <s v="Excellent"/>
    <s v="Very high"/>
    <n v="2"/>
    <x v="2"/>
    <x v="2"/>
    <x v="1"/>
  </r>
  <r>
    <n v="1045"/>
    <n v="45"/>
    <x v="1"/>
    <x v="0"/>
    <x v="0"/>
    <n v="11"/>
    <x v="0"/>
    <s v="Life Sciences"/>
    <s v="Very high"/>
    <x v="0"/>
    <s v="High"/>
    <x v="5"/>
    <x v="0"/>
    <s v="Married"/>
    <n v="17650"/>
    <n v="3"/>
    <x v="1"/>
    <n v="13"/>
    <s v="Excellent"/>
    <s v="Medium"/>
    <n v="4"/>
    <x v="3"/>
    <x v="1"/>
    <x v="3"/>
  </r>
  <r>
    <n v="1046"/>
    <n v="32"/>
    <x v="1"/>
    <x v="2"/>
    <x v="1"/>
    <n v="29"/>
    <x v="2"/>
    <s v="Medical"/>
    <s v="Very high"/>
    <x v="0"/>
    <s v="High"/>
    <x v="2"/>
    <x v="2"/>
    <s v="Single"/>
    <n v="4025"/>
    <n v="9"/>
    <x v="1"/>
    <n v="12"/>
    <s v="Excellent"/>
    <s v="Medium"/>
    <n v="2"/>
    <x v="1"/>
    <x v="2"/>
    <x v="2"/>
  </r>
  <r>
    <n v="1047"/>
    <n v="34"/>
    <x v="1"/>
    <x v="0"/>
    <x v="0"/>
    <n v="1"/>
    <x v="2"/>
    <s v="Marketing"/>
    <s v="Medium"/>
    <x v="1"/>
    <s v="Very high"/>
    <x v="0"/>
    <x v="0"/>
    <s v="Divorced"/>
    <n v="9725"/>
    <n v="0"/>
    <x v="1"/>
    <n v="11"/>
    <s v="Excellent"/>
    <s v="Very high"/>
    <n v="2"/>
    <x v="2"/>
    <x v="2"/>
    <x v="3"/>
  </r>
  <r>
    <n v="1048"/>
    <n v="59"/>
    <x v="1"/>
    <x v="0"/>
    <x v="0"/>
    <n v="1"/>
    <x v="0"/>
    <s v="Technical Degree"/>
    <s v="Medium"/>
    <x v="1"/>
    <s v="High"/>
    <x v="5"/>
    <x v="0"/>
    <s v="Married"/>
    <n v="11904"/>
    <n v="3"/>
    <x v="0"/>
    <n v="14"/>
    <s v="Excellent"/>
    <s v="High"/>
    <n v="1"/>
    <x v="0"/>
    <x v="3"/>
    <x v="3"/>
  </r>
  <r>
    <n v="1049"/>
    <n v="45"/>
    <x v="1"/>
    <x v="0"/>
    <x v="2"/>
    <n v="24"/>
    <x v="2"/>
    <s v="Medical"/>
    <s v="Medium"/>
    <x v="1"/>
    <s v="High"/>
    <x v="8"/>
    <x v="1"/>
    <s v="Single"/>
    <n v="2177"/>
    <n v="1"/>
    <x v="1"/>
    <n v="16"/>
    <s v="Excellent"/>
    <s v="Low"/>
    <n v="3"/>
    <x v="1"/>
    <x v="1"/>
    <x v="1"/>
  </r>
  <r>
    <n v="1050"/>
    <n v="53"/>
    <x v="1"/>
    <x v="1"/>
    <x v="0"/>
    <n v="2"/>
    <x v="3"/>
    <s v="Marketing"/>
    <s v="High"/>
    <x v="0"/>
    <s v="Medium"/>
    <x v="0"/>
    <x v="1"/>
    <s v="Married"/>
    <n v="7525"/>
    <n v="2"/>
    <x v="1"/>
    <n v="12"/>
    <s v="Excellent"/>
    <s v="Low"/>
    <n v="2"/>
    <x v="1"/>
    <x v="1"/>
    <x v="0"/>
  </r>
  <r>
    <n v="1052"/>
    <n v="36"/>
    <x v="0"/>
    <x v="0"/>
    <x v="1"/>
    <n v="15"/>
    <x v="3"/>
    <s v="Other"/>
    <s v="Low"/>
    <x v="1"/>
    <s v="High"/>
    <x v="2"/>
    <x v="2"/>
    <s v="Divorced"/>
    <n v="4834"/>
    <n v="7"/>
    <x v="1"/>
    <n v="14"/>
    <s v="Excellent"/>
    <s v="Medium"/>
    <n v="3"/>
    <x v="2"/>
    <x v="0"/>
    <x v="2"/>
  </r>
  <r>
    <n v="1053"/>
    <n v="26"/>
    <x v="0"/>
    <x v="1"/>
    <x v="1"/>
    <n v="2"/>
    <x v="3"/>
    <s v="Life Sciences"/>
    <s v="Low"/>
    <x v="1"/>
    <s v="High"/>
    <x v="1"/>
    <x v="3"/>
    <s v="Married"/>
    <n v="2042"/>
    <n v="6"/>
    <x v="0"/>
    <n v="14"/>
    <s v="Excellent"/>
    <s v="Medium"/>
    <n v="2"/>
    <x v="1"/>
    <x v="2"/>
    <x v="1"/>
  </r>
  <r>
    <n v="1055"/>
    <n v="34"/>
    <x v="1"/>
    <x v="0"/>
    <x v="0"/>
    <n v="10"/>
    <x v="2"/>
    <s v="Life Sciences"/>
    <s v="High"/>
    <x v="0"/>
    <s v="High"/>
    <x v="6"/>
    <x v="2"/>
    <s v="Married"/>
    <n v="2220"/>
    <n v="1"/>
    <x v="0"/>
    <n v="19"/>
    <s v="Excellent"/>
    <s v="Very high"/>
    <n v="2"/>
    <x v="1"/>
    <x v="2"/>
    <x v="1"/>
  </r>
  <r>
    <n v="1056"/>
    <n v="28"/>
    <x v="1"/>
    <x v="0"/>
    <x v="0"/>
    <n v="10"/>
    <x v="1"/>
    <s v="Medical"/>
    <s v="Very high"/>
    <x v="1"/>
    <s v="High"/>
    <x v="6"/>
    <x v="1"/>
    <s v="Married"/>
    <n v="1052"/>
    <n v="1"/>
    <x v="1"/>
    <n v="22"/>
    <s v="Outstanding"/>
    <s v="Medium"/>
    <n v="5"/>
    <x v="1"/>
    <x v="2"/>
    <x v="1"/>
  </r>
  <r>
    <n v="1060"/>
    <n v="38"/>
    <x v="1"/>
    <x v="1"/>
    <x v="1"/>
    <n v="3"/>
    <x v="2"/>
    <s v="Other"/>
    <s v="High"/>
    <x v="1"/>
    <s v="High"/>
    <x v="1"/>
    <x v="2"/>
    <s v="Married"/>
    <n v="2821"/>
    <n v="3"/>
    <x v="1"/>
    <n v="16"/>
    <s v="Excellent"/>
    <s v="Low"/>
    <n v="2"/>
    <x v="1"/>
    <x v="0"/>
    <x v="1"/>
  </r>
  <r>
    <n v="1061"/>
    <n v="50"/>
    <x v="1"/>
    <x v="0"/>
    <x v="1"/>
    <n v="2"/>
    <x v="2"/>
    <s v="Medical"/>
    <s v="Medium"/>
    <x v="1"/>
    <s v="High"/>
    <x v="7"/>
    <x v="2"/>
    <s v="Married"/>
    <n v="19237"/>
    <n v="2"/>
    <x v="0"/>
    <n v="11"/>
    <s v="Excellent"/>
    <s v="Very high"/>
    <n v="2"/>
    <x v="2"/>
    <x v="1"/>
    <x v="3"/>
  </r>
  <r>
    <n v="1062"/>
    <n v="37"/>
    <x v="1"/>
    <x v="0"/>
    <x v="1"/>
    <n v="3"/>
    <x v="3"/>
    <s v="Other"/>
    <s v="Very high"/>
    <x v="0"/>
    <s v="High"/>
    <x v="4"/>
    <x v="1"/>
    <s v="Single"/>
    <n v="4107"/>
    <n v="3"/>
    <x v="1"/>
    <n v="15"/>
    <s v="Excellent"/>
    <s v="Low"/>
    <n v="3"/>
    <x v="2"/>
    <x v="0"/>
    <x v="2"/>
  </r>
  <r>
    <n v="1066"/>
    <n v="40"/>
    <x v="1"/>
    <x v="0"/>
    <x v="0"/>
    <n v="26"/>
    <x v="3"/>
    <s v="Marketing"/>
    <s v="High"/>
    <x v="1"/>
    <s v="High"/>
    <x v="0"/>
    <x v="3"/>
    <s v="Married"/>
    <n v="8396"/>
    <n v="1"/>
    <x v="1"/>
    <n v="14"/>
    <s v="Excellent"/>
    <s v="Medium"/>
    <n v="3"/>
    <x v="2"/>
    <x v="0"/>
    <x v="3"/>
  </r>
  <r>
    <n v="1068"/>
    <n v="26"/>
    <x v="1"/>
    <x v="1"/>
    <x v="1"/>
    <n v="1"/>
    <x v="1"/>
    <s v="Medical"/>
    <s v="Low"/>
    <x v="0"/>
    <s v="Medium"/>
    <x v="1"/>
    <x v="2"/>
    <s v="Divorced"/>
    <n v="2007"/>
    <n v="1"/>
    <x v="1"/>
    <n v="13"/>
    <s v="Excellent"/>
    <s v="High"/>
    <n v="5"/>
    <x v="1"/>
    <x v="2"/>
    <x v="1"/>
  </r>
  <r>
    <n v="1069"/>
    <n v="46"/>
    <x v="1"/>
    <x v="0"/>
    <x v="1"/>
    <n v="1"/>
    <x v="2"/>
    <s v="Medical"/>
    <s v="Very high"/>
    <x v="1"/>
    <s v="High"/>
    <x v="7"/>
    <x v="0"/>
    <s v="Divorced"/>
    <n v="19627"/>
    <n v="9"/>
    <x v="1"/>
    <n v="17"/>
    <s v="Excellent"/>
    <s v="Very high"/>
    <n v="0"/>
    <x v="1"/>
    <x v="1"/>
    <x v="3"/>
  </r>
  <r>
    <n v="1070"/>
    <n v="54"/>
    <x v="1"/>
    <x v="0"/>
    <x v="0"/>
    <n v="2"/>
    <x v="2"/>
    <s v="Life Sciences"/>
    <s v="High"/>
    <x v="0"/>
    <s v="Medium"/>
    <x v="0"/>
    <x v="2"/>
    <s v="Married"/>
    <n v="10686"/>
    <n v="6"/>
    <x v="1"/>
    <n v="11"/>
    <s v="Excellent"/>
    <s v="Medium"/>
    <n v="4"/>
    <x v="1"/>
    <x v="1"/>
    <x v="3"/>
  </r>
  <r>
    <n v="1071"/>
    <n v="56"/>
    <x v="1"/>
    <x v="1"/>
    <x v="1"/>
    <n v="9"/>
    <x v="3"/>
    <s v="Medical"/>
    <s v="Low"/>
    <x v="0"/>
    <s v="High"/>
    <x v="1"/>
    <x v="2"/>
    <s v="Married"/>
    <n v="2942"/>
    <n v="2"/>
    <x v="1"/>
    <n v="19"/>
    <s v="Excellent"/>
    <s v="Medium"/>
    <n v="4"/>
    <x v="1"/>
    <x v="3"/>
    <x v="1"/>
  </r>
  <r>
    <n v="1073"/>
    <n v="36"/>
    <x v="1"/>
    <x v="0"/>
    <x v="1"/>
    <n v="12"/>
    <x v="4"/>
    <s v="Medical"/>
    <s v="Very high"/>
    <x v="0"/>
    <s v="Medium"/>
    <x v="3"/>
    <x v="0"/>
    <s v="Single"/>
    <n v="8858"/>
    <n v="0"/>
    <x v="1"/>
    <n v="11"/>
    <s v="Excellent"/>
    <s v="Medium"/>
    <n v="2"/>
    <x v="2"/>
    <x v="0"/>
    <x v="3"/>
  </r>
  <r>
    <n v="1074"/>
    <n v="55"/>
    <x v="1"/>
    <x v="2"/>
    <x v="1"/>
    <n v="2"/>
    <x v="1"/>
    <s v="Medical"/>
    <s v="High"/>
    <x v="1"/>
    <s v="Medium"/>
    <x v="5"/>
    <x v="3"/>
    <s v="Single"/>
    <n v="16756"/>
    <n v="7"/>
    <x v="1"/>
    <n v="15"/>
    <s v="Excellent"/>
    <s v="Medium"/>
    <n v="3"/>
    <x v="3"/>
    <x v="3"/>
    <x v="3"/>
  </r>
  <r>
    <n v="1076"/>
    <n v="43"/>
    <x v="1"/>
    <x v="0"/>
    <x v="0"/>
    <n v="25"/>
    <x v="3"/>
    <s v="Medical"/>
    <s v="High"/>
    <x v="1"/>
    <s v="Medium"/>
    <x v="0"/>
    <x v="0"/>
    <s v="Divorced"/>
    <n v="10798"/>
    <n v="5"/>
    <x v="1"/>
    <n v="13"/>
    <s v="Excellent"/>
    <s v="High"/>
    <n v="5"/>
    <x v="1"/>
    <x v="0"/>
    <x v="3"/>
  </r>
  <r>
    <n v="1077"/>
    <n v="20"/>
    <x v="0"/>
    <x v="1"/>
    <x v="0"/>
    <n v="9"/>
    <x v="3"/>
    <s v="Marketing"/>
    <s v="Very high"/>
    <x v="0"/>
    <s v="High"/>
    <x v="6"/>
    <x v="0"/>
    <s v="Single"/>
    <n v="2323"/>
    <n v="1"/>
    <x v="0"/>
    <n v="14"/>
    <s v="Excellent"/>
    <s v="Medium"/>
    <n v="3"/>
    <x v="1"/>
    <x v="4"/>
    <x v="1"/>
  </r>
  <r>
    <n v="1079"/>
    <n v="21"/>
    <x v="0"/>
    <x v="0"/>
    <x v="1"/>
    <n v="10"/>
    <x v="3"/>
    <s v="Life Sciences"/>
    <s v="High"/>
    <x v="0"/>
    <s v="Medium"/>
    <x v="2"/>
    <x v="3"/>
    <s v="Single"/>
    <n v="1416"/>
    <n v="1"/>
    <x v="1"/>
    <n v="13"/>
    <s v="Excellent"/>
    <s v="Low"/>
    <n v="6"/>
    <x v="2"/>
    <x v="4"/>
    <x v="1"/>
  </r>
  <r>
    <n v="1080"/>
    <n v="46"/>
    <x v="1"/>
    <x v="0"/>
    <x v="1"/>
    <n v="8"/>
    <x v="2"/>
    <s v="Life Sciences"/>
    <s v="Very high"/>
    <x v="0"/>
    <s v="Medium"/>
    <x v="1"/>
    <x v="3"/>
    <s v="Divorced"/>
    <n v="4615"/>
    <n v="8"/>
    <x v="0"/>
    <n v="23"/>
    <s v="Outstanding"/>
    <s v="Low"/>
    <n v="2"/>
    <x v="1"/>
    <x v="1"/>
    <x v="2"/>
  </r>
  <r>
    <n v="1081"/>
    <n v="51"/>
    <x v="0"/>
    <x v="0"/>
    <x v="1"/>
    <n v="4"/>
    <x v="2"/>
    <s v="Life Sciences"/>
    <s v="Low"/>
    <x v="1"/>
    <s v="High"/>
    <x v="1"/>
    <x v="2"/>
    <s v="Married"/>
    <n v="2461"/>
    <n v="9"/>
    <x v="0"/>
    <n v="12"/>
    <s v="Excellent"/>
    <s v="High"/>
    <n v="2"/>
    <x v="3"/>
    <x v="1"/>
    <x v="1"/>
  </r>
  <r>
    <n v="1082"/>
    <n v="28"/>
    <x v="0"/>
    <x v="2"/>
    <x v="1"/>
    <n v="24"/>
    <x v="0"/>
    <s v="Technical Degree"/>
    <s v="Medium"/>
    <x v="1"/>
    <s v="Medium"/>
    <x v="4"/>
    <x v="3"/>
    <s v="Single"/>
    <n v="8722"/>
    <n v="1"/>
    <x v="1"/>
    <n v="12"/>
    <s v="Excellent"/>
    <s v="Low"/>
    <n v="2"/>
    <x v="2"/>
    <x v="2"/>
    <x v="3"/>
  </r>
  <r>
    <n v="1083"/>
    <n v="26"/>
    <x v="1"/>
    <x v="0"/>
    <x v="1"/>
    <n v="1"/>
    <x v="0"/>
    <s v="Medical"/>
    <s v="Low"/>
    <x v="1"/>
    <s v="Medium"/>
    <x v="2"/>
    <x v="3"/>
    <s v="Married"/>
    <n v="3955"/>
    <n v="1"/>
    <x v="1"/>
    <n v="16"/>
    <s v="Excellent"/>
    <s v="Low"/>
    <n v="2"/>
    <x v="1"/>
    <x v="2"/>
    <x v="2"/>
  </r>
  <r>
    <n v="1084"/>
    <n v="30"/>
    <x v="1"/>
    <x v="0"/>
    <x v="1"/>
    <n v="20"/>
    <x v="3"/>
    <s v="Other"/>
    <s v="High"/>
    <x v="1"/>
    <s v="High"/>
    <x v="3"/>
    <x v="3"/>
    <s v="Married"/>
    <n v="9957"/>
    <n v="0"/>
    <x v="1"/>
    <n v="15"/>
    <s v="Excellent"/>
    <s v="High"/>
    <n v="1"/>
    <x v="2"/>
    <x v="2"/>
    <x v="3"/>
  </r>
  <r>
    <n v="1085"/>
    <n v="41"/>
    <x v="1"/>
    <x v="0"/>
    <x v="1"/>
    <n v="7"/>
    <x v="0"/>
    <s v="Technical Degree"/>
    <s v="Medium"/>
    <x v="0"/>
    <s v="Very high"/>
    <x v="1"/>
    <x v="2"/>
    <s v="Married"/>
    <n v="3376"/>
    <n v="1"/>
    <x v="1"/>
    <n v="13"/>
    <s v="Excellent"/>
    <s v="High"/>
    <n v="3"/>
    <x v="1"/>
    <x v="0"/>
    <x v="2"/>
  </r>
  <r>
    <n v="1088"/>
    <n v="38"/>
    <x v="1"/>
    <x v="0"/>
    <x v="1"/>
    <n v="17"/>
    <x v="1"/>
    <s v="Life Sciences"/>
    <s v="High"/>
    <x v="0"/>
    <s v="Medium"/>
    <x v="4"/>
    <x v="2"/>
    <s v="Married"/>
    <n v="8823"/>
    <n v="0"/>
    <x v="1"/>
    <n v="18"/>
    <s v="Excellent"/>
    <s v="Low"/>
    <n v="4"/>
    <x v="2"/>
    <x v="0"/>
    <x v="3"/>
  </r>
  <r>
    <n v="1092"/>
    <n v="40"/>
    <x v="1"/>
    <x v="0"/>
    <x v="1"/>
    <n v="20"/>
    <x v="2"/>
    <s v="Technical Degree"/>
    <s v="Low"/>
    <x v="1"/>
    <s v="High"/>
    <x v="4"/>
    <x v="0"/>
    <s v="Married"/>
    <n v="10322"/>
    <n v="4"/>
    <x v="1"/>
    <n v="20"/>
    <s v="Outstanding"/>
    <s v="Very high"/>
    <n v="6"/>
    <x v="1"/>
    <x v="0"/>
    <x v="3"/>
  </r>
  <r>
    <n v="1094"/>
    <n v="27"/>
    <x v="1"/>
    <x v="2"/>
    <x v="1"/>
    <n v="8"/>
    <x v="4"/>
    <s v="Life Sciences"/>
    <s v="Low"/>
    <x v="1"/>
    <s v="Low"/>
    <x v="2"/>
    <x v="2"/>
    <s v="Married"/>
    <n v="4621"/>
    <n v="1"/>
    <x v="1"/>
    <n v="19"/>
    <s v="Excellent"/>
    <s v="Very high"/>
    <n v="4"/>
    <x v="1"/>
    <x v="2"/>
    <x v="2"/>
  </r>
  <r>
    <n v="1096"/>
    <n v="55"/>
    <x v="1"/>
    <x v="1"/>
    <x v="1"/>
    <n v="2"/>
    <x v="1"/>
    <s v="Life Sciences"/>
    <s v="Very high"/>
    <x v="1"/>
    <s v="High"/>
    <x v="3"/>
    <x v="1"/>
    <s v="Married"/>
    <n v="10976"/>
    <n v="3"/>
    <x v="1"/>
    <n v="18"/>
    <s v="Excellent"/>
    <s v="Medium"/>
    <n v="4"/>
    <x v="1"/>
    <x v="3"/>
    <x v="3"/>
  </r>
  <r>
    <n v="1097"/>
    <n v="28"/>
    <x v="1"/>
    <x v="0"/>
    <x v="1"/>
    <n v="10"/>
    <x v="3"/>
    <s v="Other"/>
    <s v="High"/>
    <x v="0"/>
    <s v="High"/>
    <x v="1"/>
    <x v="2"/>
    <s v="Single"/>
    <n v="3660"/>
    <n v="3"/>
    <x v="1"/>
    <n v="13"/>
    <s v="Excellent"/>
    <s v="Very high"/>
    <n v="4"/>
    <x v="3"/>
    <x v="2"/>
    <x v="2"/>
  </r>
  <r>
    <n v="1098"/>
    <n v="44"/>
    <x v="0"/>
    <x v="0"/>
    <x v="2"/>
    <n v="1"/>
    <x v="0"/>
    <s v="Medical"/>
    <s v="Medium"/>
    <x v="1"/>
    <s v="Medium"/>
    <x v="8"/>
    <x v="3"/>
    <s v="Married"/>
    <n v="10482"/>
    <n v="9"/>
    <x v="1"/>
    <n v="14"/>
    <s v="Excellent"/>
    <s v="Very high"/>
    <n v="1"/>
    <x v="1"/>
    <x v="0"/>
    <x v="3"/>
  </r>
  <r>
    <n v="1099"/>
    <n v="33"/>
    <x v="1"/>
    <x v="0"/>
    <x v="1"/>
    <n v="5"/>
    <x v="3"/>
    <s v="Life Sciences"/>
    <s v="Very high"/>
    <x v="1"/>
    <s v="Medium"/>
    <x v="4"/>
    <x v="0"/>
    <s v="Divorced"/>
    <n v="7119"/>
    <n v="4"/>
    <x v="1"/>
    <n v="15"/>
    <s v="Excellent"/>
    <s v="High"/>
    <n v="2"/>
    <x v="1"/>
    <x v="2"/>
    <x v="0"/>
  </r>
  <r>
    <n v="1100"/>
    <n v="35"/>
    <x v="0"/>
    <x v="0"/>
    <x v="0"/>
    <n v="4"/>
    <x v="3"/>
    <s v="Technical Degree"/>
    <s v="Very high"/>
    <x v="1"/>
    <s v="High"/>
    <x v="0"/>
    <x v="3"/>
    <s v="Single"/>
    <n v="9582"/>
    <n v="0"/>
    <x v="0"/>
    <n v="22"/>
    <s v="Outstanding"/>
    <s v="Low"/>
    <n v="2"/>
    <x v="1"/>
    <x v="0"/>
    <x v="3"/>
  </r>
  <r>
    <n v="1101"/>
    <n v="33"/>
    <x v="0"/>
    <x v="1"/>
    <x v="1"/>
    <n v="29"/>
    <x v="2"/>
    <s v="Medical"/>
    <s v="Low"/>
    <x v="0"/>
    <s v="Medium"/>
    <x v="1"/>
    <x v="2"/>
    <s v="Single"/>
    <n v="4508"/>
    <n v="1"/>
    <x v="1"/>
    <n v="22"/>
    <s v="Outstanding"/>
    <s v="Medium"/>
    <n v="4"/>
    <x v="1"/>
    <x v="2"/>
    <x v="2"/>
  </r>
  <r>
    <n v="1102"/>
    <n v="28"/>
    <x v="1"/>
    <x v="0"/>
    <x v="1"/>
    <n v="15"/>
    <x v="0"/>
    <s v="Life Sciences"/>
    <s v="Low"/>
    <x v="1"/>
    <s v="High"/>
    <x v="2"/>
    <x v="2"/>
    <s v="Divorced"/>
    <n v="2207"/>
    <n v="1"/>
    <x v="1"/>
    <n v="16"/>
    <s v="Excellent"/>
    <s v="Very high"/>
    <n v="5"/>
    <x v="2"/>
    <x v="2"/>
    <x v="1"/>
  </r>
  <r>
    <n v="1103"/>
    <n v="34"/>
    <x v="1"/>
    <x v="1"/>
    <x v="1"/>
    <n v="3"/>
    <x v="1"/>
    <s v="Life Sciences"/>
    <s v="Low"/>
    <x v="1"/>
    <s v="High"/>
    <x v="4"/>
    <x v="0"/>
    <s v="Single"/>
    <n v="7756"/>
    <n v="0"/>
    <x v="1"/>
    <n v="17"/>
    <s v="Excellent"/>
    <s v="High"/>
    <n v="1"/>
    <x v="2"/>
    <x v="2"/>
    <x v="0"/>
  </r>
  <r>
    <n v="1105"/>
    <n v="37"/>
    <x v="1"/>
    <x v="0"/>
    <x v="0"/>
    <n v="10"/>
    <x v="2"/>
    <s v="Life Sciences"/>
    <s v="Very high"/>
    <x v="0"/>
    <s v="Medium"/>
    <x v="0"/>
    <x v="0"/>
    <s v="Divorced"/>
    <n v="6694"/>
    <n v="2"/>
    <x v="0"/>
    <n v="14"/>
    <s v="Excellent"/>
    <s v="High"/>
    <n v="5"/>
    <x v="1"/>
    <x v="0"/>
    <x v="0"/>
  </r>
  <r>
    <n v="1106"/>
    <n v="25"/>
    <x v="0"/>
    <x v="0"/>
    <x v="1"/>
    <n v="4"/>
    <x v="1"/>
    <s v="Technical Degree"/>
    <s v="Very high"/>
    <x v="1"/>
    <s v="High"/>
    <x v="2"/>
    <x v="0"/>
    <s v="Married"/>
    <n v="3691"/>
    <n v="1"/>
    <x v="0"/>
    <n v="15"/>
    <s v="Excellent"/>
    <s v="Medium"/>
    <n v="3"/>
    <x v="3"/>
    <x v="2"/>
    <x v="2"/>
  </r>
  <r>
    <n v="1107"/>
    <n v="26"/>
    <x v="0"/>
    <x v="0"/>
    <x v="1"/>
    <n v="21"/>
    <x v="3"/>
    <s v="Medical"/>
    <s v="Low"/>
    <x v="1"/>
    <s v="High"/>
    <x v="2"/>
    <x v="2"/>
    <s v="Divorced"/>
    <n v="2377"/>
    <n v="1"/>
    <x v="1"/>
    <n v="20"/>
    <s v="Outstanding"/>
    <s v="High"/>
    <n v="0"/>
    <x v="2"/>
    <x v="2"/>
    <x v="1"/>
  </r>
  <r>
    <n v="1108"/>
    <n v="33"/>
    <x v="0"/>
    <x v="0"/>
    <x v="1"/>
    <n v="25"/>
    <x v="3"/>
    <s v="Medical"/>
    <s v="Low"/>
    <x v="1"/>
    <s v="Medium"/>
    <x v="1"/>
    <x v="1"/>
    <s v="Single"/>
    <n v="2313"/>
    <n v="4"/>
    <x v="0"/>
    <n v="20"/>
    <s v="Outstanding"/>
    <s v="Medium"/>
    <n v="0"/>
    <x v="1"/>
    <x v="2"/>
    <x v="1"/>
  </r>
  <r>
    <n v="1109"/>
    <n v="42"/>
    <x v="1"/>
    <x v="0"/>
    <x v="1"/>
    <n v="2"/>
    <x v="0"/>
    <s v="Medical"/>
    <s v="Very high"/>
    <x v="1"/>
    <s v="High"/>
    <x v="5"/>
    <x v="3"/>
    <s v="Married"/>
    <n v="17665"/>
    <n v="0"/>
    <x v="1"/>
    <n v="17"/>
    <s v="Excellent"/>
    <s v="Very high"/>
    <n v="3"/>
    <x v="1"/>
    <x v="0"/>
    <x v="3"/>
  </r>
  <r>
    <n v="1111"/>
    <n v="28"/>
    <x v="0"/>
    <x v="1"/>
    <x v="1"/>
    <n v="1"/>
    <x v="3"/>
    <s v="Medical"/>
    <s v="Low"/>
    <x v="1"/>
    <s v="Medium"/>
    <x v="2"/>
    <x v="1"/>
    <s v="Divorced"/>
    <n v="2596"/>
    <n v="1"/>
    <x v="1"/>
    <n v="15"/>
    <s v="Excellent"/>
    <s v="Low"/>
    <n v="2"/>
    <x v="1"/>
    <x v="2"/>
    <x v="1"/>
  </r>
  <r>
    <n v="1113"/>
    <n v="50"/>
    <x v="0"/>
    <x v="1"/>
    <x v="0"/>
    <n v="1"/>
    <x v="2"/>
    <s v="Other"/>
    <s v="Very high"/>
    <x v="1"/>
    <s v="High"/>
    <x v="0"/>
    <x v="2"/>
    <s v="Single"/>
    <n v="4728"/>
    <n v="3"/>
    <x v="0"/>
    <n v="14"/>
    <s v="Excellent"/>
    <s v="Very high"/>
    <n v="4"/>
    <x v="1"/>
    <x v="1"/>
    <x v="2"/>
  </r>
  <r>
    <n v="1114"/>
    <n v="33"/>
    <x v="1"/>
    <x v="1"/>
    <x v="0"/>
    <n v="7"/>
    <x v="3"/>
    <s v="Life Sciences"/>
    <s v="Very high"/>
    <x v="0"/>
    <s v="High"/>
    <x v="0"/>
    <x v="1"/>
    <s v="Married"/>
    <n v="4302"/>
    <n v="0"/>
    <x v="1"/>
    <n v="17"/>
    <s v="Excellent"/>
    <s v="High"/>
    <n v="3"/>
    <x v="1"/>
    <x v="2"/>
    <x v="2"/>
  </r>
  <r>
    <n v="1115"/>
    <n v="34"/>
    <x v="1"/>
    <x v="2"/>
    <x v="1"/>
    <n v="3"/>
    <x v="2"/>
    <s v="Life Sciences"/>
    <s v="High"/>
    <x v="1"/>
    <s v="Medium"/>
    <x v="1"/>
    <x v="0"/>
    <s v="Married"/>
    <n v="2979"/>
    <n v="3"/>
    <x v="1"/>
    <n v="17"/>
    <s v="Excellent"/>
    <s v="Very high"/>
    <n v="2"/>
    <x v="1"/>
    <x v="2"/>
    <x v="1"/>
  </r>
  <r>
    <n v="1116"/>
    <n v="48"/>
    <x v="1"/>
    <x v="2"/>
    <x v="1"/>
    <n v="1"/>
    <x v="2"/>
    <s v="Medical"/>
    <s v="Low"/>
    <x v="1"/>
    <s v="Very high"/>
    <x v="5"/>
    <x v="0"/>
    <s v="Single"/>
    <n v="16885"/>
    <n v="2"/>
    <x v="1"/>
    <n v="22"/>
    <s v="Outstanding"/>
    <s v="High"/>
    <n v="3"/>
    <x v="2"/>
    <x v="1"/>
    <x v="3"/>
  </r>
  <r>
    <n v="1117"/>
    <n v="45"/>
    <x v="1"/>
    <x v="2"/>
    <x v="0"/>
    <n v="9"/>
    <x v="2"/>
    <s v="Life Sciences"/>
    <s v="Medium"/>
    <x v="0"/>
    <s v="Medium"/>
    <x v="0"/>
    <x v="2"/>
    <s v="Married"/>
    <n v="5593"/>
    <n v="1"/>
    <x v="1"/>
    <n v="13"/>
    <s v="Excellent"/>
    <s v="Very high"/>
    <n v="2"/>
    <x v="1"/>
    <x v="1"/>
    <x v="0"/>
  </r>
  <r>
    <n v="1118"/>
    <n v="52"/>
    <x v="1"/>
    <x v="0"/>
    <x v="1"/>
    <n v="7"/>
    <x v="2"/>
    <s v="Life Sciences"/>
    <s v="Medium"/>
    <x v="1"/>
    <s v="High"/>
    <x v="4"/>
    <x v="1"/>
    <s v="Single"/>
    <n v="10445"/>
    <n v="7"/>
    <x v="1"/>
    <n v="19"/>
    <s v="Excellent"/>
    <s v="Very high"/>
    <n v="4"/>
    <x v="1"/>
    <x v="1"/>
    <x v="3"/>
  </r>
  <r>
    <n v="1119"/>
    <n v="38"/>
    <x v="1"/>
    <x v="0"/>
    <x v="0"/>
    <n v="10"/>
    <x v="2"/>
    <s v="Marketing"/>
    <s v="High"/>
    <x v="1"/>
    <s v="Medium"/>
    <x v="0"/>
    <x v="2"/>
    <s v="Divorced"/>
    <n v="8740"/>
    <n v="0"/>
    <x v="0"/>
    <n v="14"/>
    <s v="Excellent"/>
    <s v="Medium"/>
    <n v="2"/>
    <x v="1"/>
    <x v="0"/>
    <x v="3"/>
  </r>
  <r>
    <n v="1120"/>
    <n v="29"/>
    <x v="1"/>
    <x v="0"/>
    <x v="1"/>
    <n v="28"/>
    <x v="2"/>
    <s v="Life Sciences"/>
    <s v="High"/>
    <x v="0"/>
    <s v="High"/>
    <x v="1"/>
    <x v="0"/>
    <s v="Divorced"/>
    <n v="2514"/>
    <n v="4"/>
    <x v="1"/>
    <n v="22"/>
    <s v="Outstanding"/>
    <s v="Low"/>
    <n v="1"/>
    <x v="1"/>
    <x v="2"/>
    <x v="1"/>
  </r>
  <r>
    <n v="1121"/>
    <n v="28"/>
    <x v="1"/>
    <x v="0"/>
    <x v="1"/>
    <n v="3"/>
    <x v="3"/>
    <s v="Medical"/>
    <s v="Very high"/>
    <x v="0"/>
    <s v="High"/>
    <x v="3"/>
    <x v="1"/>
    <s v="Divorced"/>
    <n v="7655"/>
    <n v="0"/>
    <x v="1"/>
    <n v="17"/>
    <s v="Excellent"/>
    <s v="Medium"/>
    <n v="3"/>
    <x v="2"/>
    <x v="2"/>
    <x v="0"/>
  </r>
  <r>
    <n v="1124"/>
    <n v="46"/>
    <x v="1"/>
    <x v="0"/>
    <x v="0"/>
    <n v="3"/>
    <x v="1"/>
    <s v="Marketing"/>
    <s v="Low"/>
    <x v="1"/>
    <s v="High"/>
    <x v="5"/>
    <x v="2"/>
    <s v="Married"/>
    <n v="17465"/>
    <n v="3"/>
    <x v="1"/>
    <n v="12"/>
    <s v="Excellent"/>
    <s v="Very high"/>
    <n v="3"/>
    <x v="1"/>
    <x v="1"/>
    <x v="3"/>
  </r>
  <r>
    <n v="1125"/>
    <n v="38"/>
    <x v="1"/>
    <x v="0"/>
    <x v="0"/>
    <n v="2"/>
    <x v="0"/>
    <s v="Marketing"/>
    <s v="Very high"/>
    <x v="1"/>
    <s v="High"/>
    <x v="0"/>
    <x v="1"/>
    <s v="Single"/>
    <n v="7351"/>
    <n v="7"/>
    <x v="1"/>
    <n v="16"/>
    <s v="Excellent"/>
    <s v="High"/>
    <n v="2"/>
    <x v="1"/>
    <x v="0"/>
    <x v="0"/>
  </r>
  <r>
    <n v="1126"/>
    <n v="43"/>
    <x v="1"/>
    <x v="1"/>
    <x v="1"/>
    <n v="27"/>
    <x v="3"/>
    <s v="Life Sciences"/>
    <s v="High"/>
    <x v="0"/>
    <s v="High"/>
    <x v="3"/>
    <x v="3"/>
    <s v="Married"/>
    <n v="10820"/>
    <n v="8"/>
    <x v="1"/>
    <n v="11"/>
    <s v="Excellent"/>
    <s v="High"/>
    <n v="1"/>
    <x v="1"/>
    <x v="0"/>
    <x v="3"/>
  </r>
  <r>
    <n v="1127"/>
    <n v="39"/>
    <x v="0"/>
    <x v="1"/>
    <x v="1"/>
    <n v="2"/>
    <x v="3"/>
    <s v="Life Sciences"/>
    <s v="Low"/>
    <x v="1"/>
    <s v="High"/>
    <x v="4"/>
    <x v="0"/>
    <s v="Divorced"/>
    <n v="12169"/>
    <n v="7"/>
    <x v="1"/>
    <n v="11"/>
    <s v="Excellent"/>
    <s v="Very high"/>
    <n v="4"/>
    <x v="1"/>
    <x v="0"/>
    <x v="3"/>
  </r>
  <r>
    <n v="1128"/>
    <n v="40"/>
    <x v="1"/>
    <x v="0"/>
    <x v="1"/>
    <n v="14"/>
    <x v="3"/>
    <s v="Medical"/>
    <s v="High"/>
    <x v="1"/>
    <s v="Medium"/>
    <x v="7"/>
    <x v="2"/>
    <s v="Single"/>
    <n v="19626"/>
    <n v="1"/>
    <x v="1"/>
    <n v="14"/>
    <s v="Excellent"/>
    <s v="Low"/>
    <n v="2"/>
    <x v="3"/>
    <x v="0"/>
    <x v="3"/>
  </r>
  <r>
    <n v="1131"/>
    <n v="21"/>
    <x v="1"/>
    <x v="0"/>
    <x v="1"/>
    <n v="1"/>
    <x v="1"/>
    <s v="Technical Degree"/>
    <s v="Very high"/>
    <x v="0"/>
    <s v="Medium"/>
    <x v="1"/>
    <x v="1"/>
    <s v="Single"/>
    <n v="2070"/>
    <n v="1"/>
    <x v="0"/>
    <n v="11"/>
    <s v="Excellent"/>
    <s v="High"/>
    <n v="6"/>
    <x v="3"/>
    <x v="4"/>
    <x v="1"/>
  </r>
  <r>
    <n v="1132"/>
    <n v="39"/>
    <x v="1"/>
    <x v="2"/>
    <x v="1"/>
    <n v="9"/>
    <x v="3"/>
    <s v="Life Sciences"/>
    <s v="High"/>
    <x v="1"/>
    <s v="High"/>
    <x v="2"/>
    <x v="1"/>
    <s v="Single"/>
    <n v="6782"/>
    <n v="9"/>
    <x v="1"/>
    <n v="15"/>
    <s v="Excellent"/>
    <s v="High"/>
    <n v="2"/>
    <x v="2"/>
    <x v="0"/>
    <x v="0"/>
  </r>
  <r>
    <n v="1133"/>
    <n v="36"/>
    <x v="1"/>
    <x v="2"/>
    <x v="1"/>
    <n v="18"/>
    <x v="2"/>
    <s v="Life Sciences"/>
    <s v="Low"/>
    <x v="1"/>
    <s v="High"/>
    <x v="3"/>
    <x v="0"/>
    <s v="Single"/>
    <n v="7779"/>
    <n v="2"/>
    <x v="1"/>
    <n v="20"/>
    <s v="Outstanding"/>
    <s v="Low"/>
    <n v="0"/>
    <x v="1"/>
    <x v="0"/>
    <x v="0"/>
  </r>
  <r>
    <n v="1135"/>
    <n v="31"/>
    <x v="1"/>
    <x v="1"/>
    <x v="0"/>
    <n v="20"/>
    <x v="3"/>
    <s v="Life Sciences"/>
    <s v="High"/>
    <x v="1"/>
    <s v="Very high"/>
    <x v="6"/>
    <x v="0"/>
    <s v="Married"/>
    <n v="2791"/>
    <n v="0"/>
    <x v="1"/>
    <n v="12"/>
    <s v="Excellent"/>
    <s v="Low"/>
    <n v="4"/>
    <x v="1"/>
    <x v="2"/>
    <x v="1"/>
  </r>
  <r>
    <n v="1136"/>
    <n v="28"/>
    <x v="1"/>
    <x v="0"/>
    <x v="1"/>
    <n v="2"/>
    <x v="1"/>
    <s v="Life Sciences"/>
    <s v="Low"/>
    <x v="1"/>
    <s v="Medium"/>
    <x v="1"/>
    <x v="1"/>
    <s v="Married"/>
    <n v="3201"/>
    <n v="0"/>
    <x v="1"/>
    <n v="17"/>
    <s v="Excellent"/>
    <s v="Low"/>
    <n v="2"/>
    <x v="0"/>
    <x v="2"/>
    <x v="2"/>
  </r>
  <r>
    <n v="1137"/>
    <n v="35"/>
    <x v="1"/>
    <x v="1"/>
    <x v="0"/>
    <n v="11"/>
    <x v="0"/>
    <s v="Marketing"/>
    <s v="Very high"/>
    <x v="1"/>
    <s v="High"/>
    <x v="0"/>
    <x v="0"/>
    <s v="Divorced"/>
    <n v="4968"/>
    <n v="1"/>
    <x v="1"/>
    <n v="11"/>
    <s v="Excellent"/>
    <s v="Very high"/>
    <n v="3"/>
    <x v="1"/>
    <x v="0"/>
    <x v="2"/>
  </r>
  <r>
    <n v="1138"/>
    <n v="49"/>
    <x v="1"/>
    <x v="0"/>
    <x v="0"/>
    <n v="8"/>
    <x v="2"/>
    <s v="Technical Degree"/>
    <s v="Very high"/>
    <x v="1"/>
    <s v="Medium"/>
    <x v="0"/>
    <x v="1"/>
    <s v="Married"/>
    <n v="13120"/>
    <n v="6"/>
    <x v="1"/>
    <n v="17"/>
    <s v="Excellent"/>
    <s v="Medium"/>
    <n v="3"/>
    <x v="1"/>
    <x v="1"/>
    <x v="3"/>
  </r>
  <r>
    <n v="1140"/>
    <n v="34"/>
    <x v="1"/>
    <x v="1"/>
    <x v="1"/>
    <n v="2"/>
    <x v="0"/>
    <s v="Life Sciences"/>
    <s v="Very high"/>
    <x v="1"/>
    <s v="High"/>
    <x v="3"/>
    <x v="2"/>
    <s v="Single"/>
    <n v="4033"/>
    <n v="2"/>
    <x v="1"/>
    <n v="11"/>
    <s v="Excellent"/>
    <s v="Very high"/>
    <n v="3"/>
    <x v="2"/>
    <x v="2"/>
    <x v="2"/>
  </r>
  <r>
    <n v="1143"/>
    <n v="29"/>
    <x v="1"/>
    <x v="1"/>
    <x v="1"/>
    <n v="10"/>
    <x v="3"/>
    <s v="Life Sciences"/>
    <s v="Very high"/>
    <x v="0"/>
    <s v="High"/>
    <x v="1"/>
    <x v="1"/>
    <s v="Divorced"/>
    <n v="3291"/>
    <n v="0"/>
    <x v="1"/>
    <n v="14"/>
    <s v="Excellent"/>
    <s v="Very high"/>
    <n v="2"/>
    <x v="2"/>
    <x v="2"/>
    <x v="2"/>
  </r>
  <r>
    <n v="1148"/>
    <n v="42"/>
    <x v="1"/>
    <x v="0"/>
    <x v="1"/>
    <n v="29"/>
    <x v="3"/>
    <s v="Medical"/>
    <s v="Medium"/>
    <x v="1"/>
    <s v="Low"/>
    <x v="2"/>
    <x v="0"/>
    <s v="Single"/>
    <n v="4272"/>
    <n v="4"/>
    <x v="1"/>
    <n v="19"/>
    <s v="Excellent"/>
    <s v="Low"/>
    <n v="3"/>
    <x v="1"/>
    <x v="0"/>
    <x v="2"/>
  </r>
  <r>
    <n v="1150"/>
    <n v="29"/>
    <x v="1"/>
    <x v="0"/>
    <x v="1"/>
    <n v="8"/>
    <x v="1"/>
    <s v="Medical"/>
    <s v="Medium"/>
    <x v="1"/>
    <s v="Medium"/>
    <x v="3"/>
    <x v="0"/>
    <s v="Married"/>
    <n v="5056"/>
    <n v="1"/>
    <x v="0"/>
    <n v="15"/>
    <s v="Excellent"/>
    <s v="High"/>
    <n v="2"/>
    <x v="2"/>
    <x v="2"/>
    <x v="0"/>
  </r>
  <r>
    <n v="1152"/>
    <n v="38"/>
    <x v="1"/>
    <x v="0"/>
    <x v="2"/>
    <n v="1"/>
    <x v="3"/>
    <s v="Human Resources"/>
    <s v="High"/>
    <x v="1"/>
    <s v="Very high"/>
    <x v="8"/>
    <x v="2"/>
    <s v="Married"/>
    <n v="2844"/>
    <n v="1"/>
    <x v="1"/>
    <n v="13"/>
    <s v="Excellent"/>
    <s v="Very high"/>
    <n v="2"/>
    <x v="3"/>
    <x v="0"/>
    <x v="1"/>
  </r>
  <r>
    <n v="1154"/>
    <n v="28"/>
    <x v="1"/>
    <x v="1"/>
    <x v="1"/>
    <n v="6"/>
    <x v="3"/>
    <s v="Life Sciences"/>
    <s v="High"/>
    <x v="1"/>
    <s v="Medium"/>
    <x v="1"/>
    <x v="2"/>
    <s v="Divorced"/>
    <n v="2703"/>
    <n v="1"/>
    <x v="0"/>
    <n v="14"/>
    <s v="Excellent"/>
    <s v="Very high"/>
    <n v="2"/>
    <x v="1"/>
    <x v="2"/>
    <x v="1"/>
  </r>
  <r>
    <n v="1156"/>
    <n v="18"/>
    <x v="0"/>
    <x v="2"/>
    <x v="1"/>
    <n v="8"/>
    <x v="1"/>
    <s v="Medical"/>
    <s v="High"/>
    <x v="1"/>
    <s v="High"/>
    <x v="2"/>
    <x v="2"/>
    <s v="Single"/>
    <n v="1904"/>
    <n v="1"/>
    <x v="1"/>
    <n v="12"/>
    <s v="Excellent"/>
    <s v="Very high"/>
    <n v="0"/>
    <x v="1"/>
    <x v="4"/>
    <x v="1"/>
  </r>
  <r>
    <n v="1157"/>
    <n v="33"/>
    <x v="0"/>
    <x v="0"/>
    <x v="0"/>
    <n v="9"/>
    <x v="2"/>
    <s v="Marketing"/>
    <s v="Low"/>
    <x v="0"/>
    <s v="High"/>
    <x v="0"/>
    <x v="3"/>
    <s v="Single"/>
    <n v="8224"/>
    <n v="0"/>
    <x v="0"/>
    <n v="17"/>
    <s v="Excellent"/>
    <s v="Low"/>
    <n v="3"/>
    <x v="1"/>
    <x v="2"/>
    <x v="3"/>
  </r>
  <r>
    <n v="1158"/>
    <n v="41"/>
    <x v="1"/>
    <x v="0"/>
    <x v="1"/>
    <n v="12"/>
    <x v="2"/>
    <s v="Life Sciences"/>
    <s v="Medium"/>
    <x v="1"/>
    <s v="High"/>
    <x v="2"/>
    <x v="0"/>
    <s v="Married"/>
    <n v="4766"/>
    <n v="3"/>
    <x v="0"/>
    <n v="11"/>
    <s v="Excellent"/>
    <s v="Low"/>
    <n v="4"/>
    <x v="1"/>
    <x v="0"/>
    <x v="2"/>
  </r>
  <r>
    <n v="1160"/>
    <n v="31"/>
    <x v="0"/>
    <x v="1"/>
    <x v="1"/>
    <n v="15"/>
    <x v="3"/>
    <s v="Medical"/>
    <s v="High"/>
    <x v="1"/>
    <s v="High"/>
    <x v="2"/>
    <x v="2"/>
    <s v="Married"/>
    <n v="2610"/>
    <n v="1"/>
    <x v="1"/>
    <n v="12"/>
    <s v="Excellent"/>
    <s v="High"/>
    <n v="5"/>
    <x v="2"/>
    <x v="2"/>
    <x v="1"/>
  </r>
  <r>
    <n v="1161"/>
    <n v="37"/>
    <x v="1"/>
    <x v="0"/>
    <x v="1"/>
    <n v="25"/>
    <x v="0"/>
    <s v="Medical"/>
    <s v="High"/>
    <x v="0"/>
    <s v="Medium"/>
    <x v="4"/>
    <x v="0"/>
    <s v="Divorced"/>
    <n v="5731"/>
    <n v="7"/>
    <x v="1"/>
    <n v="13"/>
    <s v="Excellent"/>
    <s v="High"/>
    <n v="2"/>
    <x v="1"/>
    <x v="0"/>
    <x v="0"/>
  </r>
  <r>
    <n v="1162"/>
    <n v="27"/>
    <x v="1"/>
    <x v="0"/>
    <x v="1"/>
    <n v="6"/>
    <x v="3"/>
    <s v="Life Sciences"/>
    <s v="Very high"/>
    <x v="1"/>
    <s v="Medium"/>
    <x v="1"/>
    <x v="2"/>
    <s v="Married"/>
    <n v="2539"/>
    <n v="1"/>
    <x v="1"/>
    <n v="13"/>
    <s v="Excellent"/>
    <s v="High"/>
    <n v="0"/>
    <x v="1"/>
    <x v="2"/>
    <x v="1"/>
  </r>
  <r>
    <n v="1163"/>
    <n v="34"/>
    <x v="1"/>
    <x v="0"/>
    <x v="0"/>
    <n v="9"/>
    <x v="1"/>
    <s v="Life Sciences"/>
    <s v="Medium"/>
    <x v="0"/>
    <s v="High"/>
    <x v="0"/>
    <x v="2"/>
    <s v="Married"/>
    <n v="5714"/>
    <n v="1"/>
    <x v="1"/>
    <n v="20"/>
    <s v="Outstanding"/>
    <s v="Low"/>
    <n v="3"/>
    <x v="2"/>
    <x v="2"/>
    <x v="0"/>
  </r>
  <r>
    <n v="1164"/>
    <n v="35"/>
    <x v="1"/>
    <x v="0"/>
    <x v="2"/>
    <n v="8"/>
    <x v="2"/>
    <s v="Technical Degree"/>
    <s v="High"/>
    <x v="1"/>
    <s v="High"/>
    <x v="8"/>
    <x v="2"/>
    <s v="Single"/>
    <n v="4323"/>
    <n v="1"/>
    <x v="1"/>
    <n v="17"/>
    <s v="Excellent"/>
    <s v="Medium"/>
    <n v="2"/>
    <x v="0"/>
    <x v="0"/>
    <x v="2"/>
  </r>
  <r>
    <n v="1165"/>
    <n v="29"/>
    <x v="0"/>
    <x v="0"/>
    <x v="0"/>
    <n v="23"/>
    <x v="1"/>
    <s v="Life Sciences"/>
    <s v="Very high"/>
    <x v="0"/>
    <s v="Medium"/>
    <x v="0"/>
    <x v="3"/>
    <s v="Married"/>
    <n v="7336"/>
    <n v="1"/>
    <x v="1"/>
    <n v="13"/>
    <s v="Excellent"/>
    <s v="Low"/>
    <n v="3"/>
    <x v="0"/>
    <x v="2"/>
    <x v="0"/>
  </r>
  <r>
    <n v="1166"/>
    <n v="40"/>
    <x v="1"/>
    <x v="1"/>
    <x v="1"/>
    <n v="9"/>
    <x v="2"/>
    <s v="Medical"/>
    <s v="Medium"/>
    <x v="0"/>
    <s v="High"/>
    <x v="7"/>
    <x v="2"/>
    <s v="Single"/>
    <n v="13499"/>
    <n v="9"/>
    <x v="1"/>
    <n v="17"/>
    <s v="Excellent"/>
    <s v="High"/>
    <n v="3"/>
    <x v="2"/>
    <x v="0"/>
    <x v="3"/>
  </r>
  <r>
    <n v="1167"/>
    <n v="42"/>
    <x v="0"/>
    <x v="1"/>
    <x v="0"/>
    <n v="12"/>
    <x v="3"/>
    <s v="Life Sciences"/>
    <s v="High"/>
    <x v="1"/>
    <s v="High"/>
    <x v="0"/>
    <x v="3"/>
    <s v="Single"/>
    <n v="13758"/>
    <n v="0"/>
    <x v="0"/>
    <n v="12"/>
    <s v="Excellent"/>
    <s v="Medium"/>
    <n v="2"/>
    <x v="2"/>
    <x v="0"/>
    <x v="3"/>
  </r>
  <r>
    <n v="1171"/>
    <n v="42"/>
    <x v="1"/>
    <x v="0"/>
    <x v="0"/>
    <n v="4"/>
    <x v="2"/>
    <s v="Marketing"/>
    <s v="Medium"/>
    <x v="1"/>
    <s v="High"/>
    <x v="0"/>
    <x v="3"/>
    <s v="Single"/>
    <n v="5155"/>
    <n v="7"/>
    <x v="1"/>
    <n v="13"/>
    <s v="Excellent"/>
    <s v="Very high"/>
    <n v="3"/>
    <x v="3"/>
    <x v="0"/>
    <x v="0"/>
  </r>
  <r>
    <n v="1172"/>
    <n v="35"/>
    <x v="1"/>
    <x v="0"/>
    <x v="1"/>
    <n v="1"/>
    <x v="2"/>
    <s v="Medical"/>
    <s v="Very high"/>
    <x v="1"/>
    <s v="Medium"/>
    <x v="2"/>
    <x v="2"/>
    <s v="Married"/>
    <n v="2258"/>
    <n v="6"/>
    <x v="1"/>
    <n v="12"/>
    <s v="Excellent"/>
    <s v="Medium"/>
    <n v="2"/>
    <x v="1"/>
    <x v="0"/>
    <x v="1"/>
  </r>
  <r>
    <n v="1173"/>
    <n v="24"/>
    <x v="1"/>
    <x v="0"/>
    <x v="1"/>
    <n v="24"/>
    <x v="3"/>
    <s v="Medical"/>
    <s v="Very high"/>
    <x v="1"/>
    <s v="High"/>
    <x v="2"/>
    <x v="1"/>
    <s v="Single"/>
    <n v="3597"/>
    <n v="8"/>
    <x v="1"/>
    <n v="22"/>
    <s v="Outstanding"/>
    <s v="Very high"/>
    <n v="2"/>
    <x v="1"/>
    <x v="4"/>
    <x v="2"/>
  </r>
  <r>
    <n v="1175"/>
    <n v="28"/>
    <x v="0"/>
    <x v="0"/>
    <x v="1"/>
    <n v="12"/>
    <x v="1"/>
    <s v="Life Sciences"/>
    <s v="High"/>
    <x v="0"/>
    <s v="High"/>
    <x v="2"/>
    <x v="0"/>
    <s v="Married"/>
    <n v="2515"/>
    <n v="1"/>
    <x v="0"/>
    <n v="11"/>
    <s v="Excellent"/>
    <s v="Very high"/>
    <n v="4"/>
    <x v="2"/>
    <x v="2"/>
    <x v="1"/>
  </r>
  <r>
    <n v="1177"/>
    <n v="26"/>
    <x v="1"/>
    <x v="0"/>
    <x v="1"/>
    <n v="3"/>
    <x v="2"/>
    <s v="Medical"/>
    <s v="Low"/>
    <x v="1"/>
    <s v="Very high"/>
    <x v="2"/>
    <x v="0"/>
    <s v="Married"/>
    <n v="4420"/>
    <n v="1"/>
    <x v="1"/>
    <n v="22"/>
    <s v="Outstanding"/>
    <s v="Medium"/>
    <n v="2"/>
    <x v="1"/>
    <x v="2"/>
    <x v="2"/>
  </r>
  <r>
    <n v="1179"/>
    <n v="30"/>
    <x v="1"/>
    <x v="0"/>
    <x v="0"/>
    <n v="10"/>
    <x v="3"/>
    <s v="Marketing"/>
    <s v="High"/>
    <x v="1"/>
    <s v="Medium"/>
    <x v="0"/>
    <x v="2"/>
    <s v="Married"/>
    <n v="6578"/>
    <n v="1"/>
    <x v="1"/>
    <n v="18"/>
    <s v="Excellent"/>
    <s v="Low"/>
    <n v="3"/>
    <x v="1"/>
    <x v="2"/>
    <x v="0"/>
  </r>
  <r>
    <n v="1180"/>
    <n v="40"/>
    <x v="1"/>
    <x v="1"/>
    <x v="1"/>
    <n v="26"/>
    <x v="0"/>
    <s v="Medical"/>
    <s v="High"/>
    <x v="0"/>
    <s v="Medium"/>
    <x v="1"/>
    <x v="0"/>
    <s v="Married"/>
    <n v="4422"/>
    <n v="3"/>
    <x v="0"/>
    <n v="13"/>
    <s v="Excellent"/>
    <s v="Very high"/>
    <n v="3"/>
    <x v="0"/>
    <x v="0"/>
    <x v="2"/>
  </r>
  <r>
    <n v="1182"/>
    <n v="35"/>
    <x v="1"/>
    <x v="0"/>
    <x v="1"/>
    <n v="2"/>
    <x v="3"/>
    <s v="Life Sciences"/>
    <s v="High"/>
    <x v="1"/>
    <s v="Medium"/>
    <x v="3"/>
    <x v="1"/>
    <s v="Divorced"/>
    <n v="10274"/>
    <n v="2"/>
    <x v="1"/>
    <n v="18"/>
    <s v="Excellent"/>
    <s v="Medium"/>
    <n v="2"/>
    <x v="3"/>
    <x v="0"/>
    <x v="3"/>
  </r>
  <r>
    <n v="1184"/>
    <n v="34"/>
    <x v="1"/>
    <x v="1"/>
    <x v="1"/>
    <n v="1"/>
    <x v="3"/>
    <s v="Medical"/>
    <s v="Very high"/>
    <x v="1"/>
    <s v="Medium"/>
    <x v="4"/>
    <x v="3"/>
    <s v="Single"/>
    <n v="5343"/>
    <n v="0"/>
    <x v="1"/>
    <n v="20"/>
    <s v="Outstanding"/>
    <s v="High"/>
    <n v="3"/>
    <x v="1"/>
    <x v="2"/>
    <x v="0"/>
  </r>
  <r>
    <n v="1185"/>
    <n v="35"/>
    <x v="1"/>
    <x v="1"/>
    <x v="1"/>
    <n v="4"/>
    <x v="2"/>
    <s v="Other"/>
    <s v="Very high"/>
    <x v="1"/>
    <s v="Medium"/>
    <x v="2"/>
    <x v="0"/>
    <s v="Married"/>
    <n v="2376"/>
    <n v="1"/>
    <x v="1"/>
    <n v="13"/>
    <s v="Excellent"/>
    <s v="Medium"/>
    <n v="2"/>
    <x v="3"/>
    <x v="0"/>
    <x v="1"/>
  </r>
  <r>
    <n v="1188"/>
    <n v="43"/>
    <x v="0"/>
    <x v="0"/>
    <x v="0"/>
    <n v="9"/>
    <x v="3"/>
    <s v="Marketing"/>
    <s v="Low"/>
    <x v="0"/>
    <s v="Low"/>
    <x v="0"/>
    <x v="2"/>
    <s v="Single"/>
    <n v="5346"/>
    <n v="8"/>
    <x v="1"/>
    <n v="13"/>
    <s v="Excellent"/>
    <s v="Medium"/>
    <n v="2"/>
    <x v="2"/>
    <x v="0"/>
    <x v="0"/>
  </r>
  <r>
    <n v="1190"/>
    <n v="32"/>
    <x v="1"/>
    <x v="2"/>
    <x v="0"/>
    <n v="2"/>
    <x v="1"/>
    <s v="Life Sciences"/>
    <s v="High"/>
    <x v="0"/>
    <s v="High"/>
    <x v="6"/>
    <x v="3"/>
    <s v="Divorced"/>
    <n v="2827"/>
    <n v="1"/>
    <x v="1"/>
    <n v="12"/>
    <s v="Excellent"/>
    <s v="High"/>
    <n v="3"/>
    <x v="1"/>
    <x v="2"/>
    <x v="1"/>
  </r>
  <r>
    <n v="1191"/>
    <n v="56"/>
    <x v="1"/>
    <x v="0"/>
    <x v="1"/>
    <n v="4"/>
    <x v="2"/>
    <s v="Technical Degree"/>
    <s v="Very high"/>
    <x v="0"/>
    <s v="High"/>
    <x v="5"/>
    <x v="3"/>
    <s v="Divorced"/>
    <n v="19943"/>
    <n v="4"/>
    <x v="1"/>
    <n v="13"/>
    <s v="Excellent"/>
    <s v="Very high"/>
    <n v="2"/>
    <x v="1"/>
    <x v="3"/>
    <x v="3"/>
  </r>
  <r>
    <n v="1192"/>
    <n v="29"/>
    <x v="1"/>
    <x v="0"/>
    <x v="1"/>
    <n v="6"/>
    <x v="1"/>
    <s v="Medical"/>
    <s v="Medium"/>
    <x v="0"/>
    <s v="High"/>
    <x v="2"/>
    <x v="0"/>
    <s v="Married"/>
    <n v="3131"/>
    <n v="1"/>
    <x v="1"/>
    <n v="13"/>
    <s v="Excellent"/>
    <s v="Low"/>
    <n v="5"/>
    <x v="1"/>
    <x v="2"/>
    <x v="2"/>
  </r>
  <r>
    <n v="1193"/>
    <n v="19"/>
    <x v="1"/>
    <x v="0"/>
    <x v="1"/>
    <n v="9"/>
    <x v="0"/>
    <s v="Life Sciences"/>
    <s v="High"/>
    <x v="1"/>
    <s v="High"/>
    <x v="1"/>
    <x v="3"/>
    <s v="Single"/>
    <n v="2552"/>
    <n v="1"/>
    <x v="1"/>
    <n v="25"/>
    <s v="Outstanding"/>
    <s v="High"/>
    <n v="4"/>
    <x v="1"/>
    <x v="4"/>
    <x v="1"/>
  </r>
  <r>
    <n v="1195"/>
    <n v="45"/>
    <x v="1"/>
    <x v="0"/>
    <x v="1"/>
    <n v="7"/>
    <x v="3"/>
    <s v="Medical"/>
    <s v="Low"/>
    <x v="0"/>
    <s v="High"/>
    <x v="1"/>
    <x v="2"/>
    <s v="Married"/>
    <n v="4477"/>
    <n v="4"/>
    <x v="0"/>
    <n v="19"/>
    <s v="Excellent"/>
    <s v="High"/>
    <n v="2"/>
    <x v="2"/>
    <x v="1"/>
    <x v="2"/>
  </r>
  <r>
    <n v="1196"/>
    <n v="37"/>
    <x v="1"/>
    <x v="0"/>
    <x v="1"/>
    <n v="1"/>
    <x v="3"/>
    <s v="Life Sciences"/>
    <s v="Very high"/>
    <x v="0"/>
    <s v="Medium"/>
    <x v="3"/>
    <x v="0"/>
    <s v="Married"/>
    <n v="6474"/>
    <n v="1"/>
    <x v="1"/>
    <n v="13"/>
    <s v="Excellent"/>
    <s v="Medium"/>
    <n v="2"/>
    <x v="2"/>
    <x v="0"/>
    <x v="0"/>
  </r>
  <r>
    <n v="1198"/>
    <n v="20"/>
    <x v="1"/>
    <x v="0"/>
    <x v="1"/>
    <n v="3"/>
    <x v="3"/>
    <s v="Life Sciences"/>
    <s v="Low"/>
    <x v="1"/>
    <s v="Medium"/>
    <x v="2"/>
    <x v="2"/>
    <s v="Single"/>
    <n v="3033"/>
    <n v="1"/>
    <x v="1"/>
    <n v="12"/>
    <s v="Excellent"/>
    <s v="Low"/>
    <n v="2"/>
    <x v="2"/>
    <x v="4"/>
    <x v="2"/>
  </r>
  <r>
    <n v="1200"/>
    <n v="44"/>
    <x v="0"/>
    <x v="0"/>
    <x v="1"/>
    <n v="10"/>
    <x v="2"/>
    <s v="Life Sciences"/>
    <s v="High"/>
    <x v="1"/>
    <s v="High"/>
    <x v="1"/>
    <x v="2"/>
    <s v="Single"/>
    <n v="2936"/>
    <n v="1"/>
    <x v="0"/>
    <n v="11"/>
    <s v="Excellent"/>
    <s v="High"/>
    <n v="4"/>
    <x v="1"/>
    <x v="0"/>
    <x v="1"/>
  </r>
  <r>
    <n v="1201"/>
    <n v="53"/>
    <x v="1"/>
    <x v="0"/>
    <x v="1"/>
    <n v="7"/>
    <x v="0"/>
    <s v="Medical"/>
    <s v="Very high"/>
    <x v="0"/>
    <s v="High"/>
    <x v="5"/>
    <x v="2"/>
    <s v="Divorced"/>
    <n v="18606"/>
    <n v="3"/>
    <x v="1"/>
    <n v="18"/>
    <s v="Excellent"/>
    <s v="Medium"/>
    <n v="6"/>
    <x v="1"/>
    <x v="1"/>
    <x v="3"/>
  </r>
  <r>
    <n v="1202"/>
    <n v="29"/>
    <x v="1"/>
    <x v="0"/>
    <x v="1"/>
    <n v="15"/>
    <x v="1"/>
    <s v="Life Sciences"/>
    <s v="Medium"/>
    <x v="0"/>
    <s v="Low"/>
    <x v="1"/>
    <x v="0"/>
    <s v="Married"/>
    <n v="2168"/>
    <n v="0"/>
    <x v="0"/>
    <n v="18"/>
    <s v="Excellent"/>
    <s v="Low"/>
    <n v="2"/>
    <x v="2"/>
    <x v="2"/>
    <x v="1"/>
  </r>
  <r>
    <n v="1203"/>
    <n v="22"/>
    <x v="0"/>
    <x v="1"/>
    <x v="1"/>
    <n v="3"/>
    <x v="2"/>
    <s v="Life Sciences"/>
    <s v="High"/>
    <x v="1"/>
    <s v="Medium"/>
    <x v="1"/>
    <x v="0"/>
    <s v="Married"/>
    <n v="2853"/>
    <n v="0"/>
    <x v="0"/>
    <n v="11"/>
    <s v="Excellent"/>
    <s v="Medium"/>
    <n v="5"/>
    <x v="1"/>
    <x v="4"/>
    <x v="1"/>
  </r>
  <r>
    <n v="1204"/>
    <n v="46"/>
    <x v="1"/>
    <x v="0"/>
    <x v="0"/>
    <n v="2"/>
    <x v="3"/>
    <s v="Marketing"/>
    <s v="High"/>
    <x v="0"/>
    <s v="High"/>
    <x v="5"/>
    <x v="3"/>
    <s v="Married"/>
    <n v="17048"/>
    <n v="8"/>
    <x v="1"/>
    <n v="23"/>
    <s v="Outstanding"/>
    <s v="Low"/>
    <n v="2"/>
    <x v="1"/>
    <x v="1"/>
    <x v="3"/>
  </r>
  <r>
    <n v="1206"/>
    <n v="44"/>
    <x v="1"/>
    <x v="2"/>
    <x v="1"/>
    <n v="17"/>
    <x v="3"/>
    <s v="Life Sciences"/>
    <s v="Very high"/>
    <x v="1"/>
    <s v="Low"/>
    <x v="1"/>
    <x v="2"/>
    <s v="Single"/>
    <n v="2290"/>
    <n v="2"/>
    <x v="1"/>
    <n v="13"/>
    <s v="Excellent"/>
    <s v="Very high"/>
    <n v="3"/>
    <x v="1"/>
    <x v="0"/>
    <x v="1"/>
  </r>
  <r>
    <n v="1207"/>
    <n v="33"/>
    <x v="1"/>
    <x v="0"/>
    <x v="2"/>
    <n v="2"/>
    <x v="3"/>
    <s v="Human Resources"/>
    <s v="Medium"/>
    <x v="1"/>
    <s v="High"/>
    <x v="8"/>
    <x v="2"/>
    <s v="Married"/>
    <n v="3600"/>
    <n v="1"/>
    <x v="1"/>
    <n v="13"/>
    <s v="Excellent"/>
    <s v="Very high"/>
    <n v="2"/>
    <x v="1"/>
    <x v="2"/>
    <x v="2"/>
  </r>
  <r>
    <n v="1210"/>
    <n v="41"/>
    <x v="0"/>
    <x v="2"/>
    <x v="1"/>
    <n v="5"/>
    <x v="0"/>
    <s v="Life Sciences"/>
    <s v="Low"/>
    <x v="1"/>
    <s v="Medium"/>
    <x v="1"/>
    <x v="3"/>
    <s v="Divorced"/>
    <n v="2107"/>
    <n v="6"/>
    <x v="1"/>
    <n v="17"/>
    <s v="Excellent"/>
    <s v="Low"/>
    <n v="2"/>
    <x v="0"/>
    <x v="0"/>
    <x v="1"/>
  </r>
  <r>
    <n v="1211"/>
    <n v="30"/>
    <x v="1"/>
    <x v="0"/>
    <x v="0"/>
    <n v="29"/>
    <x v="2"/>
    <s v="Life Sciences"/>
    <s v="High"/>
    <x v="1"/>
    <s v="High"/>
    <x v="0"/>
    <x v="3"/>
    <s v="Divorced"/>
    <n v="4115"/>
    <n v="8"/>
    <x v="1"/>
    <n v="19"/>
    <s v="Excellent"/>
    <s v="High"/>
    <n v="3"/>
    <x v="1"/>
    <x v="2"/>
    <x v="2"/>
  </r>
  <r>
    <n v="1212"/>
    <n v="40"/>
    <x v="1"/>
    <x v="1"/>
    <x v="0"/>
    <n v="2"/>
    <x v="2"/>
    <s v="Medical"/>
    <s v="Medium"/>
    <x v="1"/>
    <s v="High"/>
    <x v="0"/>
    <x v="1"/>
    <s v="Married"/>
    <n v="4327"/>
    <n v="5"/>
    <x v="1"/>
    <n v="12"/>
    <s v="Excellent"/>
    <s v="Very high"/>
    <n v="2"/>
    <x v="1"/>
    <x v="0"/>
    <x v="2"/>
  </r>
  <r>
    <n v="1215"/>
    <n v="50"/>
    <x v="1"/>
    <x v="1"/>
    <x v="1"/>
    <n v="2"/>
    <x v="3"/>
    <s v="Medical"/>
    <s v="Very high"/>
    <x v="0"/>
    <s v="High"/>
    <x v="5"/>
    <x v="3"/>
    <s v="Married"/>
    <n v="17856"/>
    <n v="2"/>
    <x v="1"/>
    <n v="22"/>
    <s v="Outstanding"/>
    <s v="High"/>
    <n v="3"/>
    <x v="1"/>
    <x v="1"/>
    <x v="3"/>
  </r>
  <r>
    <n v="1216"/>
    <n v="28"/>
    <x v="1"/>
    <x v="0"/>
    <x v="1"/>
    <n v="19"/>
    <x v="2"/>
    <s v="Medical"/>
    <s v="Very high"/>
    <x v="1"/>
    <s v="Medium"/>
    <x v="2"/>
    <x v="3"/>
    <s v="Married"/>
    <n v="3196"/>
    <n v="1"/>
    <x v="1"/>
    <n v="12"/>
    <s v="Excellent"/>
    <s v="High"/>
    <n v="2"/>
    <x v="1"/>
    <x v="2"/>
    <x v="2"/>
  </r>
  <r>
    <n v="1217"/>
    <n v="46"/>
    <x v="1"/>
    <x v="0"/>
    <x v="1"/>
    <n v="15"/>
    <x v="0"/>
    <s v="Life Sciences"/>
    <s v="Very high"/>
    <x v="1"/>
    <s v="High"/>
    <x v="7"/>
    <x v="1"/>
    <s v="Married"/>
    <n v="19081"/>
    <n v="5"/>
    <x v="1"/>
    <n v="11"/>
    <s v="Excellent"/>
    <s v="Low"/>
    <n v="2"/>
    <x v="1"/>
    <x v="1"/>
    <x v="3"/>
  </r>
  <r>
    <n v="1218"/>
    <n v="35"/>
    <x v="1"/>
    <x v="0"/>
    <x v="0"/>
    <n v="17"/>
    <x v="2"/>
    <s v="Life Sciences"/>
    <s v="High"/>
    <x v="1"/>
    <s v="High"/>
    <x v="0"/>
    <x v="3"/>
    <s v="Married"/>
    <n v="8966"/>
    <n v="3"/>
    <x v="0"/>
    <n v="15"/>
    <s v="Excellent"/>
    <s v="Very high"/>
    <n v="2"/>
    <x v="1"/>
    <x v="0"/>
    <x v="3"/>
  </r>
  <r>
    <n v="1219"/>
    <n v="24"/>
    <x v="0"/>
    <x v="0"/>
    <x v="1"/>
    <n v="17"/>
    <x v="0"/>
    <s v="Life Sciences"/>
    <s v="Very high"/>
    <x v="0"/>
    <s v="High"/>
    <x v="2"/>
    <x v="1"/>
    <s v="Married"/>
    <n v="2210"/>
    <n v="1"/>
    <x v="1"/>
    <n v="13"/>
    <s v="Excellent"/>
    <s v="Low"/>
    <n v="3"/>
    <x v="0"/>
    <x v="4"/>
    <x v="1"/>
  </r>
  <r>
    <n v="1220"/>
    <n v="33"/>
    <x v="1"/>
    <x v="1"/>
    <x v="0"/>
    <n v="25"/>
    <x v="3"/>
    <s v="Medical"/>
    <s v="Medium"/>
    <x v="0"/>
    <s v="High"/>
    <x v="0"/>
    <x v="2"/>
    <s v="Married"/>
    <n v="4539"/>
    <n v="1"/>
    <x v="1"/>
    <n v="12"/>
    <s v="Excellent"/>
    <s v="Low"/>
    <n v="3"/>
    <x v="2"/>
    <x v="2"/>
    <x v="2"/>
  </r>
  <r>
    <n v="1221"/>
    <n v="36"/>
    <x v="1"/>
    <x v="0"/>
    <x v="1"/>
    <n v="6"/>
    <x v="2"/>
    <s v="Life Sciences"/>
    <s v="High"/>
    <x v="1"/>
    <s v="Low"/>
    <x v="2"/>
    <x v="2"/>
    <s v="Divorced"/>
    <n v="2741"/>
    <n v="1"/>
    <x v="1"/>
    <n v="14"/>
    <s v="Excellent"/>
    <s v="High"/>
    <n v="4"/>
    <x v="1"/>
    <x v="0"/>
    <x v="1"/>
  </r>
  <r>
    <n v="1224"/>
    <n v="30"/>
    <x v="1"/>
    <x v="0"/>
    <x v="1"/>
    <n v="7"/>
    <x v="2"/>
    <s v="Life Sciences"/>
    <s v="High"/>
    <x v="1"/>
    <s v="High"/>
    <x v="2"/>
    <x v="2"/>
    <s v="Divorced"/>
    <n v="3491"/>
    <n v="1"/>
    <x v="1"/>
    <n v="13"/>
    <s v="Excellent"/>
    <s v="Low"/>
    <n v="4"/>
    <x v="2"/>
    <x v="2"/>
    <x v="2"/>
  </r>
  <r>
    <n v="1225"/>
    <n v="44"/>
    <x v="1"/>
    <x v="0"/>
    <x v="1"/>
    <n v="29"/>
    <x v="2"/>
    <s v="Other"/>
    <s v="Very high"/>
    <x v="1"/>
    <s v="High"/>
    <x v="1"/>
    <x v="0"/>
    <s v="Single"/>
    <n v="4541"/>
    <n v="1"/>
    <x v="1"/>
    <n v="25"/>
    <s v="Outstanding"/>
    <s v="Medium"/>
    <n v="3"/>
    <x v="1"/>
    <x v="0"/>
    <x v="2"/>
  </r>
  <r>
    <n v="1226"/>
    <n v="20"/>
    <x v="1"/>
    <x v="0"/>
    <x v="0"/>
    <n v="21"/>
    <x v="3"/>
    <s v="Marketing"/>
    <s v="High"/>
    <x v="1"/>
    <s v="Very high"/>
    <x v="6"/>
    <x v="0"/>
    <s v="Single"/>
    <n v="2678"/>
    <n v="1"/>
    <x v="1"/>
    <n v="17"/>
    <s v="Excellent"/>
    <s v="Very high"/>
    <n v="2"/>
    <x v="1"/>
    <x v="4"/>
    <x v="1"/>
  </r>
  <r>
    <n v="1228"/>
    <n v="46"/>
    <x v="1"/>
    <x v="0"/>
    <x v="1"/>
    <n v="2"/>
    <x v="2"/>
    <s v="Technical Degree"/>
    <s v="Very high"/>
    <x v="1"/>
    <s v="High"/>
    <x v="3"/>
    <x v="0"/>
    <s v="Divorced"/>
    <n v="7379"/>
    <n v="2"/>
    <x v="1"/>
    <n v="11"/>
    <s v="Excellent"/>
    <s v="High"/>
    <n v="3"/>
    <x v="2"/>
    <x v="1"/>
    <x v="0"/>
  </r>
  <r>
    <n v="1231"/>
    <n v="42"/>
    <x v="1"/>
    <x v="2"/>
    <x v="2"/>
    <n v="2"/>
    <x v="4"/>
    <s v="Medical"/>
    <s v="Very high"/>
    <x v="1"/>
    <s v="Very high"/>
    <x v="8"/>
    <x v="3"/>
    <s v="Married"/>
    <n v="6272"/>
    <n v="7"/>
    <x v="1"/>
    <n v="16"/>
    <s v="Excellent"/>
    <s v="Low"/>
    <n v="3"/>
    <x v="3"/>
    <x v="0"/>
    <x v="0"/>
  </r>
  <r>
    <n v="1233"/>
    <n v="60"/>
    <x v="1"/>
    <x v="0"/>
    <x v="0"/>
    <n v="7"/>
    <x v="2"/>
    <s v="Marketing"/>
    <s v="Medium"/>
    <x v="1"/>
    <s v="Very high"/>
    <x v="0"/>
    <x v="0"/>
    <s v="Divorced"/>
    <n v="5220"/>
    <n v="0"/>
    <x v="0"/>
    <n v="18"/>
    <s v="Excellent"/>
    <s v="Medium"/>
    <n v="3"/>
    <x v="1"/>
    <x v="3"/>
    <x v="0"/>
  </r>
  <r>
    <n v="1234"/>
    <n v="32"/>
    <x v="1"/>
    <x v="1"/>
    <x v="1"/>
    <n v="13"/>
    <x v="3"/>
    <s v="Other"/>
    <s v="High"/>
    <x v="0"/>
    <s v="Medium"/>
    <x v="2"/>
    <x v="1"/>
    <s v="Married"/>
    <n v="2743"/>
    <n v="1"/>
    <x v="1"/>
    <n v="20"/>
    <s v="Outstanding"/>
    <s v="High"/>
    <n v="2"/>
    <x v="1"/>
    <x v="2"/>
    <x v="1"/>
  </r>
  <r>
    <n v="1235"/>
    <n v="32"/>
    <x v="1"/>
    <x v="1"/>
    <x v="1"/>
    <n v="2"/>
    <x v="0"/>
    <s v="Life Sciences"/>
    <s v="Very high"/>
    <x v="0"/>
    <s v="High"/>
    <x v="1"/>
    <x v="2"/>
    <s v="Single"/>
    <n v="4998"/>
    <n v="4"/>
    <x v="0"/>
    <n v="14"/>
    <s v="Excellent"/>
    <s v="Very high"/>
    <n v="2"/>
    <x v="1"/>
    <x v="2"/>
    <x v="2"/>
  </r>
  <r>
    <n v="1237"/>
    <n v="36"/>
    <x v="1"/>
    <x v="0"/>
    <x v="1"/>
    <n v="1"/>
    <x v="3"/>
    <s v="Technical Degree"/>
    <s v="High"/>
    <x v="0"/>
    <s v="Low"/>
    <x v="3"/>
    <x v="3"/>
    <s v="Divorced"/>
    <n v="10252"/>
    <n v="2"/>
    <x v="0"/>
    <n v="21"/>
    <s v="Outstanding"/>
    <s v="High"/>
    <n v="2"/>
    <x v="1"/>
    <x v="0"/>
    <x v="3"/>
  </r>
  <r>
    <n v="1238"/>
    <n v="33"/>
    <x v="1"/>
    <x v="0"/>
    <x v="1"/>
    <n v="9"/>
    <x v="3"/>
    <s v="Medical"/>
    <s v="Low"/>
    <x v="1"/>
    <s v="High"/>
    <x v="1"/>
    <x v="0"/>
    <s v="Married"/>
    <n v="2781"/>
    <n v="0"/>
    <x v="1"/>
    <n v="13"/>
    <s v="Excellent"/>
    <s v="Medium"/>
    <n v="5"/>
    <x v="1"/>
    <x v="2"/>
    <x v="1"/>
  </r>
  <r>
    <n v="1239"/>
    <n v="40"/>
    <x v="1"/>
    <x v="0"/>
    <x v="0"/>
    <n v="10"/>
    <x v="3"/>
    <s v="Technical Degree"/>
    <s v="Medium"/>
    <x v="0"/>
    <s v="Medium"/>
    <x v="0"/>
    <x v="1"/>
    <s v="Divorced"/>
    <n v="6852"/>
    <n v="7"/>
    <x v="1"/>
    <n v="12"/>
    <s v="Excellent"/>
    <s v="Medium"/>
    <n v="2"/>
    <x v="3"/>
    <x v="0"/>
    <x v="0"/>
  </r>
  <r>
    <n v="1240"/>
    <n v="25"/>
    <x v="1"/>
    <x v="0"/>
    <x v="0"/>
    <n v="10"/>
    <x v="2"/>
    <s v="Life Sciences"/>
    <s v="High"/>
    <x v="1"/>
    <s v="High"/>
    <x v="0"/>
    <x v="0"/>
    <s v="Single"/>
    <n v="4950"/>
    <n v="0"/>
    <x v="1"/>
    <n v="14"/>
    <s v="Excellent"/>
    <s v="Medium"/>
    <n v="4"/>
    <x v="1"/>
    <x v="2"/>
    <x v="2"/>
  </r>
  <r>
    <n v="1241"/>
    <n v="30"/>
    <x v="1"/>
    <x v="0"/>
    <x v="1"/>
    <n v="1"/>
    <x v="3"/>
    <s v="Medical"/>
    <s v="Very high"/>
    <x v="1"/>
    <s v="High"/>
    <x v="1"/>
    <x v="1"/>
    <s v="Married"/>
    <n v="3579"/>
    <n v="0"/>
    <x v="0"/>
    <n v="21"/>
    <s v="Outstanding"/>
    <s v="Low"/>
    <n v="2"/>
    <x v="1"/>
    <x v="2"/>
    <x v="2"/>
  </r>
  <r>
    <n v="1242"/>
    <n v="42"/>
    <x v="1"/>
    <x v="1"/>
    <x v="1"/>
    <n v="26"/>
    <x v="4"/>
    <s v="Medical"/>
    <s v="Low"/>
    <x v="0"/>
    <s v="High"/>
    <x v="7"/>
    <x v="3"/>
    <s v="Married"/>
    <n v="13191"/>
    <n v="3"/>
    <x v="0"/>
    <n v="17"/>
    <s v="Excellent"/>
    <s v="High"/>
    <n v="6"/>
    <x v="1"/>
    <x v="0"/>
    <x v="3"/>
  </r>
  <r>
    <n v="1243"/>
    <n v="35"/>
    <x v="1"/>
    <x v="2"/>
    <x v="0"/>
    <n v="8"/>
    <x v="0"/>
    <s v="Marketing"/>
    <s v="High"/>
    <x v="0"/>
    <s v="Medium"/>
    <x v="0"/>
    <x v="0"/>
    <s v="Married"/>
    <n v="10377"/>
    <n v="4"/>
    <x v="0"/>
    <n v="11"/>
    <s v="Excellent"/>
    <s v="Medium"/>
    <n v="6"/>
    <x v="2"/>
    <x v="0"/>
    <x v="3"/>
  </r>
  <r>
    <n v="1244"/>
    <n v="27"/>
    <x v="1"/>
    <x v="0"/>
    <x v="1"/>
    <n v="14"/>
    <x v="3"/>
    <s v="Life Sciences"/>
    <s v="Low"/>
    <x v="1"/>
    <s v="High"/>
    <x v="1"/>
    <x v="3"/>
    <s v="Married"/>
    <n v="2235"/>
    <n v="1"/>
    <x v="0"/>
    <n v="14"/>
    <s v="Excellent"/>
    <s v="Very high"/>
    <n v="3"/>
    <x v="2"/>
    <x v="2"/>
    <x v="1"/>
  </r>
  <r>
    <n v="1245"/>
    <n v="54"/>
    <x v="1"/>
    <x v="1"/>
    <x v="1"/>
    <n v="1"/>
    <x v="2"/>
    <s v="Life Sciences"/>
    <s v="Very high"/>
    <x v="0"/>
    <s v="High"/>
    <x v="3"/>
    <x v="2"/>
    <s v="Divorced"/>
    <n v="10502"/>
    <n v="7"/>
    <x v="1"/>
    <n v="17"/>
    <s v="Excellent"/>
    <s v="Low"/>
    <n v="2"/>
    <x v="0"/>
    <x v="1"/>
    <x v="3"/>
  </r>
  <r>
    <n v="1246"/>
    <n v="44"/>
    <x v="1"/>
    <x v="0"/>
    <x v="1"/>
    <n v="2"/>
    <x v="1"/>
    <s v="Life Sciences"/>
    <s v="Low"/>
    <x v="0"/>
    <s v="Very high"/>
    <x v="1"/>
    <x v="0"/>
    <s v="Married"/>
    <n v="2011"/>
    <n v="1"/>
    <x v="1"/>
    <n v="13"/>
    <s v="Excellent"/>
    <s v="Very high"/>
    <n v="5"/>
    <x v="1"/>
    <x v="0"/>
    <x v="1"/>
  </r>
  <r>
    <n v="1248"/>
    <n v="19"/>
    <x v="0"/>
    <x v="2"/>
    <x v="1"/>
    <n v="10"/>
    <x v="3"/>
    <s v="Medical"/>
    <s v="Low"/>
    <x v="0"/>
    <s v="Medium"/>
    <x v="1"/>
    <x v="1"/>
    <s v="Single"/>
    <n v="1859"/>
    <n v="1"/>
    <x v="0"/>
    <n v="25"/>
    <s v="Outstanding"/>
    <s v="Medium"/>
    <n v="2"/>
    <x v="3"/>
    <x v="4"/>
    <x v="1"/>
  </r>
  <r>
    <n v="1249"/>
    <n v="29"/>
    <x v="1"/>
    <x v="0"/>
    <x v="1"/>
    <n v="1"/>
    <x v="3"/>
    <s v="Life Sciences"/>
    <s v="Low"/>
    <x v="0"/>
    <s v="High"/>
    <x v="1"/>
    <x v="0"/>
    <s v="Divorced"/>
    <n v="3760"/>
    <n v="1"/>
    <x v="1"/>
    <n v="15"/>
    <s v="Excellent"/>
    <s v="Low"/>
    <n v="5"/>
    <x v="1"/>
    <x v="2"/>
    <x v="2"/>
  </r>
  <r>
    <n v="1250"/>
    <n v="54"/>
    <x v="1"/>
    <x v="0"/>
    <x v="1"/>
    <n v="3"/>
    <x v="3"/>
    <s v="Life Sciences"/>
    <s v="Very high"/>
    <x v="1"/>
    <s v="High"/>
    <x v="7"/>
    <x v="0"/>
    <s v="Married"/>
    <n v="17779"/>
    <n v="3"/>
    <x v="1"/>
    <n v="14"/>
    <s v="Excellent"/>
    <s v="Low"/>
    <n v="2"/>
    <x v="1"/>
    <x v="1"/>
    <x v="3"/>
  </r>
  <r>
    <n v="1251"/>
    <n v="31"/>
    <x v="1"/>
    <x v="0"/>
    <x v="1"/>
    <n v="11"/>
    <x v="0"/>
    <s v="Medical"/>
    <s v="High"/>
    <x v="1"/>
    <s v="High"/>
    <x v="4"/>
    <x v="3"/>
    <s v="Married"/>
    <n v="6833"/>
    <n v="1"/>
    <x v="0"/>
    <n v="12"/>
    <s v="Excellent"/>
    <s v="Very high"/>
    <n v="2"/>
    <x v="2"/>
    <x v="2"/>
    <x v="0"/>
  </r>
  <r>
    <n v="1252"/>
    <n v="31"/>
    <x v="1"/>
    <x v="0"/>
    <x v="1"/>
    <n v="24"/>
    <x v="3"/>
    <s v="Medical"/>
    <s v="High"/>
    <x v="0"/>
    <s v="Medium"/>
    <x v="4"/>
    <x v="3"/>
    <s v="Single"/>
    <n v="6812"/>
    <n v="1"/>
    <x v="1"/>
    <n v="19"/>
    <s v="Excellent"/>
    <s v="Medium"/>
    <n v="2"/>
    <x v="1"/>
    <x v="2"/>
    <x v="0"/>
  </r>
  <r>
    <n v="1254"/>
    <n v="59"/>
    <x v="1"/>
    <x v="0"/>
    <x v="0"/>
    <n v="3"/>
    <x v="3"/>
    <s v="Life Sciences"/>
    <s v="High"/>
    <x v="0"/>
    <s v="Medium"/>
    <x v="0"/>
    <x v="0"/>
    <s v="Single"/>
    <n v="5171"/>
    <n v="5"/>
    <x v="1"/>
    <n v="17"/>
    <s v="Excellent"/>
    <s v="Very high"/>
    <n v="2"/>
    <x v="1"/>
    <x v="3"/>
    <x v="0"/>
  </r>
  <r>
    <n v="1255"/>
    <n v="43"/>
    <x v="1"/>
    <x v="0"/>
    <x v="1"/>
    <n v="3"/>
    <x v="3"/>
    <s v="Life Sciences"/>
    <s v="High"/>
    <x v="1"/>
    <s v="Low"/>
    <x v="7"/>
    <x v="0"/>
    <s v="Married"/>
    <n v="19740"/>
    <n v="3"/>
    <x v="1"/>
    <n v="14"/>
    <s v="Excellent"/>
    <s v="Medium"/>
    <n v="2"/>
    <x v="1"/>
    <x v="0"/>
    <x v="3"/>
  </r>
  <r>
    <n v="1256"/>
    <n v="49"/>
    <x v="1"/>
    <x v="0"/>
    <x v="1"/>
    <n v="4"/>
    <x v="0"/>
    <s v="Medical"/>
    <s v="Low"/>
    <x v="1"/>
    <s v="Medium"/>
    <x v="5"/>
    <x v="2"/>
    <s v="Married"/>
    <n v="18711"/>
    <n v="2"/>
    <x v="1"/>
    <n v="13"/>
    <s v="Excellent"/>
    <s v="High"/>
    <n v="2"/>
    <x v="3"/>
    <x v="1"/>
    <x v="3"/>
  </r>
  <r>
    <n v="1257"/>
    <n v="36"/>
    <x v="1"/>
    <x v="1"/>
    <x v="1"/>
    <n v="3"/>
    <x v="3"/>
    <s v="Technical Degree"/>
    <s v="High"/>
    <x v="1"/>
    <s v="High"/>
    <x v="1"/>
    <x v="1"/>
    <s v="Married"/>
    <n v="3692"/>
    <n v="1"/>
    <x v="1"/>
    <n v="12"/>
    <s v="Excellent"/>
    <s v="High"/>
    <n v="2"/>
    <x v="2"/>
    <x v="0"/>
    <x v="2"/>
  </r>
  <r>
    <n v="1258"/>
    <n v="48"/>
    <x v="1"/>
    <x v="0"/>
    <x v="1"/>
    <n v="2"/>
    <x v="0"/>
    <s v="Technical Degree"/>
    <s v="Very high"/>
    <x v="1"/>
    <s v="Very high"/>
    <x v="2"/>
    <x v="1"/>
    <s v="Single"/>
    <n v="2559"/>
    <n v="5"/>
    <x v="1"/>
    <n v="11"/>
    <s v="Excellent"/>
    <s v="High"/>
    <n v="4"/>
    <x v="2"/>
    <x v="1"/>
    <x v="1"/>
  </r>
  <r>
    <n v="1259"/>
    <n v="27"/>
    <x v="1"/>
    <x v="0"/>
    <x v="1"/>
    <n v="4"/>
    <x v="0"/>
    <s v="Life Sciences"/>
    <s v="Low"/>
    <x v="1"/>
    <s v="High"/>
    <x v="1"/>
    <x v="2"/>
    <s v="Divorced"/>
    <n v="2517"/>
    <n v="1"/>
    <x v="1"/>
    <n v="11"/>
    <s v="Excellent"/>
    <s v="Medium"/>
    <n v="2"/>
    <x v="1"/>
    <x v="2"/>
    <x v="1"/>
  </r>
  <r>
    <n v="1260"/>
    <n v="29"/>
    <x v="1"/>
    <x v="0"/>
    <x v="1"/>
    <n v="7"/>
    <x v="3"/>
    <s v="Life Sciences"/>
    <s v="High"/>
    <x v="1"/>
    <s v="High"/>
    <x v="4"/>
    <x v="0"/>
    <s v="Divorced"/>
    <n v="6623"/>
    <n v="1"/>
    <x v="0"/>
    <n v="11"/>
    <s v="Excellent"/>
    <s v="Medium"/>
    <n v="2"/>
    <x v="1"/>
    <x v="2"/>
    <x v="0"/>
  </r>
  <r>
    <n v="1263"/>
    <n v="48"/>
    <x v="1"/>
    <x v="0"/>
    <x v="1"/>
    <n v="1"/>
    <x v="3"/>
    <s v="Life Sciences"/>
    <s v="Very high"/>
    <x v="1"/>
    <s v="Medium"/>
    <x v="7"/>
    <x v="0"/>
    <s v="Single"/>
    <n v="18265"/>
    <n v="6"/>
    <x v="1"/>
    <n v="12"/>
    <s v="Excellent"/>
    <s v="High"/>
    <n v="3"/>
    <x v="3"/>
    <x v="1"/>
    <x v="3"/>
  </r>
  <r>
    <n v="1264"/>
    <n v="29"/>
    <x v="1"/>
    <x v="0"/>
    <x v="1"/>
    <n v="1"/>
    <x v="3"/>
    <s v="Life Sciences"/>
    <s v="Very high"/>
    <x v="0"/>
    <s v="Medium"/>
    <x v="7"/>
    <x v="0"/>
    <s v="Divorced"/>
    <n v="16124"/>
    <n v="3"/>
    <x v="1"/>
    <n v="14"/>
    <s v="Excellent"/>
    <s v="Medium"/>
    <n v="2"/>
    <x v="2"/>
    <x v="2"/>
    <x v="3"/>
  </r>
  <r>
    <n v="1265"/>
    <n v="34"/>
    <x v="1"/>
    <x v="0"/>
    <x v="1"/>
    <n v="20"/>
    <x v="3"/>
    <s v="Technical Degree"/>
    <s v="High"/>
    <x v="0"/>
    <s v="Very high"/>
    <x v="1"/>
    <x v="2"/>
    <s v="Married"/>
    <n v="2585"/>
    <n v="0"/>
    <x v="1"/>
    <n v="17"/>
    <s v="Excellent"/>
    <s v="Very high"/>
    <n v="5"/>
    <x v="2"/>
    <x v="2"/>
    <x v="1"/>
  </r>
  <r>
    <n v="1267"/>
    <n v="44"/>
    <x v="1"/>
    <x v="0"/>
    <x v="0"/>
    <n v="5"/>
    <x v="3"/>
    <s v="Marketing"/>
    <s v="Medium"/>
    <x v="1"/>
    <s v="High"/>
    <x v="5"/>
    <x v="1"/>
    <s v="Married"/>
    <n v="18213"/>
    <n v="7"/>
    <x v="1"/>
    <n v="11"/>
    <s v="Excellent"/>
    <s v="High"/>
    <n v="5"/>
    <x v="1"/>
    <x v="0"/>
    <x v="3"/>
  </r>
  <r>
    <n v="1268"/>
    <n v="33"/>
    <x v="1"/>
    <x v="0"/>
    <x v="0"/>
    <n v="10"/>
    <x v="4"/>
    <s v="Marketing"/>
    <s v="Very high"/>
    <x v="1"/>
    <s v="Very high"/>
    <x v="0"/>
    <x v="2"/>
    <s v="Divorced"/>
    <n v="8380"/>
    <n v="0"/>
    <x v="0"/>
    <n v="14"/>
    <s v="Excellent"/>
    <s v="Very high"/>
    <n v="3"/>
    <x v="1"/>
    <x v="2"/>
    <x v="3"/>
  </r>
  <r>
    <n v="1269"/>
    <n v="19"/>
    <x v="1"/>
    <x v="0"/>
    <x v="1"/>
    <n v="25"/>
    <x v="3"/>
    <s v="Life Sciences"/>
    <s v="Medium"/>
    <x v="0"/>
    <s v="Very high"/>
    <x v="1"/>
    <x v="0"/>
    <s v="Single"/>
    <n v="2994"/>
    <n v="1"/>
    <x v="0"/>
    <n v="12"/>
    <s v="Excellent"/>
    <s v="Very high"/>
    <n v="2"/>
    <x v="1"/>
    <x v="4"/>
    <x v="1"/>
  </r>
  <r>
    <n v="1270"/>
    <n v="23"/>
    <x v="1"/>
    <x v="0"/>
    <x v="1"/>
    <n v="1"/>
    <x v="0"/>
    <s v="Life Sciences"/>
    <s v="Very high"/>
    <x v="1"/>
    <s v="High"/>
    <x v="1"/>
    <x v="2"/>
    <s v="Married"/>
    <n v="1223"/>
    <n v="1"/>
    <x v="1"/>
    <n v="22"/>
    <s v="Outstanding"/>
    <s v="Very high"/>
    <n v="2"/>
    <x v="1"/>
    <x v="4"/>
    <x v="1"/>
  </r>
  <r>
    <n v="1273"/>
    <n v="25"/>
    <x v="0"/>
    <x v="1"/>
    <x v="0"/>
    <n v="24"/>
    <x v="1"/>
    <s v="Life Sciences"/>
    <s v="High"/>
    <x v="1"/>
    <s v="Low"/>
    <x v="6"/>
    <x v="0"/>
    <s v="Single"/>
    <n v="1118"/>
    <n v="1"/>
    <x v="0"/>
    <n v="14"/>
    <s v="Excellent"/>
    <s v="Very high"/>
    <n v="4"/>
    <x v="1"/>
    <x v="2"/>
    <x v="1"/>
  </r>
  <r>
    <n v="1275"/>
    <n v="26"/>
    <x v="1"/>
    <x v="0"/>
    <x v="1"/>
    <n v="4"/>
    <x v="0"/>
    <s v="Life Sciences"/>
    <s v="High"/>
    <x v="1"/>
    <s v="High"/>
    <x v="1"/>
    <x v="0"/>
    <s v="Single"/>
    <n v="2875"/>
    <n v="1"/>
    <x v="0"/>
    <n v="20"/>
    <s v="Outstanding"/>
    <s v="Medium"/>
    <n v="2"/>
    <x v="2"/>
    <x v="2"/>
    <x v="1"/>
  </r>
  <r>
    <n v="1277"/>
    <n v="45"/>
    <x v="0"/>
    <x v="0"/>
    <x v="0"/>
    <n v="2"/>
    <x v="3"/>
    <s v="Marketing"/>
    <s v="Low"/>
    <x v="0"/>
    <s v="Low"/>
    <x v="5"/>
    <x v="1"/>
    <s v="Single"/>
    <n v="18824"/>
    <n v="2"/>
    <x v="0"/>
    <n v="16"/>
    <s v="Excellent"/>
    <s v="Low"/>
    <n v="2"/>
    <x v="1"/>
    <x v="1"/>
    <x v="3"/>
  </r>
  <r>
    <n v="1278"/>
    <n v="55"/>
    <x v="1"/>
    <x v="2"/>
    <x v="1"/>
    <n v="8"/>
    <x v="1"/>
    <s v="Medical"/>
    <s v="Very high"/>
    <x v="1"/>
    <s v="Medium"/>
    <x v="4"/>
    <x v="1"/>
    <s v="Divorced"/>
    <n v="13577"/>
    <n v="1"/>
    <x v="0"/>
    <n v="15"/>
    <s v="Excellent"/>
    <s v="Very high"/>
    <n v="3"/>
    <x v="1"/>
    <x v="3"/>
    <x v="3"/>
  </r>
  <r>
    <n v="1279"/>
    <n v="21"/>
    <x v="0"/>
    <x v="1"/>
    <x v="1"/>
    <n v="10"/>
    <x v="0"/>
    <s v="Life Sciences"/>
    <s v="Low"/>
    <x v="0"/>
    <s v="Medium"/>
    <x v="2"/>
    <x v="2"/>
    <s v="Single"/>
    <n v="2625"/>
    <n v="1"/>
    <x v="1"/>
    <n v="20"/>
    <s v="Outstanding"/>
    <s v="High"/>
    <n v="2"/>
    <x v="0"/>
    <x v="4"/>
    <x v="1"/>
  </r>
  <r>
    <n v="1280"/>
    <n v="46"/>
    <x v="1"/>
    <x v="0"/>
    <x v="0"/>
    <n v="4"/>
    <x v="0"/>
    <s v="Marketing"/>
    <s v="Very high"/>
    <x v="0"/>
    <s v="Medium"/>
    <x v="5"/>
    <x v="1"/>
    <s v="Married"/>
    <n v="18789"/>
    <n v="2"/>
    <x v="1"/>
    <n v="14"/>
    <s v="Excellent"/>
    <s v="High"/>
    <n v="2"/>
    <x v="1"/>
    <x v="1"/>
    <x v="3"/>
  </r>
  <r>
    <n v="1281"/>
    <n v="34"/>
    <x v="1"/>
    <x v="0"/>
    <x v="0"/>
    <n v="2"/>
    <x v="3"/>
    <s v="Marketing"/>
    <s v="High"/>
    <x v="0"/>
    <s v="High"/>
    <x v="0"/>
    <x v="3"/>
    <s v="Single"/>
    <n v="4538"/>
    <n v="0"/>
    <x v="0"/>
    <n v="12"/>
    <s v="Excellent"/>
    <s v="Very high"/>
    <n v="3"/>
    <x v="1"/>
    <x v="2"/>
    <x v="2"/>
  </r>
  <r>
    <n v="1282"/>
    <n v="51"/>
    <x v="1"/>
    <x v="1"/>
    <x v="0"/>
    <n v="9"/>
    <x v="3"/>
    <s v="Life Sciences"/>
    <s v="Very high"/>
    <x v="1"/>
    <s v="High"/>
    <x v="5"/>
    <x v="1"/>
    <s v="Divorced"/>
    <n v="19847"/>
    <n v="4"/>
    <x v="0"/>
    <n v="24"/>
    <s v="Outstanding"/>
    <s v="Low"/>
    <n v="5"/>
    <x v="2"/>
    <x v="1"/>
    <x v="3"/>
  </r>
  <r>
    <n v="1283"/>
    <n v="59"/>
    <x v="1"/>
    <x v="0"/>
    <x v="1"/>
    <n v="18"/>
    <x v="2"/>
    <s v="Medical"/>
    <s v="Very high"/>
    <x v="1"/>
    <s v="High"/>
    <x v="3"/>
    <x v="0"/>
    <s v="Single"/>
    <n v="10512"/>
    <n v="6"/>
    <x v="1"/>
    <n v="12"/>
    <s v="Excellent"/>
    <s v="Very high"/>
    <n v="6"/>
    <x v="2"/>
    <x v="3"/>
    <x v="3"/>
  </r>
  <r>
    <n v="1285"/>
    <n v="34"/>
    <x v="1"/>
    <x v="1"/>
    <x v="1"/>
    <n v="19"/>
    <x v="3"/>
    <s v="Medical"/>
    <s v="High"/>
    <x v="0"/>
    <s v="High"/>
    <x v="2"/>
    <x v="1"/>
    <s v="Divorced"/>
    <n v="4444"/>
    <n v="4"/>
    <x v="1"/>
    <n v="13"/>
    <s v="Excellent"/>
    <s v="High"/>
    <n v="2"/>
    <x v="3"/>
    <x v="2"/>
    <x v="2"/>
  </r>
  <r>
    <n v="1286"/>
    <n v="28"/>
    <x v="1"/>
    <x v="1"/>
    <x v="1"/>
    <n v="1"/>
    <x v="2"/>
    <s v="Medical"/>
    <s v="Very high"/>
    <x v="1"/>
    <s v="High"/>
    <x v="2"/>
    <x v="2"/>
    <s v="Single"/>
    <n v="2154"/>
    <n v="0"/>
    <x v="0"/>
    <n v="11"/>
    <s v="Excellent"/>
    <s v="High"/>
    <n v="2"/>
    <x v="2"/>
    <x v="2"/>
    <x v="1"/>
  </r>
  <r>
    <n v="1288"/>
    <n v="44"/>
    <x v="1"/>
    <x v="0"/>
    <x v="1"/>
    <n v="4"/>
    <x v="0"/>
    <s v="Life Sciences"/>
    <s v="High"/>
    <x v="1"/>
    <s v="Very high"/>
    <x v="5"/>
    <x v="3"/>
    <s v="Divorced"/>
    <n v="19190"/>
    <n v="1"/>
    <x v="1"/>
    <n v="14"/>
    <s v="Excellent"/>
    <s v="Very high"/>
    <n v="4"/>
    <x v="2"/>
    <x v="0"/>
    <x v="3"/>
  </r>
  <r>
    <n v="1289"/>
    <n v="34"/>
    <x v="1"/>
    <x v="1"/>
    <x v="2"/>
    <n v="11"/>
    <x v="3"/>
    <s v="Life Sciences"/>
    <s v="High"/>
    <x v="1"/>
    <s v="Medium"/>
    <x v="8"/>
    <x v="1"/>
    <s v="Married"/>
    <n v="4490"/>
    <n v="4"/>
    <x v="1"/>
    <n v="11"/>
    <s v="Excellent"/>
    <s v="Very high"/>
    <n v="5"/>
    <x v="3"/>
    <x v="2"/>
    <x v="2"/>
  </r>
  <r>
    <n v="1291"/>
    <n v="35"/>
    <x v="1"/>
    <x v="0"/>
    <x v="1"/>
    <n v="6"/>
    <x v="1"/>
    <s v="Life Sciences"/>
    <s v="High"/>
    <x v="1"/>
    <s v="High"/>
    <x v="1"/>
    <x v="2"/>
    <s v="Married"/>
    <n v="3506"/>
    <n v="0"/>
    <x v="0"/>
    <n v="14"/>
    <s v="Excellent"/>
    <s v="Very high"/>
    <n v="3"/>
    <x v="1"/>
    <x v="0"/>
    <x v="2"/>
  </r>
  <r>
    <n v="1292"/>
    <n v="42"/>
    <x v="1"/>
    <x v="0"/>
    <x v="1"/>
    <n v="7"/>
    <x v="2"/>
    <s v="Medical"/>
    <s v="Medium"/>
    <x v="0"/>
    <s v="Very high"/>
    <x v="1"/>
    <x v="1"/>
    <s v="Married"/>
    <n v="2372"/>
    <n v="6"/>
    <x v="0"/>
    <n v="16"/>
    <s v="Excellent"/>
    <s v="Very high"/>
    <n v="2"/>
    <x v="1"/>
    <x v="0"/>
    <x v="1"/>
  </r>
  <r>
    <n v="1293"/>
    <n v="43"/>
    <x v="1"/>
    <x v="0"/>
    <x v="0"/>
    <n v="4"/>
    <x v="2"/>
    <s v="Marketing"/>
    <s v="Very high"/>
    <x v="0"/>
    <s v="Medium"/>
    <x v="0"/>
    <x v="0"/>
    <s v="Single"/>
    <n v="10231"/>
    <n v="3"/>
    <x v="1"/>
    <n v="14"/>
    <s v="Excellent"/>
    <s v="Very high"/>
    <n v="3"/>
    <x v="3"/>
    <x v="0"/>
    <x v="3"/>
  </r>
  <r>
    <n v="1294"/>
    <n v="36"/>
    <x v="1"/>
    <x v="0"/>
    <x v="1"/>
    <n v="2"/>
    <x v="2"/>
    <s v="Life Sciences"/>
    <s v="High"/>
    <x v="0"/>
    <s v="High"/>
    <x v="3"/>
    <x v="1"/>
    <s v="Single"/>
    <n v="5410"/>
    <n v="9"/>
    <x v="0"/>
    <n v="11"/>
    <s v="Excellent"/>
    <s v="Very high"/>
    <n v="2"/>
    <x v="1"/>
    <x v="0"/>
    <x v="0"/>
  </r>
  <r>
    <n v="1295"/>
    <n v="44"/>
    <x v="0"/>
    <x v="0"/>
    <x v="1"/>
    <n v="15"/>
    <x v="3"/>
    <s v="Medical"/>
    <s v="Low"/>
    <x v="0"/>
    <s v="High"/>
    <x v="4"/>
    <x v="0"/>
    <s v="Married"/>
    <n v="7978"/>
    <n v="1"/>
    <x v="1"/>
    <n v="11"/>
    <s v="Excellent"/>
    <s v="Very high"/>
    <n v="2"/>
    <x v="1"/>
    <x v="0"/>
    <x v="0"/>
  </r>
  <r>
    <n v="1296"/>
    <n v="28"/>
    <x v="1"/>
    <x v="1"/>
    <x v="1"/>
    <n v="2"/>
    <x v="3"/>
    <s v="Life Sciences"/>
    <s v="Very high"/>
    <x v="1"/>
    <s v="Medium"/>
    <x v="2"/>
    <x v="0"/>
    <s v="Married"/>
    <n v="3867"/>
    <n v="1"/>
    <x v="0"/>
    <n v="12"/>
    <s v="Excellent"/>
    <s v="Medium"/>
    <n v="2"/>
    <x v="1"/>
    <x v="2"/>
    <x v="2"/>
  </r>
  <r>
    <n v="1297"/>
    <n v="51"/>
    <x v="1"/>
    <x v="1"/>
    <x v="1"/>
    <n v="6"/>
    <x v="0"/>
    <s v="Medical"/>
    <s v="Medium"/>
    <x v="0"/>
    <s v="Medium"/>
    <x v="2"/>
    <x v="2"/>
    <s v="Single"/>
    <n v="2838"/>
    <n v="0"/>
    <x v="1"/>
    <n v="14"/>
    <s v="Excellent"/>
    <s v="Medium"/>
    <n v="6"/>
    <x v="2"/>
    <x v="1"/>
    <x v="1"/>
  </r>
  <r>
    <n v="1298"/>
    <n v="30"/>
    <x v="1"/>
    <x v="2"/>
    <x v="1"/>
    <n v="9"/>
    <x v="0"/>
    <s v="Medical"/>
    <s v="High"/>
    <x v="0"/>
    <s v="High"/>
    <x v="3"/>
    <x v="2"/>
    <s v="Single"/>
    <n v="4695"/>
    <n v="7"/>
    <x v="0"/>
    <n v="18"/>
    <s v="Excellent"/>
    <s v="High"/>
    <n v="3"/>
    <x v="1"/>
    <x v="2"/>
    <x v="2"/>
  </r>
  <r>
    <n v="1299"/>
    <n v="29"/>
    <x v="0"/>
    <x v="0"/>
    <x v="1"/>
    <n v="7"/>
    <x v="3"/>
    <s v="Technical Degree"/>
    <s v="Medium"/>
    <x v="0"/>
    <s v="High"/>
    <x v="2"/>
    <x v="2"/>
    <s v="Divorced"/>
    <n v="3339"/>
    <n v="3"/>
    <x v="0"/>
    <n v="13"/>
    <s v="Excellent"/>
    <s v="Low"/>
    <n v="2"/>
    <x v="1"/>
    <x v="2"/>
    <x v="2"/>
  </r>
  <r>
    <n v="1301"/>
    <n v="28"/>
    <x v="1"/>
    <x v="0"/>
    <x v="1"/>
    <n v="1"/>
    <x v="3"/>
    <s v="Technical Degree"/>
    <s v="Very high"/>
    <x v="1"/>
    <s v="High"/>
    <x v="1"/>
    <x v="3"/>
    <s v="Single"/>
    <n v="2080"/>
    <n v="2"/>
    <x v="1"/>
    <n v="11"/>
    <s v="Excellent"/>
    <s v="Medium"/>
    <n v="2"/>
    <x v="2"/>
    <x v="2"/>
    <x v="1"/>
  </r>
  <r>
    <n v="1303"/>
    <n v="25"/>
    <x v="1"/>
    <x v="0"/>
    <x v="1"/>
    <n v="1"/>
    <x v="3"/>
    <s v="Medical"/>
    <s v="Very high"/>
    <x v="0"/>
    <s v="High"/>
    <x v="1"/>
    <x v="1"/>
    <s v="Single"/>
    <n v="2096"/>
    <n v="1"/>
    <x v="1"/>
    <n v="18"/>
    <s v="Excellent"/>
    <s v="Very high"/>
    <n v="3"/>
    <x v="2"/>
    <x v="2"/>
    <x v="1"/>
  </r>
  <r>
    <n v="1304"/>
    <n v="32"/>
    <x v="1"/>
    <x v="0"/>
    <x v="0"/>
    <n v="8"/>
    <x v="3"/>
    <s v="Medical"/>
    <s v="High"/>
    <x v="1"/>
    <s v="Very high"/>
    <x v="0"/>
    <x v="0"/>
    <s v="Married"/>
    <n v="6209"/>
    <n v="1"/>
    <x v="1"/>
    <n v="15"/>
    <s v="Excellent"/>
    <s v="High"/>
    <n v="4"/>
    <x v="3"/>
    <x v="2"/>
    <x v="0"/>
  </r>
  <r>
    <n v="1306"/>
    <n v="45"/>
    <x v="1"/>
    <x v="1"/>
    <x v="1"/>
    <n v="25"/>
    <x v="3"/>
    <s v="Medical"/>
    <s v="Medium"/>
    <x v="0"/>
    <s v="High"/>
    <x v="5"/>
    <x v="1"/>
    <s v="Single"/>
    <n v="18061"/>
    <n v="3"/>
    <x v="1"/>
    <n v="22"/>
    <s v="Outstanding"/>
    <s v="High"/>
    <n v="4"/>
    <x v="1"/>
    <x v="1"/>
    <x v="3"/>
  </r>
  <r>
    <n v="1307"/>
    <n v="39"/>
    <x v="1"/>
    <x v="0"/>
    <x v="1"/>
    <n v="13"/>
    <x v="2"/>
    <s v="Medical"/>
    <s v="High"/>
    <x v="0"/>
    <s v="Medium"/>
    <x v="5"/>
    <x v="1"/>
    <s v="Divorced"/>
    <n v="17123"/>
    <n v="6"/>
    <x v="0"/>
    <n v="13"/>
    <s v="Excellent"/>
    <s v="Very high"/>
    <n v="4"/>
    <x v="1"/>
    <x v="0"/>
    <x v="3"/>
  </r>
  <r>
    <n v="1308"/>
    <n v="58"/>
    <x v="1"/>
    <x v="0"/>
    <x v="1"/>
    <n v="23"/>
    <x v="2"/>
    <s v="Life Sciences"/>
    <s v="Low"/>
    <x v="1"/>
    <s v="High"/>
    <x v="1"/>
    <x v="2"/>
    <s v="Divorced"/>
    <n v="2372"/>
    <n v="1"/>
    <x v="1"/>
    <n v="12"/>
    <s v="Excellent"/>
    <s v="Very high"/>
    <n v="3"/>
    <x v="1"/>
    <x v="3"/>
    <x v="1"/>
  </r>
  <r>
    <n v="1309"/>
    <n v="32"/>
    <x v="0"/>
    <x v="0"/>
    <x v="1"/>
    <n v="7"/>
    <x v="0"/>
    <s v="Life Sciences"/>
    <s v="Very high"/>
    <x v="1"/>
    <s v="High"/>
    <x v="2"/>
    <x v="2"/>
    <s v="Married"/>
    <n v="4883"/>
    <n v="1"/>
    <x v="1"/>
    <n v="18"/>
    <s v="Excellent"/>
    <s v="Low"/>
    <n v="3"/>
    <x v="1"/>
    <x v="2"/>
    <x v="2"/>
  </r>
  <r>
    <n v="1310"/>
    <n v="39"/>
    <x v="0"/>
    <x v="0"/>
    <x v="1"/>
    <n v="23"/>
    <x v="3"/>
    <s v="Medical"/>
    <s v="High"/>
    <x v="1"/>
    <s v="High"/>
    <x v="1"/>
    <x v="3"/>
    <s v="Single"/>
    <n v="3904"/>
    <n v="0"/>
    <x v="1"/>
    <n v="13"/>
    <s v="Excellent"/>
    <s v="Low"/>
    <n v="2"/>
    <x v="1"/>
    <x v="0"/>
    <x v="2"/>
  </r>
  <r>
    <n v="1311"/>
    <n v="30"/>
    <x v="1"/>
    <x v="0"/>
    <x v="1"/>
    <n v="6"/>
    <x v="3"/>
    <s v="Technical Degree"/>
    <s v="Low"/>
    <x v="0"/>
    <s v="Medium"/>
    <x v="2"/>
    <x v="0"/>
    <s v="Married"/>
    <n v="4627"/>
    <n v="0"/>
    <x v="1"/>
    <n v="12"/>
    <s v="Excellent"/>
    <s v="Low"/>
    <n v="6"/>
    <x v="1"/>
    <x v="2"/>
    <x v="2"/>
  </r>
  <r>
    <n v="1312"/>
    <n v="36"/>
    <x v="1"/>
    <x v="0"/>
    <x v="1"/>
    <n v="10"/>
    <x v="2"/>
    <s v="Technical Degree"/>
    <s v="Very high"/>
    <x v="0"/>
    <s v="High"/>
    <x v="4"/>
    <x v="2"/>
    <s v="Married"/>
    <n v="7094"/>
    <n v="3"/>
    <x v="1"/>
    <n v="12"/>
    <s v="Excellent"/>
    <s v="Low"/>
    <n v="0"/>
    <x v="1"/>
    <x v="0"/>
    <x v="0"/>
  </r>
  <r>
    <n v="1314"/>
    <n v="46"/>
    <x v="1"/>
    <x v="0"/>
    <x v="2"/>
    <n v="1"/>
    <x v="0"/>
    <s v="Life Sciences"/>
    <s v="Very high"/>
    <x v="0"/>
    <s v="High"/>
    <x v="8"/>
    <x v="3"/>
    <s v="Single"/>
    <n v="3423"/>
    <n v="6"/>
    <x v="1"/>
    <n v="12"/>
    <s v="Excellent"/>
    <s v="High"/>
    <n v="3"/>
    <x v="3"/>
    <x v="1"/>
    <x v="2"/>
  </r>
  <r>
    <n v="1315"/>
    <n v="28"/>
    <x v="1"/>
    <x v="2"/>
    <x v="1"/>
    <n v="1"/>
    <x v="3"/>
    <s v="Life Sciences"/>
    <s v="High"/>
    <x v="0"/>
    <s v="Low"/>
    <x v="2"/>
    <x v="0"/>
    <s v="Married"/>
    <n v="6674"/>
    <n v="0"/>
    <x v="1"/>
    <n v="11"/>
    <s v="Excellent"/>
    <s v="Low"/>
    <n v="6"/>
    <x v="1"/>
    <x v="2"/>
    <x v="0"/>
  </r>
  <r>
    <n v="1317"/>
    <n v="50"/>
    <x v="1"/>
    <x v="0"/>
    <x v="1"/>
    <n v="28"/>
    <x v="3"/>
    <s v="Life Sciences"/>
    <s v="Very high"/>
    <x v="0"/>
    <s v="High"/>
    <x v="7"/>
    <x v="3"/>
    <s v="Married"/>
    <n v="16880"/>
    <n v="4"/>
    <x v="0"/>
    <n v="11"/>
    <s v="Excellent"/>
    <s v="Medium"/>
    <n v="2"/>
    <x v="1"/>
    <x v="1"/>
    <x v="3"/>
  </r>
  <r>
    <n v="1318"/>
    <n v="40"/>
    <x v="0"/>
    <x v="0"/>
    <x v="0"/>
    <n v="25"/>
    <x v="2"/>
    <s v="Marketing"/>
    <s v="Very high"/>
    <x v="1"/>
    <s v="Medium"/>
    <x v="0"/>
    <x v="1"/>
    <s v="Single"/>
    <n v="9094"/>
    <n v="2"/>
    <x v="0"/>
    <n v="12"/>
    <s v="Excellent"/>
    <s v="High"/>
    <n v="2"/>
    <x v="1"/>
    <x v="0"/>
    <x v="3"/>
  </r>
  <r>
    <n v="1319"/>
    <n v="52"/>
    <x v="0"/>
    <x v="0"/>
    <x v="0"/>
    <n v="5"/>
    <x v="3"/>
    <s v="Life Sciences"/>
    <s v="Medium"/>
    <x v="1"/>
    <s v="High"/>
    <x v="0"/>
    <x v="1"/>
    <s v="Single"/>
    <n v="8446"/>
    <n v="9"/>
    <x v="0"/>
    <n v="19"/>
    <s v="Excellent"/>
    <s v="High"/>
    <n v="2"/>
    <x v="2"/>
    <x v="1"/>
    <x v="3"/>
  </r>
  <r>
    <n v="1321"/>
    <n v="30"/>
    <x v="1"/>
    <x v="0"/>
    <x v="1"/>
    <n v="17"/>
    <x v="2"/>
    <s v="Medical"/>
    <s v="Medium"/>
    <x v="0"/>
    <s v="High"/>
    <x v="5"/>
    <x v="3"/>
    <s v="Married"/>
    <n v="11916"/>
    <n v="1"/>
    <x v="0"/>
    <n v="23"/>
    <s v="Outstanding"/>
    <s v="Very high"/>
    <n v="2"/>
    <x v="1"/>
    <x v="2"/>
    <x v="3"/>
  </r>
  <r>
    <n v="1322"/>
    <n v="39"/>
    <x v="1"/>
    <x v="0"/>
    <x v="1"/>
    <n v="18"/>
    <x v="0"/>
    <s v="Life Sciences"/>
    <s v="Low"/>
    <x v="1"/>
    <s v="High"/>
    <x v="3"/>
    <x v="2"/>
    <s v="Single"/>
    <n v="4534"/>
    <n v="0"/>
    <x v="1"/>
    <n v="11"/>
    <s v="Excellent"/>
    <s v="Low"/>
    <n v="6"/>
    <x v="1"/>
    <x v="0"/>
    <x v="2"/>
  </r>
  <r>
    <n v="1324"/>
    <n v="31"/>
    <x v="1"/>
    <x v="2"/>
    <x v="0"/>
    <n v="2"/>
    <x v="2"/>
    <s v="Life Sciences"/>
    <s v="Very high"/>
    <x v="0"/>
    <s v="High"/>
    <x v="0"/>
    <x v="2"/>
    <s v="Divorced"/>
    <n v="9852"/>
    <n v="1"/>
    <x v="0"/>
    <n v="19"/>
    <s v="Excellent"/>
    <s v="Low"/>
    <n v="5"/>
    <x v="2"/>
    <x v="2"/>
    <x v="3"/>
  </r>
  <r>
    <n v="1329"/>
    <n v="41"/>
    <x v="1"/>
    <x v="2"/>
    <x v="0"/>
    <n v="10"/>
    <x v="0"/>
    <s v="Medical"/>
    <s v="High"/>
    <x v="1"/>
    <s v="Low"/>
    <x v="0"/>
    <x v="1"/>
    <s v="Single"/>
    <n v="6151"/>
    <n v="1"/>
    <x v="1"/>
    <n v="13"/>
    <s v="Excellent"/>
    <s v="Low"/>
    <n v="4"/>
    <x v="1"/>
    <x v="0"/>
    <x v="0"/>
  </r>
  <r>
    <n v="1331"/>
    <n v="31"/>
    <x v="0"/>
    <x v="1"/>
    <x v="0"/>
    <n v="1"/>
    <x v="3"/>
    <s v="Life Sciences"/>
    <s v="Very high"/>
    <x v="0"/>
    <s v="High"/>
    <x v="6"/>
    <x v="1"/>
    <s v="Single"/>
    <n v="2302"/>
    <n v="1"/>
    <x v="0"/>
    <n v="11"/>
    <s v="Excellent"/>
    <s v="Low"/>
    <n v="2"/>
    <x v="3"/>
    <x v="2"/>
    <x v="1"/>
  </r>
  <r>
    <n v="1333"/>
    <n v="44"/>
    <x v="0"/>
    <x v="0"/>
    <x v="1"/>
    <n v="3"/>
    <x v="3"/>
    <s v="Life Sciences"/>
    <s v="Low"/>
    <x v="1"/>
    <s v="High"/>
    <x v="2"/>
    <x v="3"/>
    <s v="Married"/>
    <n v="2362"/>
    <n v="4"/>
    <x v="1"/>
    <n v="12"/>
    <s v="Excellent"/>
    <s v="High"/>
    <n v="4"/>
    <x v="3"/>
    <x v="0"/>
    <x v="1"/>
  </r>
  <r>
    <n v="1334"/>
    <n v="42"/>
    <x v="1"/>
    <x v="2"/>
    <x v="1"/>
    <n v="2"/>
    <x v="1"/>
    <s v="Life Sciences"/>
    <s v="High"/>
    <x v="1"/>
    <s v="High"/>
    <x v="5"/>
    <x v="2"/>
    <s v="Married"/>
    <n v="17861"/>
    <n v="0"/>
    <x v="0"/>
    <n v="13"/>
    <s v="Excellent"/>
    <s v="Very high"/>
    <n v="3"/>
    <x v="2"/>
    <x v="0"/>
    <x v="3"/>
  </r>
  <r>
    <n v="1336"/>
    <n v="55"/>
    <x v="1"/>
    <x v="0"/>
    <x v="1"/>
    <n v="2"/>
    <x v="0"/>
    <s v="Medical"/>
    <s v="Very high"/>
    <x v="0"/>
    <s v="Low"/>
    <x v="5"/>
    <x v="2"/>
    <s v="Married"/>
    <n v="19187"/>
    <n v="4"/>
    <x v="1"/>
    <n v="14"/>
    <s v="Excellent"/>
    <s v="Very high"/>
    <n v="5"/>
    <x v="1"/>
    <x v="3"/>
    <x v="3"/>
  </r>
  <r>
    <n v="1338"/>
    <n v="56"/>
    <x v="1"/>
    <x v="0"/>
    <x v="2"/>
    <n v="8"/>
    <x v="2"/>
    <s v="Life Sciences"/>
    <s v="Very high"/>
    <x v="1"/>
    <s v="High"/>
    <x v="5"/>
    <x v="1"/>
    <s v="Single"/>
    <n v="19717"/>
    <n v="6"/>
    <x v="1"/>
    <n v="14"/>
    <s v="Excellent"/>
    <s v="Low"/>
    <n v="4"/>
    <x v="1"/>
    <x v="3"/>
    <x v="3"/>
  </r>
  <r>
    <n v="1340"/>
    <n v="40"/>
    <x v="1"/>
    <x v="2"/>
    <x v="1"/>
    <n v="16"/>
    <x v="0"/>
    <s v="Life Sciences"/>
    <s v="High"/>
    <x v="1"/>
    <s v="High"/>
    <x v="1"/>
    <x v="2"/>
    <s v="Divorced"/>
    <n v="3544"/>
    <n v="9"/>
    <x v="1"/>
    <n v="16"/>
    <s v="Excellent"/>
    <s v="Medium"/>
    <n v="0"/>
    <x v="1"/>
    <x v="0"/>
    <x v="2"/>
  </r>
  <r>
    <n v="1344"/>
    <n v="34"/>
    <x v="1"/>
    <x v="0"/>
    <x v="1"/>
    <n v="9"/>
    <x v="3"/>
    <s v="Life Sciences"/>
    <s v="Very high"/>
    <x v="1"/>
    <s v="High"/>
    <x v="4"/>
    <x v="0"/>
    <s v="Divorced"/>
    <n v="8500"/>
    <n v="0"/>
    <x v="1"/>
    <n v="11"/>
    <s v="Excellent"/>
    <s v="Very high"/>
    <n v="0"/>
    <x v="2"/>
    <x v="2"/>
    <x v="3"/>
  </r>
  <r>
    <n v="1346"/>
    <n v="40"/>
    <x v="1"/>
    <x v="0"/>
    <x v="1"/>
    <n v="2"/>
    <x v="3"/>
    <s v="Life Sciences"/>
    <s v="High"/>
    <x v="1"/>
    <s v="High"/>
    <x v="1"/>
    <x v="0"/>
    <s v="Single"/>
    <n v="4661"/>
    <n v="1"/>
    <x v="1"/>
    <n v="13"/>
    <s v="Excellent"/>
    <s v="High"/>
    <n v="4"/>
    <x v="1"/>
    <x v="0"/>
    <x v="2"/>
  </r>
  <r>
    <n v="1349"/>
    <n v="41"/>
    <x v="1"/>
    <x v="1"/>
    <x v="0"/>
    <n v="1"/>
    <x v="3"/>
    <s v="Marketing"/>
    <s v="High"/>
    <x v="0"/>
    <s v="High"/>
    <x v="0"/>
    <x v="3"/>
    <s v="Divorced"/>
    <n v="4103"/>
    <n v="0"/>
    <x v="1"/>
    <n v="17"/>
    <s v="Excellent"/>
    <s v="Very high"/>
    <n v="2"/>
    <x v="1"/>
    <x v="0"/>
    <x v="2"/>
  </r>
  <r>
    <n v="1350"/>
    <n v="35"/>
    <x v="1"/>
    <x v="1"/>
    <x v="1"/>
    <n v="4"/>
    <x v="2"/>
    <s v="Life Sciences"/>
    <s v="High"/>
    <x v="1"/>
    <s v="High"/>
    <x v="1"/>
    <x v="2"/>
    <s v="Single"/>
    <n v="4249"/>
    <n v="1"/>
    <x v="0"/>
    <n v="11"/>
    <s v="Excellent"/>
    <s v="Medium"/>
    <n v="3"/>
    <x v="1"/>
    <x v="0"/>
    <x v="2"/>
  </r>
  <r>
    <n v="1352"/>
    <n v="51"/>
    <x v="1"/>
    <x v="0"/>
    <x v="2"/>
    <n v="5"/>
    <x v="3"/>
    <s v="Life Sciences"/>
    <s v="High"/>
    <x v="1"/>
    <s v="High"/>
    <x v="5"/>
    <x v="1"/>
    <s v="Divorced"/>
    <n v="14026"/>
    <n v="1"/>
    <x v="0"/>
    <n v="11"/>
    <s v="Excellent"/>
    <s v="Medium"/>
    <n v="2"/>
    <x v="1"/>
    <x v="1"/>
    <x v="3"/>
  </r>
  <r>
    <n v="1355"/>
    <n v="38"/>
    <x v="1"/>
    <x v="0"/>
    <x v="0"/>
    <n v="2"/>
    <x v="0"/>
    <s v="Life Sciences"/>
    <s v="Medium"/>
    <x v="0"/>
    <s v="High"/>
    <x v="0"/>
    <x v="3"/>
    <s v="Divorced"/>
    <n v="6893"/>
    <n v="3"/>
    <x v="1"/>
    <n v="15"/>
    <s v="Excellent"/>
    <s v="Very high"/>
    <n v="3"/>
    <x v="1"/>
    <x v="0"/>
    <x v="0"/>
  </r>
  <r>
    <n v="1356"/>
    <n v="34"/>
    <x v="1"/>
    <x v="0"/>
    <x v="0"/>
    <n v="15"/>
    <x v="0"/>
    <s v="Medical"/>
    <s v="High"/>
    <x v="0"/>
    <s v="High"/>
    <x v="0"/>
    <x v="3"/>
    <s v="Single"/>
    <n v="6125"/>
    <n v="1"/>
    <x v="1"/>
    <n v="12"/>
    <s v="Excellent"/>
    <s v="Very high"/>
    <n v="6"/>
    <x v="3"/>
    <x v="2"/>
    <x v="0"/>
  </r>
  <r>
    <n v="1358"/>
    <n v="25"/>
    <x v="1"/>
    <x v="0"/>
    <x v="1"/>
    <n v="19"/>
    <x v="1"/>
    <s v="Medical"/>
    <s v="Very high"/>
    <x v="1"/>
    <s v="High"/>
    <x v="2"/>
    <x v="0"/>
    <s v="Married"/>
    <n v="3669"/>
    <n v="3"/>
    <x v="1"/>
    <n v="11"/>
    <s v="Excellent"/>
    <s v="High"/>
    <n v="6"/>
    <x v="2"/>
    <x v="2"/>
    <x v="2"/>
  </r>
  <r>
    <n v="1360"/>
    <n v="58"/>
    <x v="0"/>
    <x v="0"/>
    <x v="1"/>
    <n v="7"/>
    <x v="2"/>
    <s v="Medical"/>
    <s v="High"/>
    <x v="0"/>
    <s v="Medium"/>
    <x v="3"/>
    <x v="3"/>
    <s v="Married"/>
    <n v="10008"/>
    <n v="7"/>
    <x v="0"/>
    <n v="14"/>
    <s v="Excellent"/>
    <s v="Very high"/>
    <n v="0"/>
    <x v="2"/>
    <x v="3"/>
    <x v="3"/>
  </r>
  <r>
    <n v="1361"/>
    <n v="40"/>
    <x v="1"/>
    <x v="0"/>
    <x v="1"/>
    <n v="1"/>
    <x v="2"/>
    <s v="Life Sciences"/>
    <s v="Medium"/>
    <x v="1"/>
    <s v="High"/>
    <x v="2"/>
    <x v="1"/>
    <s v="Married"/>
    <n v="2387"/>
    <n v="3"/>
    <x v="1"/>
    <n v="22"/>
    <s v="Outstanding"/>
    <s v="High"/>
    <n v="3"/>
    <x v="1"/>
    <x v="0"/>
    <x v="1"/>
  </r>
  <r>
    <n v="1362"/>
    <n v="36"/>
    <x v="1"/>
    <x v="1"/>
    <x v="0"/>
    <n v="7"/>
    <x v="3"/>
    <s v="Marketing"/>
    <s v="Low"/>
    <x v="0"/>
    <s v="Very high"/>
    <x v="0"/>
    <x v="3"/>
    <s v="Married"/>
    <n v="4639"/>
    <n v="2"/>
    <x v="1"/>
    <n v="16"/>
    <s v="Excellent"/>
    <s v="Very high"/>
    <n v="2"/>
    <x v="2"/>
    <x v="0"/>
    <x v="2"/>
  </r>
  <r>
    <n v="1363"/>
    <n v="48"/>
    <x v="1"/>
    <x v="0"/>
    <x v="1"/>
    <n v="4"/>
    <x v="3"/>
    <s v="Life Sciences"/>
    <s v="Very high"/>
    <x v="1"/>
    <s v="High"/>
    <x v="3"/>
    <x v="0"/>
    <s v="Single"/>
    <n v="7898"/>
    <n v="1"/>
    <x v="1"/>
    <n v="11"/>
    <s v="Excellent"/>
    <s v="High"/>
    <n v="2"/>
    <x v="1"/>
    <x v="1"/>
    <x v="0"/>
  </r>
  <r>
    <n v="1364"/>
    <n v="27"/>
    <x v="1"/>
    <x v="0"/>
    <x v="0"/>
    <n v="11"/>
    <x v="3"/>
    <s v="Medical"/>
    <s v="High"/>
    <x v="0"/>
    <s v="Very high"/>
    <x v="6"/>
    <x v="0"/>
    <s v="Married"/>
    <n v="2534"/>
    <n v="8"/>
    <x v="1"/>
    <n v="14"/>
    <s v="Excellent"/>
    <s v="Medium"/>
    <n v="4"/>
    <x v="1"/>
    <x v="2"/>
    <x v="1"/>
  </r>
  <r>
    <n v="1367"/>
    <n v="51"/>
    <x v="1"/>
    <x v="0"/>
    <x v="1"/>
    <n v="11"/>
    <x v="0"/>
    <s v="Technical Degree"/>
    <s v="Very high"/>
    <x v="0"/>
    <s v="Medium"/>
    <x v="3"/>
    <x v="1"/>
    <s v="Single"/>
    <n v="13142"/>
    <n v="3"/>
    <x v="1"/>
    <n v="16"/>
    <s v="Excellent"/>
    <s v="Medium"/>
    <n v="1"/>
    <x v="2"/>
    <x v="1"/>
    <x v="3"/>
  </r>
  <r>
    <n v="1368"/>
    <n v="18"/>
    <x v="1"/>
    <x v="2"/>
    <x v="1"/>
    <n v="1"/>
    <x v="3"/>
    <s v="Life Sciences"/>
    <s v="Very high"/>
    <x v="0"/>
    <s v="High"/>
    <x v="2"/>
    <x v="0"/>
    <s v="Single"/>
    <n v="1611"/>
    <n v="1"/>
    <x v="1"/>
    <n v="15"/>
    <s v="Excellent"/>
    <s v="High"/>
    <n v="5"/>
    <x v="3"/>
    <x v="4"/>
    <x v="1"/>
  </r>
  <r>
    <n v="1369"/>
    <n v="35"/>
    <x v="1"/>
    <x v="0"/>
    <x v="1"/>
    <n v="1"/>
    <x v="3"/>
    <s v="Medical"/>
    <s v="Very high"/>
    <x v="0"/>
    <s v="Medium"/>
    <x v="2"/>
    <x v="0"/>
    <s v="Married"/>
    <n v="5363"/>
    <n v="0"/>
    <x v="1"/>
    <n v="12"/>
    <s v="Excellent"/>
    <s v="Medium"/>
    <n v="0"/>
    <x v="1"/>
    <x v="0"/>
    <x v="0"/>
  </r>
  <r>
    <n v="1371"/>
    <n v="27"/>
    <x v="1"/>
    <x v="1"/>
    <x v="0"/>
    <n v="2"/>
    <x v="1"/>
    <s v="Life Sciences"/>
    <s v="Very high"/>
    <x v="1"/>
    <s v="Low"/>
    <x v="0"/>
    <x v="0"/>
    <s v="Single"/>
    <n v="5071"/>
    <n v="3"/>
    <x v="1"/>
    <n v="20"/>
    <s v="Outstanding"/>
    <s v="Medium"/>
    <n v="3"/>
    <x v="1"/>
    <x v="2"/>
    <x v="0"/>
  </r>
  <r>
    <n v="1372"/>
    <n v="55"/>
    <x v="0"/>
    <x v="0"/>
    <x v="0"/>
    <n v="13"/>
    <x v="2"/>
    <s v="Marketing"/>
    <s v="Low"/>
    <x v="1"/>
    <s v="Very high"/>
    <x v="0"/>
    <x v="2"/>
    <s v="Single"/>
    <n v="13695"/>
    <n v="6"/>
    <x v="0"/>
    <n v="17"/>
    <s v="Excellent"/>
    <s v="High"/>
    <n v="2"/>
    <x v="2"/>
    <x v="3"/>
    <x v="3"/>
  </r>
  <r>
    <n v="1373"/>
    <n v="56"/>
    <x v="1"/>
    <x v="0"/>
    <x v="1"/>
    <n v="23"/>
    <x v="3"/>
    <s v="Life Sciences"/>
    <s v="Very high"/>
    <x v="1"/>
    <s v="High"/>
    <x v="3"/>
    <x v="1"/>
    <s v="Married"/>
    <n v="13402"/>
    <n v="4"/>
    <x v="0"/>
    <n v="12"/>
    <s v="Excellent"/>
    <s v="Low"/>
    <n v="0"/>
    <x v="1"/>
    <x v="3"/>
    <x v="3"/>
  </r>
  <r>
    <n v="1374"/>
    <n v="34"/>
    <x v="1"/>
    <x v="2"/>
    <x v="1"/>
    <n v="26"/>
    <x v="1"/>
    <s v="Technical Degree"/>
    <s v="Low"/>
    <x v="0"/>
    <s v="Medium"/>
    <x v="1"/>
    <x v="2"/>
    <s v="Divorced"/>
    <n v="2029"/>
    <n v="1"/>
    <x v="1"/>
    <n v="20"/>
    <s v="Outstanding"/>
    <s v="High"/>
    <n v="2"/>
    <x v="1"/>
    <x v="2"/>
    <x v="1"/>
  </r>
  <r>
    <n v="1375"/>
    <n v="40"/>
    <x v="1"/>
    <x v="0"/>
    <x v="1"/>
    <n v="2"/>
    <x v="1"/>
    <s v="Medical"/>
    <s v="Medium"/>
    <x v="0"/>
    <s v="Very high"/>
    <x v="4"/>
    <x v="2"/>
    <s v="Divorced"/>
    <n v="6377"/>
    <n v="5"/>
    <x v="1"/>
    <n v="20"/>
    <s v="Outstanding"/>
    <s v="Medium"/>
    <n v="0"/>
    <x v="1"/>
    <x v="0"/>
    <x v="0"/>
  </r>
  <r>
    <n v="1377"/>
    <n v="34"/>
    <x v="1"/>
    <x v="0"/>
    <x v="1"/>
    <n v="29"/>
    <x v="3"/>
    <s v="Medical"/>
    <s v="Medium"/>
    <x v="1"/>
    <s v="High"/>
    <x v="2"/>
    <x v="2"/>
    <s v="Married"/>
    <n v="5429"/>
    <n v="4"/>
    <x v="1"/>
    <n v="13"/>
    <s v="Excellent"/>
    <s v="Low"/>
    <n v="1"/>
    <x v="1"/>
    <x v="2"/>
    <x v="0"/>
  </r>
  <r>
    <n v="1379"/>
    <n v="31"/>
    <x v="0"/>
    <x v="1"/>
    <x v="0"/>
    <n v="2"/>
    <x v="3"/>
    <s v="Life Sciences"/>
    <s v="High"/>
    <x v="0"/>
    <s v="Medium"/>
    <x v="6"/>
    <x v="0"/>
    <s v="Single"/>
    <n v="2785"/>
    <n v="7"/>
    <x v="1"/>
    <n v="14"/>
    <s v="Excellent"/>
    <s v="High"/>
    <n v="3"/>
    <x v="3"/>
    <x v="2"/>
    <x v="1"/>
  </r>
  <r>
    <n v="1380"/>
    <n v="35"/>
    <x v="0"/>
    <x v="1"/>
    <x v="0"/>
    <n v="18"/>
    <x v="2"/>
    <s v="Marketing"/>
    <s v="Very high"/>
    <x v="0"/>
    <s v="High"/>
    <x v="0"/>
    <x v="2"/>
    <s v="Married"/>
    <n v="4614"/>
    <n v="0"/>
    <x v="0"/>
    <n v="18"/>
    <s v="Excellent"/>
    <s v="High"/>
    <n v="0"/>
    <x v="2"/>
    <x v="0"/>
    <x v="2"/>
  </r>
  <r>
    <n v="1382"/>
    <n v="38"/>
    <x v="1"/>
    <x v="1"/>
    <x v="1"/>
    <n v="7"/>
    <x v="3"/>
    <s v="Life Sciences"/>
    <s v="Very high"/>
    <x v="1"/>
    <s v="Very high"/>
    <x v="1"/>
    <x v="2"/>
    <s v="Divorced"/>
    <n v="2610"/>
    <n v="1"/>
    <x v="1"/>
    <n v="11"/>
    <s v="Excellent"/>
    <s v="Very high"/>
    <n v="2"/>
    <x v="1"/>
    <x v="0"/>
    <x v="1"/>
  </r>
  <r>
    <n v="1383"/>
    <n v="34"/>
    <x v="1"/>
    <x v="0"/>
    <x v="1"/>
    <n v="2"/>
    <x v="2"/>
    <s v="Technical Degree"/>
    <s v="High"/>
    <x v="0"/>
    <s v="High"/>
    <x v="4"/>
    <x v="0"/>
    <s v="Single"/>
    <n v="6687"/>
    <n v="1"/>
    <x v="1"/>
    <n v="11"/>
    <s v="Excellent"/>
    <s v="Very high"/>
    <n v="2"/>
    <x v="3"/>
    <x v="2"/>
    <x v="0"/>
  </r>
  <r>
    <n v="1387"/>
    <n v="28"/>
    <x v="1"/>
    <x v="0"/>
    <x v="0"/>
    <n v="26"/>
    <x v="3"/>
    <s v="Life Sciences"/>
    <s v="High"/>
    <x v="1"/>
    <s v="Medium"/>
    <x v="0"/>
    <x v="3"/>
    <s v="Married"/>
    <n v="4724"/>
    <n v="1"/>
    <x v="1"/>
    <n v="11"/>
    <s v="Excellent"/>
    <s v="High"/>
    <n v="0"/>
    <x v="1"/>
    <x v="2"/>
    <x v="2"/>
  </r>
  <r>
    <n v="1389"/>
    <n v="31"/>
    <x v="0"/>
    <x v="0"/>
    <x v="1"/>
    <n v="22"/>
    <x v="2"/>
    <s v="Medical"/>
    <s v="Very high"/>
    <x v="1"/>
    <s v="High"/>
    <x v="3"/>
    <x v="2"/>
    <s v="Married"/>
    <n v="6179"/>
    <n v="1"/>
    <x v="0"/>
    <n v="15"/>
    <s v="Excellent"/>
    <s v="Very high"/>
    <n v="3"/>
    <x v="2"/>
    <x v="2"/>
    <x v="0"/>
  </r>
  <r>
    <n v="1390"/>
    <n v="39"/>
    <x v="1"/>
    <x v="0"/>
    <x v="0"/>
    <n v="21"/>
    <x v="2"/>
    <s v="Life Sciences"/>
    <s v="Low"/>
    <x v="1"/>
    <s v="Medium"/>
    <x v="0"/>
    <x v="0"/>
    <s v="Married"/>
    <n v="6120"/>
    <n v="3"/>
    <x v="0"/>
    <n v="12"/>
    <s v="Excellent"/>
    <s v="Very high"/>
    <n v="2"/>
    <x v="3"/>
    <x v="0"/>
    <x v="0"/>
  </r>
  <r>
    <n v="1391"/>
    <n v="51"/>
    <x v="1"/>
    <x v="1"/>
    <x v="0"/>
    <n v="2"/>
    <x v="3"/>
    <s v="Marketing"/>
    <s v="Medium"/>
    <x v="1"/>
    <s v="High"/>
    <x v="0"/>
    <x v="1"/>
    <s v="Married"/>
    <n v="10596"/>
    <n v="2"/>
    <x v="1"/>
    <n v="11"/>
    <s v="Excellent"/>
    <s v="Medium"/>
    <n v="5"/>
    <x v="1"/>
    <x v="1"/>
    <x v="3"/>
  </r>
  <r>
    <n v="1392"/>
    <n v="41"/>
    <x v="1"/>
    <x v="1"/>
    <x v="1"/>
    <n v="22"/>
    <x v="3"/>
    <s v="Life Sciences"/>
    <s v="Very high"/>
    <x v="0"/>
    <s v="High"/>
    <x v="1"/>
    <x v="0"/>
    <s v="Divorced"/>
    <n v="5467"/>
    <n v="3"/>
    <x v="0"/>
    <n v="14"/>
    <s v="Excellent"/>
    <s v="Low"/>
    <n v="4"/>
    <x v="2"/>
    <x v="0"/>
    <x v="0"/>
  </r>
  <r>
    <n v="1394"/>
    <n v="37"/>
    <x v="1"/>
    <x v="0"/>
    <x v="1"/>
    <n v="4"/>
    <x v="1"/>
    <s v="Life Sciences"/>
    <s v="High"/>
    <x v="1"/>
    <s v="High"/>
    <x v="1"/>
    <x v="2"/>
    <s v="Married"/>
    <n v="2996"/>
    <n v="7"/>
    <x v="0"/>
    <n v="15"/>
    <s v="Excellent"/>
    <s v="Very high"/>
    <n v="2"/>
    <x v="1"/>
    <x v="0"/>
    <x v="1"/>
  </r>
  <r>
    <n v="1395"/>
    <n v="33"/>
    <x v="1"/>
    <x v="1"/>
    <x v="0"/>
    <n v="5"/>
    <x v="1"/>
    <s v="Life Sciences"/>
    <s v="Medium"/>
    <x v="1"/>
    <s v="High"/>
    <x v="0"/>
    <x v="0"/>
    <s v="Married"/>
    <n v="9998"/>
    <n v="6"/>
    <x v="1"/>
    <n v="13"/>
    <s v="Excellent"/>
    <s v="Low"/>
    <n v="2"/>
    <x v="3"/>
    <x v="2"/>
    <x v="3"/>
  </r>
  <r>
    <n v="1396"/>
    <n v="32"/>
    <x v="1"/>
    <x v="0"/>
    <x v="0"/>
    <n v="2"/>
    <x v="1"/>
    <s v="Marketing"/>
    <s v="High"/>
    <x v="1"/>
    <s v="High"/>
    <x v="0"/>
    <x v="1"/>
    <s v="Married"/>
    <n v="4078"/>
    <n v="0"/>
    <x v="0"/>
    <n v="13"/>
    <s v="Excellent"/>
    <s v="Low"/>
    <n v="3"/>
    <x v="2"/>
    <x v="2"/>
    <x v="2"/>
  </r>
  <r>
    <n v="1397"/>
    <n v="39"/>
    <x v="1"/>
    <x v="2"/>
    <x v="1"/>
    <n v="25"/>
    <x v="0"/>
    <s v="Life Sciences"/>
    <s v="High"/>
    <x v="1"/>
    <s v="High"/>
    <x v="4"/>
    <x v="2"/>
    <s v="Married"/>
    <n v="10920"/>
    <n v="3"/>
    <x v="1"/>
    <n v="21"/>
    <s v="Outstanding"/>
    <s v="Medium"/>
    <n v="2"/>
    <x v="1"/>
    <x v="0"/>
    <x v="3"/>
  </r>
  <r>
    <n v="1399"/>
    <n v="25"/>
    <x v="1"/>
    <x v="0"/>
    <x v="0"/>
    <n v="18"/>
    <x v="1"/>
    <s v="Life Sciences"/>
    <s v="Low"/>
    <x v="1"/>
    <s v="Very high"/>
    <x v="0"/>
    <x v="2"/>
    <s v="Married"/>
    <n v="6232"/>
    <n v="2"/>
    <x v="1"/>
    <n v="11"/>
    <s v="Excellent"/>
    <s v="Medium"/>
    <n v="3"/>
    <x v="2"/>
    <x v="2"/>
    <x v="0"/>
  </r>
  <r>
    <n v="1401"/>
    <n v="52"/>
    <x v="1"/>
    <x v="1"/>
    <x v="1"/>
    <n v="28"/>
    <x v="0"/>
    <s v="Medical"/>
    <s v="Very high"/>
    <x v="0"/>
    <s v="Very high"/>
    <x v="3"/>
    <x v="2"/>
    <s v="Married"/>
    <n v="13247"/>
    <n v="2"/>
    <x v="0"/>
    <n v="11"/>
    <s v="Excellent"/>
    <s v="Medium"/>
    <n v="3"/>
    <x v="2"/>
    <x v="1"/>
    <x v="3"/>
  </r>
  <r>
    <n v="1402"/>
    <n v="43"/>
    <x v="1"/>
    <x v="0"/>
    <x v="1"/>
    <n v="6"/>
    <x v="3"/>
    <s v="Medical"/>
    <s v="Low"/>
    <x v="0"/>
    <s v="Medium"/>
    <x v="1"/>
    <x v="2"/>
    <s v="Single"/>
    <n v="4081"/>
    <n v="1"/>
    <x v="0"/>
    <n v="14"/>
    <s v="Excellent"/>
    <s v="Low"/>
    <n v="3"/>
    <x v="0"/>
    <x v="0"/>
    <x v="2"/>
  </r>
  <r>
    <n v="1403"/>
    <n v="27"/>
    <x v="1"/>
    <x v="0"/>
    <x v="0"/>
    <n v="10"/>
    <x v="3"/>
    <s v="Marketing"/>
    <s v="Very high"/>
    <x v="0"/>
    <s v="Medium"/>
    <x v="0"/>
    <x v="0"/>
    <s v="Married"/>
    <n v="5769"/>
    <n v="1"/>
    <x v="0"/>
    <n v="11"/>
    <s v="Excellent"/>
    <s v="Very high"/>
    <n v="3"/>
    <x v="1"/>
    <x v="2"/>
    <x v="0"/>
  </r>
  <r>
    <n v="1405"/>
    <n v="27"/>
    <x v="0"/>
    <x v="0"/>
    <x v="1"/>
    <n v="17"/>
    <x v="2"/>
    <s v="Life Sciences"/>
    <s v="Very high"/>
    <x v="0"/>
    <s v="High"/>
    <x v="1"/>
    <x v="2"/>
    <s v="Single"/>
    <n v="2394"/>
    <n v="1"/>
    <x v="0"/>
    <n v="13"/>
    <s v="Excellent"/>
    <s v="Very high"/>
    <n v="2"/>
    <x v="1"/>
    <x v="2"/>
    <x v="1"/>
  </r>
  <r>
    <n v="1407"/>
    <n v="26"/>
    <x v="1"/>
    <x v="0"/>
    <x v="1"/>
    <n v="2"/>
    <x v="1"/>
    <s v="Medical"/>
    <s v="Low"/>
    <x v="1"/>
    <s v="Medium"/>
    <x v="1"/>
    <x v="0"/>
    <s v="Single"/>
    <n v="3904"/>
    <n v="0"/>
    <x v="1"/>
    <n v="12"/>
    <s v="Excellent"/>
    <s v="Very high"/>
    <n v="2"/>
    <x v="1"/>
    <x v="2"/>
    <x v="2"/>
  </r>
  <r>
    <n v="1408"/>
    <n v="42"/>
    <x v="1"/>
    <x v="0"/>
    <x v="2"/>
    <n v="10"/>
    <x v="3"/>
    <s v="Human Resources"/>
    <s v="High"/>
    <x v="0"/>
    <s v="High"/>
    <x v="5"/>
    <x v="3"/>
    <s v="Married"/>
    <n v="16799"/>
    <n v="0"/>
    <x v="1"/>
    <n v="14"/>
    <s v="Excellent"/>
    <s v="High"/>
    <n v="5"/>
    <x v="1"/>
    <x v="0"/>
    <x v="3"/>
  </r>
  <r>
    <n v="1409"/>
    <n v="52"/>
    <x v="1"/>
    <x v="0"/>
    <x v="1"/>
    <n v="8"/>
    <x v="2"/>
    <s v="Other"/>
    <s v="High"/>
    <x v="0"/>
    <s v="High"/>
    <x v="2"/>
    <x v="3"/>
    <s v="Married"/>
    <n v="2950"/>
    <n v="9"/>
    <x v="1"/>
    <n v="13"/>
    <s v="Excellent"/>
    <s v="High"/>
    <n v="2"/>
    <x v="0"/>
    <x v="1"/>
    <x v="1"/>
  </r>
  <r>
    <n v="1411"/>
    <n v="37"/>
    <x v="1"/>
    <x v="0"/>
    <x v="1"/>
    <n v="11"/>
    <x v="3"/>
    <s v="Medical"/>
    <s v="Low"/>
    <x v="0"/>
    <s v="High"/>
    <x v="2"/>
    <x v="2"/>
    <s v="Single"/>
    <n v="3629"/>
    <n v="4"/>
    <x v="1"/>
    <n v="18"/>
    <s v="Excellent"/>
    <s v="Low"/>
    <n v="6"/>
    <x v="1"/>
    <x v="0"/>
    <x v="2"/>
  </r>
  <r>
    <n v="1412"/>
    <n v="35"/>
    <x v="1"/>
    <x v="1"/>
    <x v="1"/>
    <n v="18"/>
    <x v="0"/>
    <s v="Life Sciences"/>
    <s v="High"/>
    <x v="1"/>
    <s v="High"/>
    <x v="3"/>
    <x v="0"/>
    <s v="Single"/>
    <n v="9362"/>
    <n v="2"/>
    <x v="1"/>
    <n v="11"/>
    <s v="Excellent"/>
    <s v="High"/>
    <n v="2"/>
    <x v="1"/>
    <x v="0"/>
    <x v="3"/>
  </r>
  <r>
    <n v="1415"/>
    <n v="25"/>
    <x v="1"/>
    <x v="0"/>
    <x v="1"/>
    <n v="1"/>
    <x v="3"/>
    <s v="Technical Degree"/>
    <s v="Low"/>
    <x v="1"/>
    <s v="High"/>
    <x v="2"/>
    <x v="0"/>
    <s v="Married"/>
    <n v="3229"/>
    <n v="4"/>
    <x v="1"/>
    <n v="11"/>
    <s v="Excellent"/>
    <s v="Medium"/>
    <n v="2"/>
    <x v="2"/>
    <x v="2"/>
    <x v="2"/>
  </r>
  <r>
    <n v="1417"/>
    <n v="26"/>
    <x v="1"/>
    <x v="0"/>
    <x v="1"/>
    <n v="7"/>
    <x v="3"/>
    <s v="Other"/>
    <s v="High"/>
    <x v="1"/>
    <s v="Very high"/>
    <x v="2"/>
    <x v="3"/>
    <s v="Single"/>
    <n v="3578"/>
    <n v="0"/>
    <x v="1"/>
    <n v="12"/>
    <s v="Excellent"/>
    <s v="Very high"/>
    <n v="2"/>
    <x v="1"/>
    <x v="2"/>
    <x v="2"/>
  </r>
  <r>
    <n v="1419"/>
    <n v="29"/>
    <x v="1"/>
    <x v="0"/>
    <x v="2"/>
    <n v="17"/>
    <x v="3"/>
    <s v="Other"/>
    <s v="Medium"/>
    <x v="1"/>
    <s v="Medium"/>
    <x v="8"/>
    <x v="3"/>
    <s v="Single"/>
    <n v="7988"/>
    <n v="1"/>
    <x v="1"/>
    <n v="13"/>
    <s v="Excellent"/>
    <s v="Low"/>
    <n v="3"/>
    <x v="2"/>
    <x v="2"/>
    <x v="0"/>
  </r>
  <r>
    <n v="1420"/>
    <n v="49"/>
    <x v="0"/>
    <x v="1"/>
    <x v="1"/>
    <n v="28"/>
    <x v="0"/>
    <s v="Life Sciences"/>
    <s v="Low"/>
    <x v="1"/>
    <s v="Medium"/>
    <x v="2"/>
    <x v="3"/>
    <s v="Single"/>
    <n v="4284"/>
    <n v="3"/>
    <x v="1"/>
    <n v="20"/>
    <s v="Outstanding"/>
    <s v="Low"/>
    <n v="2"/>
    <x v="1"/>
    <x v="1"/>
    <x v="2"/>
  </r>
  <r>
    <n v="1421"/>
    <n v="29"/>
    <x v="0"/>
    <x v="1"/>
    <x v="1"/>
    <n v="14"/>
    <x v="1"/>
    <s v="Other"/>
    <s v="High"/>
    <x v="0"/>
    <s v="High"/>
    <x v="4"/>
    <x v="0"/>
    <s v="Single"/>
    <n v="7553"/>
    <n v="0"/>
    <x v="0"/>
    <n v="12"/>
    <s v="Excellent"/>
    <s v="Low"/>
    <n v="1"/>
    <x v="1"/>
    <x v="2"/>
    <x v="0"/>
  </r>
  <r>
    <n v="1422"/>
    <n v="54"/>
    <x v="1"/>
    <x v="0"/>
    <x v="1"/>
    <n v="1"/>
    <x v="3"/>
    <s v="Medical"/>
    <s v="Very high"/>
    <x v="0"/>
    <s v="High"/>
    <x v="7"/>
    <x v="0"/>
    <s v="Single"/>
    <n v="17328"/>
    <n v="6"/>
    <x v="1"/>
    <n v="19"/>
    <s v="Excellent"/>
    <s v="Very high"/>
    <n v="3"/>
    <x v="2"/>
    <x v="1"/>
    <x v="3"/>
  </r>
  <r>
    <n v="1423"/>
    <n v="58"/>
    <x v="1"/>
    <x v="0"/>
    <x v="1"/>
    <n v="1"/>
    <x v="3"/>
    <s v="Medical"/>
    <s v="Very high"/>
    <x v="0"/>
    <s v="High"/>
    <x v="7"/>
    <x v="3"/>
    <s v="Married"/>
    <n v="19701"/>
    <n v="3"/>
    <x v="0"/>
    <n v="21"/>
    <s v="Outstanding"/>
    <s v="High"/>
    <n v="3"/>
    <x v="1"/>
    <x v="3"/>
    <x v="3"/>
  </r>
  <r>
    <n v="1424"/>
    <n v="55"/>
    <x v="1"/>
    <x v="0"/>
    <x v="1"/>
    <n v="1"/>
    <x v="2"/>
    <s v="Medical"/>
    <s v="Medium"/>
    <x v="1"/>
    <s v="Very high"/>
    <x v="7"/>
    <x v="0"/>
    <s v="Divorced"/>
    <n v="14732"/>
    <n v="2"/>
    <x v="1"/>
    <n v="13"/>
    <s v="Excellent"/>
    <s v="Very high"/>
    <n v="4"/>
    <x v="3"/>
    <x v="3"/>
    <x v="3"/>
  </r>
  <r>
    <n v="1425"/>
    <n v="36"/>
    <x v="1"/>
    <x v="0"/>
    <x v="0"/>
    <n v="3"/>
    <x v="2"/>
    <s v="Marketing"/>
    <s v="Low"/>
    <x v="0"/>
    <s v="High"/>
    <x v="0"/>
    <x v="1"/>
    <s v="Single"/>
    <n v="9278"/>
    <n v="3"/>
    <x v="0"/>
    <n v="16"/>
    <s v="Excellent"/>
    <s v="Very high"/>
    <n v="3"/>
    <x v="1"/>
    <x v="0"/>
    <x v="3"/>
  </r>
  <r>
    <n v="1427"/>
    <n v="31"/>
    <x v="0"/>
    <x v="1"/>
    <x v="0"/>
    <n v="1"/>
    <x v="2"/>
    <s v="Life Sciences"/>
    <s v="Medium"/>
    <x v="0"/>
    <s v="Low"/>
    <x v="6"/>
    <x v="2"/>
    <s v="Single"/>
    <n v="1359"/>
    <n v="1"/>
    <x v="1"/>
    <n v="12"/>
    <s v="Excellent"/>
    <s v="Medium"/>
    <n v="3"/>
    <x v="1"/>
    <x v="2"/>
    <x v="1"/>
  </r>
  <r>
    <n v="1428"/>
    <n v="30"/>
    <x v="1"/>
    <x v="0"/>
    <x v="0"/>
    <n v="7"/>
    <x v="2"/>
    <s v="Marketing"/>
    <s v="Very high"/>
    <x v="0"/>
    <s v="High"/>
    <x v="0"/>
    <x v="3"/>
    <s v="Divorced"/>
    <n v="4779"/>
    <n v="7"/>
    <x v="1"/>
    <n v="14"/>
    <s v="Excellent"/>
    <s v="Medium"/>
    <n v="3"/>
    <x v="1"/>
    <x v="2"/>
    <x v="2"/>
  </r>
  <r>
    <n v="1430"/>
    <n v="31"/>
    <x v="1"/>
    <x v="0"/>
    <x v="1"/>
    <n v="8"/>
    <x v="4"/>
    <s v="Life Sciences"/>
    <s v="Low"/>
    <x v="0"/>
    <s v="High"/>
    <x v="7"/>
    <x v="1"/>
    <s v="Single"/>
    <n v="16422"/>
    <n v="3"/>
    <x v="1"/>
    <n v="11"/>
    <s v="Excellent"/>
    <s v="High"/>
    <n v="3"/>
    <x v="3"/>
    <x v="2"/>
    <x v="3"/>
  </r>
  <r>
    <n v="1431"/>
    <n v="34"/>
    <x v="1"/>
    <x v="1"/>
    <x v="1"/>
    <n v="1"/>
    <x v="2"/>
    <s v="Other"/>
    <s v="Very high"/>
    <x v="1"/>
    <s v="High"/>
    <x v="1"/>
    <x v="3"/>
    <s v="Divorced"/>
    <n v="2996"/>
    <n v="5"/>
    <x v="1"/>
    <n v="14"/>
    <s v="Excellent"/>
    <s v="High"/>
    <n v="2"/>
    <x v="1"/>
    <x v="2"/>
    <x v="1"/>
  </r>
  <r>
    <n v="1433"/>
    <n v="31"/>
    <x v="0"/>
    <x v="0"/>
    <x v="1"/>
    <n v="8"/>
    <x v="3"/>
    <s v="Life Sciences"/>
    <s v="Low"/>
    <x v="0"/>
    <s v="Medium"/>
    <x v="1"/>
    <x v="1"/>
    <s v="Single"/>
    <n v="1261"/>
    <n v="1"/>
    <x v="1"/>
    <n v="12"/>
    <s v="Excellent"/>
    <s v="High"/>
    <n v="3"/>
    <x v="3"/>
    <x v="2"/>
    <x v="1"/>
  </r>
  <r>
    <n v="1434"/>
    <n v="27"/>
    <x v="1"/>
    <x v="0"/>
    <x v="1"/>
    <n v="11"/>
    <x v="1"/>
    <s v="Life Sciences"/>
    <s v="Medium"/>
    <x v="1"/>
    <s v="High"/>
    <x v="2"/>
    <x v="3"/>
    <s v="Married"/>
    <n v="2099"/>
    <n v="0"/>
    <x v="1"/>
    <n v="14"/>
    <s v="Excellent"/>
    <s v="Medium"/>
    <n v="3"/>
    <x v="3"/>
    <x v="2"/>
    <x v="1"/>
  </r>
  <r>
    <n v="1435"/>
    <n v="36"/>
    <x v="1"/>
    <x v="0"/>
    <x v="1"/>
    <n v="4"/>
    <x v="2"/>
    <s v="Life Sciences"/>
    <s v="Low"/>
    <x v="1"/>
    <s v="Medium"/>
    <x v="2"/>
    <x v="0"/>
    <s v="Single"/>
    <n v="5810"/>
    <n v="1"/>
    <x v="1"/>
    <n v="16"/>
    <s v="Excellent"/>
    <s v="High"/>
    <n v="2"/>
    <x v="2"/>
    <x v="0"/>
    <x v="0"/>
  </r>
  <r>
    <n v="1436"/>
    <n v="36"/>
    <x v="1"/>
    <x v="0"/>
    <x v="0"/>
    <n v="16"/>
    <x v="2"/>
    <s v="Marketing"/>
    <s v="High"/>
    <x v="0"/>
    <s v="Medium"/>
    <x v="0"/>
    <x v="3"/>
    <s v="Married"/>
    <n v="5647"/>
    <n v="4"/>
    <x v="1"/>
    <n v="13"/>
    <s v="Excellent"/>
    <s v="Low"/>
    <n v="3"/>
    <x v="2"/>
    <x v="0"/>
    <x v="0"/>
  </r>
  <r>
    <n v="1438"/>
    <n v="47"/>
    <x v="1"/>
    <x v="0"/>
    <x v="1"/>
    <n v="1"/>
    <x v="3"/>
    <s v="Technical Degree"/>
    <s v="Low"/>
    <x v="1"/>
    <s v="High"/>
    <x v="1"/>
    <x v="0"/>
    <s v="Married"/>
    <n v="3420"/>
    <n v="7"/>
    <x v="1"/>
    <n v="12"/>
    <s v="Excellent"/>
    <s v="High"/>
    <n v="2"/>
    <x v="2"/>
    <x v="1"/>
    <x v="2"/>
  </r>
  <r>
    <n v="1439"/>
    <n v="25"/>
    <x v="0"/>
    <x v="0"/>
    <x v="0"/>
    <n v="9"/>
    <x v="0"/>
    <s v="Life Sciences"/>
    <s v="Low"/>
    <x v="1"/>
    <s v="Medium"/>
    <x v="6"/>
    <x v="3"/>
    <s v="Married"/>
    <n v="4400"/>
    <n v="3"/>
    <x v="1"/>
    <n v="12"/>
    <s v="Excellent"/>
    <s v="Low"/>
    <n v="2"/>
    <x v="1"/>
    <x v="2"/>
    <x v="2"/>
  </r>
  <r>
    <n v="1440"/>
    <n v="37"/>
    <x v="1"/>
    <x v="2"/>
    <x v="1"/>
    <n v="5"/>
    <x v="0"/>
    <s v="Technical Degree"/>
    <s v="High"/>
    <x v="1"/>
    <s v="Very high"/>
    <x v="2"/>
    <x v="2"/>
    <s v="Single"/>
    <n v="3500"/>
    <n v="0"/>
    <x v="1"/>
    <n v="14"/>
    <s v="Excellent"/>
    <s v="Low"/>
    <n v="2"/>
    <x v="0"/>
    <x v="0"/>
    <x v="2"/>
  </r>
  <r>
    <n v="1441"/>
    <n v="56"/>
    <x v="1"/>
    <x v="0"/>
    <x v="1"/>
    <n v="1"/>
    <x v="0"/>
    <s v="Life Sciences"/>
    <s v="Low"/>
    <x v="0"/>
    <s v="High"/>
    <x v="1"/>
    <x v="3"/>
    <s v="Married"/>
    <n v="2066"/>
    <n v="2"/>
    <x v="1"/>
    <n v="22"/>
    <s v="Outstanding"/>
    <s v="Very high"/>
    <n v="3"/>
    <x v="3"/>
    <x v="3"/>
    <x v="1"/>
  </r>
  <r>
    <n v="1443"/>
    <n v="47"/>
    <x v="1"/>
    <x v="0"/>
    <x v="1"/>
    <n v="2"/>
    <x v="2"/>
    <s v="Medical"/>
    <s v="Low"/>
    <x v="0"/>
    <s v="High"/>
    <x v="7"/>
    <x v="2"/>
    <s v="Married"/>
    <n v="17169"/>
    <n v="3"/>
    <x v="1"/>
    <n v="19"/>
    <s v="Excellent"/>
    <s v="Medium"/>
    <n v="2"/>
    <x v="3"/>
    <x v="1"/>
    <x v="3"/>
  </r>
  <r>
    <n v="1445"/>
    <n v="24"/>
    <x v="1"/>
    <x v="0"/>
    <x v="0"/>
    <n v="4"/>
    <x v="1"/>
    <s v="Medical"/>
    <s v="Very high"/>
    <x v="0"/>
    <s v="High"/>
    <x v="0"/>
    <x v="2"/>
    <s v="Married"/>
    <n v="4162"/>
    <n v="1"/>
    <x v="0"/>
    <n v="12"/>
    <s v="Excellent"/>
    <s v="High"/>
    <n v="3"/>
    <x v="1"/>
    <x v="4"/>
    <x v="2"/>
  </r>
  <r>
    <n v="1446"/>
    <n v="32"/>
    <x v="1"/>
    <x v="0"/>
    <x v="0"/>
    <n v="7"/>
    <x v="4"/>
    <s v="Marketing"/>
    <s v="Very high"/>
    <x v="1"/>
    <s v="High"/>
    <x v="0"/>
    <x v="0"/>
    <s v="Married"/>
    <n v="9204"/>
    <n v="4"/>
    <x v="1"/>
    <n v="12"/>
    <s v="Excellent"/>
    <s v="High"/>
    <n v="3"/>
    <x v="2"/>
    <x v="2"/>
    <x v="3"/>
  </r>
  <r>
    <n v="1447"/>
    <n v="34"/>
    <x v="1"/>
    <x v="0"/>
    <x v="1"/>
    <n v="1"/>
    <x v="3"/>
    <s v="Life Sciences"/>
    <s v="Very high"/>
    <x v="0"/>
    <s v="Medium"/>
    <x v="2"/>
    <x v="1"/>
    <s v="Married"/>
    <n v="3294"/>
    <n v="5"/>
    <x v="1"/>
    <n v="17"/>
    <s v="Excellent"/>
    <s v="Low"/>
    <n v="2"/>
    <x v="2"/>
    <x v="2"/>
    <x v="2"/>
  </r>
  <r>
    <n v="1448"/>
    <n v="41"/>
    <x v="1"/>
    <x v="0"/>
    <x v="1"/>
    <n v="5"/>
    <x v="4"/>
    <s v="Medical"/>
    <s v="Medium"/>
    <x v="1"/>
    <s v="Very high"/>
    <x v="1"/>
    <x v="2"/>
    <s v="Married"/>
    <n v="2127"/>
    <n v="2"/>
    <x v="0"/>
    <n v="12"/>
    <s v="Excellent"/>
    <s v="Low"/>
    <n v="5"/>
    <x v="2"/>
    <x v="0"/>
    <x v="1"/>
  </r>
  <r>
    <n v="1449"/>
    <n v="40"/>
    <x v="1"/>
    <x v="2"/>
    <x v="1"/>
    <n v="9"/>
    <x v="2"/>
    <s v="Other"/>
    <s v="High"/>
    <x v="1"/>
    <s v="High"/>
    <x v="2"/>
    <x v="2"/>
    <s v="Divorced"/>
    <n v="3975"/>
    <n v="3"/>
    <x v="1"/>
    <n v="11"/>
    <s v="Excellent"/>
    <s v="High"/>
    <n v="2"/>
    <x v="3"/>
    <x v="0"/>
    <x v="2"/>
  </r>
  <r>
    <n v="1453"/>
    <n v="31"/>
    <x v="1"/>
    <x v="0"/>
    <x v="0"/>
    <n v="8"/>
    <x v="0"/>
    <s v="Life Sciences"/>
    <s v="Low"/>
    <x v="1"/>
    <s v="High"/>
    <x v="0"/>
    <x v="0"/>
    <s v="Divorced"/>
    <n v="10793"/>
    <n v="1"/>
    <x v="1"/>
    <n v="18"/>
    <s v="Excellent"/>
    <s v="Low"/>
    <n v="5"/>
    <x v="1"/>
    <x v="2"/>
    <x v="3"/>
  </r>
  <r>
    <n v="1457"/>
    <n v="46"/>
    <x v="0"/>
    <x v="0"/>
    <x v="0"/>
    <n v="9"/>
    <x v="3"/>
    <s v="Marketing"/>
    <s v="Low"/>
    <x v="1"/>
    <s v="High"/>
    <x v="0"/>
    <x v="0"/>
    <s v="Divorced"/>
    <n v="10096"/>
    <n v="4"/>
    <x v="1"/>
    <n v="11"/>
    <s v="Excellent"/>
    <s v="Low"/>
    <n v="1"/>
    <x v="3"/>
    <x v="1"/>
    <x v="3"/>
  </r>
  <r>
    <n v="1458"/>
    <n v="39"/>
    <x v="0"/>
    <x v="2"/>
    <x v="1"/>
    <n v="2"/>
    <x v="3"/>
    <s v="Life Sciences"/>
    <s v="Low"/>
    <x v="0"/>
    <s v="Medium"/>
    <x v="2"/>
    <x v="3"/>
    <s v="Single"/>
    <n v="3646"/>
    <n v="2"/>
    <x v="0"/>
    <n v="23"/>
    <s v="Outstanding"/>
    <s v="Medium"/>
    <n v="2"/>
    <x v="3"/>
    <x v="0"/>
    <x v="2"/>
  </r>
  <r>
    <n v="1459"/>
    <n v="31"/>
    <x v="0"/>
    <x v="1"/>
    <x v="1"/>
    <n v="1"/>
    <x v="4"/>
    <s v="Life Sciences"/>
    <s v="High"/>
    <x v="0"/>
    <s v="Very high"/>
    <x v="3"/>
    <x v="1"/>
    <s v="Single"/>
    <n v="7446"/>
    <n v="1"/>
    <x v="1"/>
    <n v="11"/>
    <s v="Excellent"/>
    <s v="Low"/>
    <n v="2"/>
    <x v="1"/>
    <x v="2"/>
    <x v="0"/>
  </r>
  <r>
    <n v="1460"/>
    <n v="45"/>
    <x v="1"/>
    <x v="0"/>
    <x v="1"/>
    <n v="20"/>
    <x v="3"/>
    <s v="Medical"/>
    <s v="Medium"/>
    <x v="1"/>
    <s v="Low"/>
    <x v="4"/>
    <x v="3"/>
    <s v="Divorced"/>
    <n v="10851"/>
    <n v="2"/>
    <x v="0"/>
    <n v="18"/>
    <s v="Excellent"/>
    <s v="Medium"/>
    <n v="2"/>
    <x v="1"/>
    <x v="1"/>
    <x v="3"/>
  </r>
  <r>
    <n v="1461"/>
    <n v="31"/>
    <x v="1"/>
    <x v="0"/>
    <x v="2"/>
    <n v="8"/>
    <x v="0"/>
    <s v="Medical"/>
    <s v="Very high"/>
    <x v="0"/>
    <s v="Very high"/>
    <x v="8"/>
    <x v="1"/>
    <s v="Single"/>
    <n v="2109"/>
    <n v="9"/>
    <x v="1"/>
    <n v="18"/>
    <s v="Excellent"/>
    <s v="Very high"/>
    <n v="3"/>
    <x v="1"/>
    <x v="2"/>
    <x v="1"/>
  </r>
  <r>
    <n v="1464"/>
    <n v="31"/>
    <x v="0"/>
    <x v="1"/>
    <x v="1"/>
    <n v="2"/>
    <x v="3"/>
    <s v="Life Sciences"/>
    <s v="Medium"/>
    <x v="1"/>
    <s v="High"/>
    <x v="2"/>
    <x v="0"/>
    <s v="Married"/>
    <n v="3722"/>
    <n v="6"/>
    <x v="0"/>
    <n v="13"/>
    <s v="Excellent"/>
    <s v="High"/>
    <n v="2"/>
    <x v="0"/>
    <x v="2"/>
    <x v="2"/>
  </r>
  <r>
    <n v="1465"/>
    <n v="45"/>
    <x v="1"/>
    <x v="0"/>
    <x v="1"/>
    <n v="29"/>
    <x v="3"/>
    <s v="Technical Degree"/>
    <s v="Medium"/>
    <x v="1"/>
    <s v="High"/>
    <x v="3"/>
    <x v="0"/>
    <s v="Married"/>
    <n v="9380"/>
    <n v="4"/>
    <x v="0"/>
    <n v="18"/>
    <s v="Excellent"/>
    <s v="Very high"/>
    <n v="4"/>
    <x v="3"/>
    <x v="1"/>
    <x v="3"/>
  </r>
  <r>
    <n v="1466"/>
    <n v="48"/>
    <x v="1"/>
    <x v="0"/>
    <x v="0"/>
    <n v="7"/>
    <x v="3"/>
    <s v="Marketing"/>
    <s v="High"/>
    <x v="1"/>
    <s v="High"/>
    <x v="0"/>
    <x v="3"/>
    <s v="Divorced"/>
    <n v="5486"/>
    <n v="4"/>
    <x v="1"/>
    <n v="11"/>
    <s v="Excellent"/>
    <s v="Low"/>
    <n v="3"/>
    <x v="1"/>
    <x v="1"/>
    <x v="0"/>
  </r>
  <r>
    <n v="1467"/>
    <n v="34"/>
    <x v="0"/>
    <x v="0"/>
    <x v="2"/>
    <n v="9"/>
    <x v="2"/>
    <s v="Technical Degree"/>
    <s v="Low"/>
    <x v="0"/>
    <s v="High"/>
    <x v="8"/>
    <x v="2"/>
    <s v="Married"/>
    <n v="2742"/>
    <n v="1"/>
    <x v="1"/>
    <n v="15"/>
    <s v="Excellent"/>
    <s v="Very high"/>
    <n v="0"/>
    <x v="1"/>
    <x v="2"/>
    <x v="1"/>
  </r>
  <r>
    <n v="1468"/>
    <n v="40"/>
    <x v="1"/>
    <x v="2"/>
    <x v="1"/>
    <n v="8"/>
    <x v="1"/>
    <s v="Medical"/>
    <s v="Very high"/>
    <x v="1"/>
    <s v="Medium"/>
    <x v="7"/>
    <x v="1"/>
    <s v="Divorced"/>
    <n v="13757"/>
    <n v="2"/>
    <x v="1"/>
    <n v="11"/>
    <s v="Excellent"/>
    <s v="High"/>
    <n v="5"/>
    <x v="1"/>
    <x v="0"/>
    <x v="3"/>
  </r>
  <r>
    <n v="1469"/>
    <n v="28"/>
    <x v="1"/>
    <x v="0"/>
    <x v="0"/>
    <n v="5"/>
    <x v="3"/>
    <s v="Medical"/>
    <s v="Very high"/>
    <x v="1"/>
    <s v="High"/>
    <x v="0"/>
    <x v="3"/>
    <s v="Single"/>
    <n v="8463"/>
    <n v="0"/>
    <x v="1"/>
    <n v="18"/>
    <s v="Excellent"/>
    <s v="Very high"/>
    <n v="4"/>
    <x v="1"/>
    <x v="2"/>
    <x v="3"/>
  </r>
  <r>
    <n v="1471"/>
    <n v="44"/>
    <x v="1"/>
    <x v="2"/>
    <x v="1"/>
    <n v="5"/>
    <x v="3"/>
    <s v="Life Sciences"/>
    <s v="High"/>
    <x v="1"/>
    <s v="Medium"/>
    <x v="2"/>
    <x v="2"/>
    <s v="Single"/>
    <n v="3162"/>
    <n v="3"/>
    <x v="1"/>
    <n v="14"/>
    <s v="Excellent"/>
    <s v="Very high"/>
    <n v="5"/>
    <x v="1"/>
    <x v="0"/>
    <x v="2"/>
  </r>
  <r>
    <n v="1472"/>
    <n v="53"/>
    <x v="1"/>
    <x v="0"/>
    <x v="1"/>
    <n v="2"/>
    <x v="3"/>
    <s v="Medical"/>
    <s v="Very high"/>
    <x v="1"/>
    <s v="Very high"/>
    <x v="7"/>
    <x v="1"/>
    <s v="Single"/>
    <n v="16598"/>
    <n v="4"/>
    <x v="1"/>
    <n v="12"/>
    <s v="Excellent"/>
    <s v="Medium"/>
    <n v="2"/>
    <x v="2"/>
    <x v="1"/>
    <x v="3"/>
  </r>
  <r>
    <n v="1473"/>
    <n v="49"/>
    <x v="1"/>
    <x v="0"/>
    <x v="1"/>
    <n v="5"/>
    <x v="2"/>
    <s v="Technical Degree"/>
    <s v="Low"/>
    <x v="1"/>
    <s v="High"/>
    <x v="4"/>
    <x v="2"/>
    <s v="Married"/>
    <n v="6651"/>
    <n v="2"/>
    <x v="1"/>
    <n v="14"/>
    <s v="Excellent"/>
    <s v="Medium"/>
    <n v="0"/>
    <x v="2"/>
    <x v="1"/>
    <x v="0"/>
  </r>
  <r>
    <n v="1474"/>
    <n v="40"/>
    <x v="1"/>
    <x v="0"/>
    <x v="1"/>
    <n v="2"/>
    <x v="3"/>
    <s v="Medical"/>
    <s v="High"/>
    <x v="1"/>
    <s v="High"/>
    <x v="1"/>
    <x v="2"/>
    <s v="Divorced"/>
    <n v="2345"/>
    <n v="2"/>
    <x v="1"/>
    <n v="14"/>
    <s v="Excellent"/>
    <s v="High"/>
    <n v="3"/>
    <x v="3"/>
    <x v="0"/>
    <x v="1"/>
  </r>
  <r>
    <n v="1475"/>
    <n v="44"/>
    <x v="1"/>
    <x v="0"/>
    <x v="1"/>
    <n v="20"/>
    <x v="3"/>
    <s v="Life Sciences"/>
    <s v="Very high"/>
    <x v="1"/>
    <s v="High"/>
    <x v="1"/>
    <x v="1"/>
    <s v="Single"/>
    <n v="3420"/>
    <n v="1"/>
    <x v="1"/>
    <n v="13"/>
    <s v="Excellent"/>
    <s v="High"/>
    <n v="3"/>
    <x v="2"/>
    <x v="0"/>
    <x v="2"/>
  </r>
  <r>
    <n v="1477"/>
    <n v="33"/>
    <x v="1"/>
    <x v="1"/>
    <x v="0"/>
    <n v="7"/>
    <x v="3"/>
    <s v="Medical"/>
    <s v="Very high"/>
    <x v="1"/>
    <s v="High"/>
    <x v="0"/>
    <x v="3"/>
    <s v="Married"/>
    <n v="4373"/>
    <n v="0"/>
    <x v="1"/>
    <n v="14"/>
    <s v="Excellent"/>
    <s v="Low"/>
    <n v="2"/>
    <x v="1"/>
    <x v="2"/>
    <x v="2"/>
  </r>
  <r>
    <n v="1478"/>
    <n v="34"/>
    <x v="1"/>
    <x v="0"/>
    <x v="0"/>
    <n v="3"/>
    <x v="3"/>
    <s v="Other"/>
    <s v="Very high"/>
    <x v="1"/>
    <s v="Low"/>
    <x v="0"/>
    <x v="3"/>
    <s v="Single"/>
    <n v="4759"/>
    <n v="3"/>
    <x v="1"/>
    <n v="18"/>
    <s v="Excellent"/>
    <s v="Very high"/>
    <n v="2"/>
    <x v="1"/>
    <x v="2"/>
    <x v="2"/>
  </r>
  <r>
    <n v="1479"/>
    <n v="30"/>
    <x v="1"/>
    <x v="0"/>
    <x v="0"/>
    <n v="16"/>
    <x v="1"/>
    <s v="Life Sciences"/>
    <s v="Very high"/>
    <x v="1"/>
    <s v="High"/>
    <x v="0"/>
    <x v="2"/>
    <s v="Married"/>
    <n v="5301"/>
    <n v="8"/>
    <x v="1"/>
    <n v="15"/>
    <s v="Excellent"/>
    <s v="High"/>
    <n v="2"/>
    <x v="2"/>
    <x v="2"/>
    <x v="0"/>
  </r>
  <r>
    <n v="1480"/>
    <n v="42"/>
    <x v="1"/>
    <x v="1"/>
    <x v="1"/>
    <n v="9"/>
    <x v="0"/>
    <s v="Medical"/>
    <s v="Low"/>
    <x v="0"/>
    <s v="High"/>
    <x v="2"/>
    <x v="0"/>
    <s v="Single"/>
    <n v="3673"/>
    <n v="1"/>
    <x v="1"/>
    <n v="13"/>
    <s v="Excellent"/>
    <s v="High"/>
    <n v="3"/>
    <x v="1"/>
    <x v="0"/>
    <x v="2"/>
  </r>
  <r>
    <n v="1481"/>
    <n v="44"/>
    <x v="1"/>
    <x v="1"/>
    <x v="0"/>
    <n v="1"/>
    <x v="4"/>
    <s v="Marketing"/>
    <s v="Low"/>
    <x v="0"/>
    <s v="High"/>
    <x v="0"/>
    <x v="2"/>
    <s v="Married"/>
    <n v="4768"/>
    <n v="7"/>
    <x v="1"/>
    <n v="12"/>
    <s v="Excellent"/>
    <s v="High"/>
    <n v="4"/>
    <x v="2"/>
    <x v="0"/>
    <x v="2"/>
  </r>
  <r>
    <n v="1482"/>
    <n v="30"/>
    <x v="1"/>
    <x v="2"/>
    <x v="1"/>
    <n v="7"/>
    <x v="3"/>
    <s v="Technical Degree"/>
    <s v="High"/>
    <x v="1"/>
    <s v="High"/>
    <x v="1"/>
    <x v="2"/>
    <s v="Divorced"/>
    <n v="1274"/>
    <n v="1"/>
    <x v="1"/>
    <n v="13"/>
    <s v="Excellent"/>
    <s v="Medium"/>
    <n v="2"/>
    <x v="2"/>
    <x v="2"/>
    <x v="1"/>
  </r>
  <r>
    <n v="1483"/>
    <n v="57"/>
    <x v="1"/>
    <x v="0"/>
    <x v="1"/>
    <n v="1"/>
    <x v="0"/>
    <s v="Life Sciences"/>
    <s v="Medium"/>
    <x v="1"/>
    <s v="Very high"/>
    <x v="1"/>
    <x v="2"/>
    <s v="Married"/>
    <n v="4900"/>
    <n v="0"/>
    <x v="1"/>
    <n v="24"/>
    <s v="Outstanding"/>
    <s v="Low"/>
    <n v="2"/>
    <x v="2"/>
    <x v="3"/>
    <x v="2"/>
  </r>
  <r>
    <n v="1484"/>
    <n v="49"/>
    <x v="1"/>
    <x v="0"/>
    <x v="1"/>
    <n v="7"/>
    <x v="2"/>
    <s v="Life Sciences"/>
    <s v="High"/>
    <x v="1"/>
    <s v="High"/>
    <x v="4"/>
    <x v="1"/>
    <s v="Divorced"/>
    <n v="10466"/>
    <n v="3"/>
    <x v="1"/>
    <n v="14"/>
    <s v="Excellent"/>
    <s v="Medium"/>
    <n v="3"/>
    <x v="1"/>
    <x v="1"/>
    <x v="3"/>
  </r>
  <r>
    <n v="1485"/>
    <n v="34"/>
    <x v="1"/>
    <x v="1"/>
    <x v="1"/>
    <n v="15"/>
    <x v="3"/>
    <s v="Medical"/>
    <s v="Medium"/>
    <x v="1"/>
    <s v="High"/>
    <x v="7"/>
    <x v="3"/>
    <s v="Divorced"/>
    <n v="17007"/>
    <n v="7"/>
    <x v="1"/>
    <n v="14"/>
    <s v="Excellent"/>
    <s v="Very high"/>
    <n v="3"/>
    <x v="2"/>
    <x v="2"/>
    <x v="3"/>
  </r>
  <r>
    <n v="1486"/>
    <n v="28"/>
    <x v="0"/>
    <x v="1"/>
    <x v="0"/>
    <n v="1"/>
    <x v="3"/>
    <s v="Technical Degree"/>
    <s v="Low"/>
    <x v="1"/>
    <s v="High"/>
    <x v="6"/>
    <x v="2"/>
    <s v="Married"/>
    <n v="2909"/>
    <n v="3"/>
    <x v="1"/>
    <n v="15"/>
    <s v="Excellent"/>
    <s v="Very high"/>
    <n v="3"/>
    <x v="3"/>
    <x v="2"/>
    <x v="1"/>
  </r>
  <r>
    <n v="1487"/>
    <n v="29"/>
    <x v="0"/>
    <x v="1"/>
    <x v="0"/>
    <n v="13"/>
    <x v="3"/>
    <s v="Technical Degree"/>
    <s v="Low"/>
    <x v="0"/>
    <s v="High"/>
    <x v="0"/>
    <x v="1"/>
    <s v="Single"/>
    <n v="5765"/>
    <n v="5"/>
    <x v="1"/>
    <n v="11"/>
    <s v="Excellent"/>
    <s v="Low"/>
    <n v="4"/>
    <x v="0"/>
    <x v="2"/>
    <x v="0"/>
  </r>
  <r>
    <n v="1489"/>
    <n v="34"/>
    <x v="0"/>
    <x v="0"/>
    <x v="0"/>
    <n v="24"/>
    <x v="2"/>
    <s v="Medical"/>
    <s v="Low"/>
    <x v="0"/>
    <s v="Medium"/>
    <x v="0"/>
    <x v="1"/>
    <s v="Single"/>
    <n v="4599"/>
    <n v="0"/>
    <x v="0"/>
    <n v="23"/>
    <s v="Outstanding"/>
    <s v="High"/>
    <n v="2"/>
    <x v="3"/>
    <x v="2"/>
    <x v="2"/>
  </r>
  <r>
    <n v="1492"/>
    <n v="35"/>
    <x v="1"/>
    <x v="0"/>
    <x v="0"/>
    <n v="7"/>
    <x v="1"/>
    <s v="Life Sciences"/>
    <s v="Very high"/>
    <x v="1"/>
    <s v="High"/>
    <x v="6"/>
    <x v="2"/>
    <s v="Married"/>
    <n v="2404"/>
    <n v="1"/>
    <x v="1"/>
    <n v="13"/>
    <s v="Excellent"/>
    <s v="Low"/>
    <n v="3"/>
    <x v="1"/>
    <x v="0"/>
    <x v="1"/>
  </r>
  <r>
    <n v="1494"/>
    <n v="24"/>
    <x v="0"/>
    <x v="1"/>
    <x v="1"/>
    <n v="9"/>
    <x v="3"/>
    <s v="Medical"/>
    <s v="Medium"/>
    <x v="1"/>
    <s v="High"/>
    <x v="2"/>
    <x v="3"/>
    <s v="Single"/>
    <n v="3172"/>
    <n v="2"/>
    <x v="0"/>
    <n v="11"/>
    <s v="Excellent"/>
    <s v="High"/>
    <n v="2"/>
    <x v="2"/>
    <x v="4"/>
    <x v="2"/>
  </r>
  <r>
    <n v="1495"/>
    <n v="24"/>
    <x v="1"/>
    <x v="2"/>
    <x v="0"/>
    <n v="13"/>
    <x v="0"/>
    <s v="Life Sciences"/>
    <s v="Very high"/>
    <x v="0"/>
    <s v="High"/>
    <x v="6"/>
    <x v="1"/>
    <s v="Married"/>
    <n v="2033"/>
    <n v="1"/>
    <x v="1"/>
    <n v="13"/>
    <s v="Excellent"/>
    <s v="High"/>
    <n v="2"/>
    <x v="1"/>
    <x v="4"/>
    <x v="1"/>
  </r>
  <r>
    <n v="1496"/>
    <n v="44"/>
    <x v="1"/>
    <x v="1"/>
    <x v="1"/>
    <n v="2"/>
    <x v="1"/>
    <s v="Medical"/>
    <s v="Medium"/>
    <x v="1"/>
    <s v="High"/>
    <x v="3"/>
    <x v="2"/>
    <s v="Single"/>
    <n v="10209"/>
    <n v="5"/>
    <x v="0"/>
    <n v="18"/>
    <s v="Excellent"/>
    <s v="Medium"/>
    <n v="2"/>
    <x v="2"/>
    <x v="0"/>
    <x v="3"/>
  </r>
  <r>
    <n v="1497"/>
    <n v="29"/>
    <x v="1"/>
    <x v="0"/>
    <x v="0"/>
    <n v="19"/>
    <x v="3"/>
    <s v="Life Sciences"/>
    <s v="High"/>
    <x v="1"/>
    <s v="Medium"/>
    <x v="0"/>
    <x v="2"/>
    <s v="Divorced"/>
    <n v="8620"/>
    <n v="1"/>
    <x v="1"/>
    <n v="14"/>
    <s v="Excellent"/>
    <s v="High"/>
    <n v="3"/>
    <x v="1"/>
    <x v="2"/>
    <x v="3"/>
  </r>
  <r>
    <n v="1499"/>
    <n v="30"/>
    <x v="1"/>
    <x v="0"/>
    <x v="2"/>
    <n v="1"/>
    <x v="3"/>
    <s v="Life Sciences"/>
    <s v="High"/>
    <x v="1"/>
    <s v="High"/>
    <x v="8"/>
    <x v="2"/>
    <s v="Divorced"/>
    <n v="2064"/>
    <n v="0"/>
    <x v="1"/>
    <n v="21"/>
    <s v="Outstanding"/>
    <s v="Low"/>
    <n v="3"/>
    <x v="3"/>
    <x v="2"/>
    <x v="1"/>
  </r>
  <r>
    <n v="1501"/>
    <n v="55"/>
    <x v="1"/>
    <x v="0"/>
    <x v="1"/>
    <n v="4"/>
    <x v="2"/>
    <s v="Life Sciences"/>
    <s v="Very high"/>
    <x v="1"/>
    <s v="High"/>
    <x v="4"/>
    <x v="2"/>
    <s v="Married"/>
    <n v="4035"/>
    <n v="0"/>
    <x v="0"/>
    <n v="16"/>
    <s v="Excellent"/>
    <s v="Medium"/>
    <n v="2"/>
    <x v="1"/>
    <x v="3"/>
    <x v="2"/>
  </r>
  <r>
    <n v="1502"/>
    <n v="33"/>
    <x v="1"/>
    <x v="0"/>
    <x v="1"/>
    <n v="4"/>
    <x v="2"/>
    <s v="Medical"/>
    <s v="Low"/>
    <x v="0"/>
    <s v="Medium"/>
    <x v="2"/>
    <x v="1"/>
    <s v="Married"/>
    <n v="3838"/>
    <n v="8"/>
    <x v="1"/>
    <n v="11"/>
    <s v="Excellent"/>
    <s v="Very high"/>
    <n v="5"/>
    <x v="1"/>
    <x v="2"/>
    <x v="2"/>
  </r>
  <r>
    <n v="1503"/>
    <n v="47"/>
    <x v="1"/>
    <x v="0"/>
    <x v="0"/>
    <n v="14"/>
    <x v="3"/>
    <s v="Medical"/>
    <s v="High"/>
    <x v="0"/>
    <s v="High"/>
    <x v="0"/>
    <x v="2"/>
    <s v="Married"/>
    <n v="4591"/>
    <n v="3"/>
    <x v="0"/>
    <n v="17"/>
    <s v="Excellent"/>
    <s v="High"/>
    <n v="4"/>
    <x v="2"/>
    <x v="1"/>
    <x v="2"/>
  </r>
  <r>
    <n v="1504"/>
    <n v="28"/>
    <x v="0"/>
    <x v="1"/>
    <x v="1"/>
    <n v="2"/>
    <x v="0"/>
    <s v="Medical"/>
    <s v="High"/>
    <x v="1"/>
    <s v="Medium"/>
    <x v="2"/>
    <x v="3"/>
    <s v="Single"/>
    <n v="2561"/>
    <n v="7"/>
    <x v="1"/>
    <n v="11"/>
    <s v="Excellent"/>
    <s v="High"/>
    <n v="2"/>
    <x v="2"/>
    <x v="2"/>
    <x v="1"/>
  </r>
  <r>
    <n v="1506"/>
    <n v="28"/>
    <x v="1"/>
    <x v="0"/>
    <x v="1"/>
    <n v="1"/>
    <x v="3"/>
    <s v="Life Sciences"/>
    <s v="Low"/>
    <x v="1"/>
    <s v="Medium"/>
    <x v="1"/>
    <x v="2"/>
    <s v="Divorced"/>
    <n v="1563"/>
    <n v="1"/>
    <x v="1"/>
    <n v="14"/>
    <s v="Excellent"/>
    <s v="Very high"/>
    <n v="2"/>
    <x v="0"/>
    <x v="2"/>
    <x v="1"/>
  </r>
  <r>
    <n v="1507"/>
    <n v="28"/>
    <x v="1"/>
    <x v="1"/>
    <x v="0"/>
    <n v="7"/>
    <x v="3"/>
    <s v="Life Sciences"/>
    <s v="High"/>
    <x v="1"/>
    <s v="High"/>
    <x v="0"/>
    <x v="3"/>
    <s v="Single"/>
    <n v="4898"/>
    <n v="0"/>
    <x v="1"/>
    <n v="14"/>
    <s v="Excellent"/>
    <s v="Very high"/>
    <n v="5"/>
    <x v="1"/>
    <x v="2"/>
    <x v="2"/>
  </r>
  <r>
    <n v="1509"/>
    <n v="49"/>
    <x v="1"/>
    <x v="0"/>
    <x v="1"/>
    <n v="3"/>
    <x v="0"/>
    <s v="Medical"/>
    <s v="High"/>
    <x v="0"/>
    <s v="Medium"/>
    <x v="2"/>
    <x v="3"/>
    <s v="Married"/>
    <n v="4789"/>
    <n v="4"/>
    <x v="1"/>
    <n v="25"/>
    <s v="Outstanding"/>
    <s v="Low"/>
    <n v="3"/>
    <x v="1"/>
    <x v="1"/>
    <x v="2"/>
  </r>
  <r>
    <n v="1513"/>
    <n v="29"/>
    <x v="1"/>
    <x v="1"/>
    <x v="1"/>
    <n v="2"/>
    <x v="1"/>
    <s v="Life Sciences"/>
    <s v="Very high"/>
    <x v="0"/>
    <s v="High"/>
    <x v="2"/>
    <x v="1"/>
    <s v="Married"/>
    <n v="3180"/>
    <n v="0"/>
    <x v="1"/>
    <n v="13"/>
    <s v="Excellent"/>
    <s v="High"/>
    <n v="3"/>
    <x v="1"/>
    <x v="2"/>
    <x v="2"/>
  </r>
  <r>
    <n v="1514"/>
    <n v="28"/>
    <x v="1"/>
    <x v="0"/>
    <x v="1"/>
    <n v="29"/>
    <x v="1"/>
    <s v="Life Sciences"/>
    <s v="High"/>
    <x v="1"/>
    <s v="Low"/>
    <x v="3"/>
    <x v="1"/>
    <s v="Married"/>
    <n v="6549"/>
    <n v="1"/>
    <x v="1"/>
    <n v="14"/>
    <s v="Excellent"/>
    <s v="Medium"/>
    <n v="2"/>
    <x v="2"/>
    <x v="2"/>
    <x v="0"/>
  </r>
  <r>
    <n v="1515"/>
    <n v="33"/>
    <x v="1"/>
    <x v="0"/>
    <x v="1"/>
    <n v="8"/>
    <x v="4"/>
    <s v="Life Sciences"/>
    <s v="Very high"/>
    <x v="1"/>
    <s v="High"/>
    <x v="4"/>
    <x v="2"/>
    <s v="Single"/>
    <n v="6388"/>
    <n v="2"/>
    <x v="0"/>
    <n v="17"/>
    <s v="Excellent"/>
    <s v="Low"/>
    <n v="6"/>
    <x v="1"/>
    <x v="2"/>
    <x v="0"/>
  </r>
  <r>
    <n v="1516"/>
    <n v="32"/>
    <x v="1"/>
    <x v="0"/>
    <x v="1"/>
    <n v="10"/>
    <x v="3"/>
    <s v="Medical"/>
    <s v="High"/>
    <x v="1"/>
    <s v="High"/>
    <x v="5"/>
    <x v="0"/>
    <s v="Single"/>
    <n v="11244"/>
    <n v="2"/>
    <x v="1"/>
    <n v="25"/>
    <s v="Outstanding"/>
    <s v="Medium"/>
    <n v="5"/>
    <x v="3"/>
    <x v="2"/>
    <x v="3"/>
  </r>
  <r>
    <n v="1520"/>
    <n v="54"/>
    <x v="1"/>
    <x v="1"/>
    <x v="1"/>
    <n v="11"/>
    <x v="2"/>
    <s v="Medical"/>
    <s v="Medium"/>
    <x v="0"/>
    <s v="High"/>
    <x v="5"/>
    <x v="0"/>
    <s v="Divorced"/>
    <n v="16032"/>
    <n v="3"/>
    <x v="1"/>
    <n v="20"/>
    <s v="Outstanding"/>
    <s v="Low"/>
    <n v="2"/>
    <x v="1"/>
    <x v="1"/>
    <x v="3"/>
  </r>
  <r>
    <n v="1522"/>
    <n v="29"/>
    <x v="0"/>
    <x v="0"/>
    <x v="1"/>
    <n v="1"/>
    <x v="2"/>
    <s v="Technical Degree"/>
    <s v="Low"/>
    <x v="1"/>
    <s v="Medium"/>
    <x v="1"/>
    <x v="3"/>
    <s v="Single"/>
    <n v="2362"/>
    <n v="6"/>
    <x v="1"/>
    <n v="13"/>
    <s v="Excellent"/>
    <s v="High"/>
    <n v="2"/>
    <x v="0"/>
    <x v="2"/>
    <x v="1"/>
  </r>
  <r>
    <n v="1523"/>
    <n v="44"/>
    <x v="1"/>
    <x v="0"/>
    <x v="1"/>
    <n v="28"/>
    <x v="3"/>
    <s v="Life Sciences"/>
    <s v="Very high"/>
    <x v="1"/>
    <s v="High"/>
    <x v="7"/>
    <x v="3"/>
    <s v="Married"/>
    <n v="16328"/>
    <n v="3"/>
    <x v="1"/>
    <n v="13"/>
    <s v="Excellent"/>
    <s v="High"/>
    <n v="1"/>
    <x v="3"/>
    <x v="0"/>
    <x v="3"/>
  </r>
  <r>
    <n v="1525"/>
    <n v="39"/>
    <x v="1"/>
    <x v="0"/>
    <x v="1"/>
    <n v="6"/>
    <x v="3"/>
    <s v="Life Sciences"/>
    <s v="Medium"/>
    <x v="0"/>
    <s v="High"/>
    <x v="3"/>
    <x v="1"/>
    <s v="Single"/>
    <n v="8376"/>
    <n v="4"/>
    <x v="1"/>
    <n v="18"/>
    <s v="Excellent"/>
    <s v="Very high"/>
    <n v="3"/>
    <x v="1"/>
    <x v="0"/>
    <x v="3"/>
  </r>
  <r>
    <n v="1527"/>
    <n v="46"/>
    <x v="1"/>
    <x v="0"/>
    <x v="0"/>
    <n v="3"/>
    <x v="3"/>
    <s v="Life Sciences"/>
    <s v="High"/>
    <x v="0"/>
    <s v="High"/>
    <x v="5"/>
    <x v="1"/>
    <s v="Married"/>
    <n v="16606"/>
    <n v="8"/>
    <x v="1"/>
    <n v="12"/>
    <s v="Excellent"/>
    <s v="Very high"/>
    <n v="2"/>
    <x v="3"/>
    <x v="1"/>
    <x v="3"/>
  </r>
  <r>
    <n v="1529"/>
    <n v="35"/>
    <x v="1"/>
    <x v="0"/>
    <x v="1"/>
    <n v="16"/>
    <x v="3"/>
    <s v="Life Sciences"/>
    <s v="Very high"/>
    <x v="0"/>
    <s v="Medium"/>
    <x v="4"/>
    <x v="1"/>
    <s v="Single"/>
    <n v="8606"/>
    <n v="1"/>
    <x v="1"/>
    <n v="19"/>
    <s v="Excellent"/>
    <s v="Very high"/>
    <n v="3"/>
    <x v="0"/>
    <x v="0"/>
    <x v="3"/>
  </r>
  <r>
    <n v="1533"/>
    <n v="23"/>
    <x v="1"/>
    <x v="0"/>
    <x v="1"/>
    <n v="20"/>
    <x v="1"/>
    <s v="Life Sciences"/>
    <s v="Low"/>
    <x v="1"/>
    <s v="High"/>
    <x v="2"/>
    <x v="2"/>
    <s v="Single"/>
    <n v="2272"/>
    <n v="0"/>
    <x v="1"/>
    <n v="14"/>
    <s v="Excellent"/>
    <s v="Medium"/>
    <n v="2"/>
    <x v="1"/>
    <x v="4"/>
    <x v="1"/>
  </r>
  <r>
    <n v="1534"/>
    <n v="40"/>
    <x v="0"/>
    <x v="0"/>
    <x v="1"/>
    <n v="9"/>
    <x v="2"/>
    <s v="Life Sciences"/>
    <s v="Very high"/>
    <x v="1"/>
    <s v="High"/>
    <x v="2"/>
    <x v="3"/>
    <s v="Single"/>
    <n v="2018"/>
    <n v="3"/>
    <x v="1"/>
    <n v="14"/>
    <s v="Excellent"/>
    <s v="Medium"/>
    <n v="3"/>
    <x v="0"/>
    <x v="0"/>
    <x v="1"/>
  </r>
  <r>
    <n v="1535"/>
    <n v="34"/>
    <x v="1"/>
    <x v="0"/>
    <x v="0"/>
    <n v="1"/>
    <x v="3"/>
    <s v="Technical Degree"/>
    <s v="Very high"/>
    <x v="1"/>
    <s v="Medium"/>
    <x v="0"/>
    <x v="2"/>
    <s v="Married"/>
    <n v="7083"/>
    <n v="1"/>
    <x v="0"/>
    <n v="14"/>
    <s v="Excellent"/>
    <s v="Very high"/>
    <n v="3"/>
    <x v="1"/>
    <x v="2"/>
    <x v="0"/>
  </r>
  <r>
    <n v="1537"/>
    <n v="31"/>
    <x v="0"/>
    <x v="1"/>
    <x v="1"/>
    <n v="3"/>
    <x v="3"/>
    <s v="Life Sciences"/>
    <s v="Very high"/>
    <x v="0"/>
    <s v="High"/>
    <x v="1"/>
    <x v="2"/>
    <s v="Single"/>
    <n v="4084"/>
    <n v="1"/>
    <x v="1"/>
    <n v="12"/>
    <s v="Excellent"/>
    <s v="Low"/>
    <n v="2"/>
    <x v="0"/>
    <x v="2"/>
    <x v="2"/>
  </r>
  <r>
    <n v="1539"/>
    <n v="50"/>
    <x v="1"/>
    <x v="1"/>
    <x v="1"/>
    <n v="22"/>
    <x v="4"/>
    <s v="Medical"/>
    <s v="High"/>
    <x v="1"/>
    <s v="Low"/>
    <x v="7"/>
    <x v="0"/>
    <s v="Single"/>
    <n v="14411"/>
    <n v="1"/>
    <x v="0"/>
    <n v="13"/>
    <s v="Excellent"/>
    <s v="Very high"/>
    <n v="2"/>
    <x v="1"/>
    <x v="1"/>
    <x v="3"/>
  </r>
  <r>
    <n v="1541"/>
    <n v="34"/>
    <x v="1"/>
    <x v="0"/>
    <x v="0"/>
    <n v="7"/>
    <x v="0"/>
    <s v="Technical Degree"/>
    <s v="Medium"/>
    <x v="1"/>
    <s v="High"/>
    <x v="6"/>
    <x v="2"/>
    <s v="Married"/>
    <n v="2308"/>
    <n v="0"/>
    <x v="0"/>
    <n v="25"/>
    <s v="Outstanding"/>
    <s v="Medium"/>
    <n v="4"/>
    <x v="1"/>
    <x v="2"/>
    <x v="1"/>
  </r>
  <r>
    <n v="1542"/>
    <n v="42"/>
    <x v="1"/>
    <x v="0"/>
    <x v="1"/>
    <n v="2"/>
    <x v="3"/>
    <s v="Medical"/>
    <s v="High"/>
    <x v="1"/>
    <s v="Medium"/>
    <x v="2"/>
    <x v="1"/>
    <s v="Married"/>
    <n v="4841"/>
    <n v="4"/>
    <x v="1"/>
    <n v="14"/>
    <s v="Excellent"/>
    <s v="Medium"/>
    <n v="3"/>
    <x v="1"/>
    <x v="0"/>
    <x v="2"/>
  </r>
  <r>
    <n v="1543"/>
    <n v="37"/>
    <x v="1"/>
    <x v="0"/>
    <x v="1"/>
    <n v="13"/>
    <x v="3"/>
    <s v="Medical"/>
    <s v="Low"/>
    <x v="1"/>
    <s v="High"/>
    <x v="1"/>
    <x v="0"/>
    <s v="Married"/>
    <n v="4285"/>
    <n v="1"/>
    <x v="1"/>
    <n v="17"/>
    <s v="Excellent"/>
    <s v="Low"/>
    <n v="2"/>
    <x v="1"/>
    <x v="0"/>
    <x v="2"/>
  </r>
  <r>
    <n v="1544"/>
    <n v="29"/>
    <x v="1"/>
    <x v="0"/>
    <x v="1"/>
    <n v="8"/>
    <x v="1"/>
    <s v="Other"/>
    <s v="High"/>
    <x v="0"/>
    <s v="Low"/>
    <x v="4"/>
    <x v="3"/>
    <s v="Married"/>
    <n v="9715"/>
    <n v="3"/>
    <x v="1"/>
    <n v="13"/>
    <s v="Excellent"/>
    <s v="High"/>
    <n v="3"/>
    <x v="1"/>
    <x v="2"/>
    <x v="3"/>
  </r>
  <r>
    <n v="1545"/>
    <n v="33"/>
    <x v="1"/>
    <x v="0"/>
    <x v="1"/>
    <n v="25"/>
    <x v="3"/>
    <s v="Life Sciences"/>
    <s v="Very high"/>
    <x v="1"/>
    <s v="Medium"/>
    <x v="3"/>
    <x v="1"/>
    <s v="Single"/>
    <n v="4320"/>
    <n v="1"/>
    <x v="1"/>
    <n v="13"/>
    <s v="Excellent"/>
    <s v="Very high"/>
    <n v="2"/>
    <x v="1"/>
    <x v="2"/>
    <x v="2"/>
  </r>
  <r>
    <n v="1546"/>
    <n v="45"/>
    <x v="1"/>
    <x v="0"/>
    <x v="1"/>
    <n v="28"/>
    <x v="3"/>
    <s v="Technical Degree"/>
    <s v="Very high"/>
    <x v="1"/>
    <s v="High"/>
    <x v="1"/>
    <x v="0"/>
    <s v="Married"/>
    <n v="2132"/>
    <n v="4"/>
    <x v="1"/>
    <n v="20"/>
    <s v="Outstanding"/>
    <s v="Very high"/>
    <n v="3"/>
    <x v="1"/>
    <x v="1"/>
    <x v="1"/>
  </r>
  <r>
    <n v="1547"/>
    <n v="42"/>
    <x v="1"/>
    <x v="1"/>
    <x v="1"/>
    <n v="2"/>
    <x v="3"/>
    <s v="Life Sciences"/>
    <s v="Very high"/>
    <x v="1"/>
    <s v="High"/>
    <x v="4"/>
    <x v="0"/>
    <s v="Married"/>
    <n v="10124"/>
    <n v="2"/>
    <x v="0"/>
    <n v="14"/>
    <s v="Excellent"/>
    <s v="High"/>
    <n v="3"/>
    <x v="0"/>
    <x v="0"/>
    <x v="3"/>
  </r>
  <r>
    <n v="1548"/>
    <n v="40"/>
    <x v="1"/>
    <x v="0"/>
    <x v="0"/>
    <n v="9"/>
    <x v="0"/>
    <s v="Medical"/>
    <s v="Low"/>
    <x v="1"/>
    <s v="High"/>
    <x v="0"/>
    <x v="3"/>
    <s v="Married"/>
    <n v="5473"/>
    <n v="0"/>
    <x v="1"/>
    <n v="12"/>
    <s v="Excellent"/>
    <s v="Very high"/>
    <n v="5"/>
    <x v="3"/>
    <x v="0"/>
    <x v="0"/>
  </r>
  <r>
    <n v="1549"/>
    <n v="33"/>
    <x v="1"/>
    <x v="0"/>
    <x v="1"/>
    <n v="28"/>
    <x v="2"/>
    <s v="Life Sciences"/>
    <s v="Medium"/>
    <x v="1"/>
    <s v="High"/>
    <x v="2"/>
    <x v="2"/>
    <s v="Married"/>
    <n v="5207"/>
    <n v="1"/>
    <x v="0"/>
    <n v="12"/>
    <s v="Excellent"/>
    <s v="Medium"/>
    <n v="3"/>
    <x v="1"/>
    <x v="2"/>
    <x v="0"/>
  </r>
  <r>
    <n v="1550"/>
    <n v="40"/>
    <x v="1"/>
    <x v="0"/>
    <x v="2"/>
    <n v="6"/>
    <x v="0"/>
    <s v="Medical"/>
    <s v="High"/>
    <x v="1"/>
    <s v="High"/>
    <x v="5"/>
    <x v="0"/>
    <s v="Single"/>
    <n v="16437"/>
    <n v="1"/>
    <x v="0"/>
    <n v="21"/>
    <s v="Outstanding"/>
    <s v="Very high"/>
    <n v="2"/>
    <x v="1"/>
    <x v="0"/>
    <x v="3"/>
  </r>
  <r>
    <n v="1551"/>
    <n v="24"/>
    <x v="1"/>
    <x v="0"/>
    <x v="1"/>
    <n v="21"/>
    <x v="0"/>
    <s v="Technical Degree"/>
    <s v="High"/>
    <x v="1"/>
    <s v="Medium"/>
    <x v="2"/>
    <x v="3"/>
    <s v="Divorced"/>
    <n v="2296"/>
    <n v="0"/>
    <x v="1"/>
    <n v="14"/>
    <s v="Excellent"/>
    <s v="Medium"/>
    <n v="3"/>
    <x v="1"/>
    <x v="4"/>
    <x v="1"/>
  </r>
  <r>
    <n v="1552"/>
    <n v="40"/>
    <x v="1"/>
    <x v="2"/>
    <x v="1"/>
    <n v="8"/>
    <x v="0"/>
    <s v="Life Sciences"/>
    <s v="Very high"/>
    <x v="1"/>
    <s v="High"/>
    <x v="4"/>
    <x v="0"/>
    <s v="Divorced"/>
    <n v="4069"/>
    <n v="3"/>
    <x v="0"/>
    <n v="18"/>
    <s v="Excellent"/>
    <s v="High"/>
    <n v="2"/>
    <x v="1"/>
    <x v="0"/>
    <x v="2"/>
  </r>
  <r>
    <n v="1553"/>
    <n v="45"/>
    <x v="1"/>
    <x v="0"/>
    <x v="1"/>
    <n v="1"/>
    <x v="2"/>
    <s v="Technical Degree"/>
    <s v="Low"/>
    <x v="1"/>
    <s v="High"/>
    <x v="4"/>
    <x v="1"/>
    <s v="Divorced"/>
    <n v="7441"/>
    <n v="1"/>
    <x v="1"/>
    <n v="12"/>
    <s v="Excellent"/>
    <s v="Low"/>
    <n v="4"/>
    <x v="1"/>
    <x v="1"/>
    <x v="0"/>
  </r>
  <r>
    <n v="1554"/>
    <n v="35"/>
    <x v="1"/>
    <x v="0"/>
    <x v="0"/>
    <n v="28"/>
    <x v="2"/>
    <s v="Life Sciences"/>
    <s v="Medium"/>
    <x v="0"/>
    <s v="Medium"/>
    <x v="6"/>
    <x v="2"/>
    <s v="Married"/>
    <n v="2430"/>
    <n v="0"/>
    <x v="1"/>
    <n v="23"/>
    <s v="Outstanding"/>
    <s v="Low"/>
    <n v="5"/>
    <x v="1"/>
    <x v="0"/>
    <x v="1"/>
  </r>
  <r>
    <n v="1555"/>
    <n v="32"/>
    <x v="1"/>
    <x v="0"/>
    <x v="1"/>
    <n v="5"/>
    <x v="0"/>
    <s v="Life Sciences"/>
    <s v="Very high"/>
    <x v="0"/>
    <s v="Medium"/>
    <x v="1"/>
    <x v="1"/>
    <s v="Married"/>
    <n v="5878"/>
    <n v="3"/>
    <x v="1"/>
    <n v="12"/>
    <s v="Excellent"/>
    <s v="Low"/>
    <n v="2"/>
    <x v="1"/>
    <x v="2"/>
    <x v="0"/>
  </r>
  <r>
    <n v="1556"/>
    <n v="36"/>
    <x v="1"/>
    <x v="0"/>
    <x v="0"/>
    <n v="2"/>
    <x v="2"/>
    <s v="Life Sciences"/>
    <s v="High"/>
    <x v="1"/>
    <s v="High"/>
    <x v="6"/>
    <x v="0"/>
    <s v="Single"/>
    <n v="2644"/>
    <n v="3"/>
    <x v="0"/>
    <n v="21"/>
    <s v="Outstanding"/>
    <s v="Very high"/>
    <n v="3"/>
    <x v="2"/>
    <x v="0"/>
    <x v="1"/>
  </r>
  <r>
    <n v="1557"/>
    <n v="48"/>
    <x v="1"/>
    <x v="0"/>
    <x v="0"/>
    <n v="16"/>
    <x v="2"/>
    <s v="Life Sciences"/>
    <s v="High"/>
    <x v="0"/>
    <s v="High"/>
    <x v="0"/>
    <x v="2"/>
    <s v="Divorced"/>
    <n v="6439"/>
    <n v="8"/>
    <x v="1"/>
    <n v="14"/>
    <s v="Excellent"/>
    <s v="High"/>
    <n v="2"/>
    <x v="1"/>
    <x v="1"/>
    <x v="0"/>
  </r>
  <r>
    <n v="1558"/>
    <n v="29"/>
    <x v="1"/>
    <x v="0"/>
    <x v="1"/>
    <n v="9"/>
    <x v="3"/>
    <s v="Life Sciences"/>
    <s v="High"/>
    <x v="1"/>
    <s v="Very high"/>
    <x v="1"/>
    <x v="2"/>
    <s v="Married"/>
    <n v="2451"/>
    <n v="6"/>
    <x v="1"/>
    <n v="18"/>
    <s v="Excellent"/>
    <s v="Low"/>
    <n v="2"/>
    <x v="2"/>
    <x v="2"/>
    <x v="1"/>
  </r>
  <r>
    <n v="1560"/>
    <n v="33"/>
    <x v="1"/>
    <x v="0"/>
    <x v="0"/>
    <n v="8"/>
    <x v="2"/>
    <s v="Life Sciences"/>
    <s v="Low"/>
    <x v="1"/>
    <s v="High"/>
    <x v="0"/>
    <x v="3"/>
    <s v="Married"/>
    <n v="6392"/>
    <n v="2"/>
    <x v="1"/>
    <n v="13"/>
    <s v="Excellent"/>
    <s v="Very high"/>
    <n v="6"/>
    <x v="0"/>
    <x v="2"/>
    <x v="0"/>
  </r>
  <r>
    <n v="1562"/>
    <n v="30"/>
    <x v="0"/>
    <x v="0"/>
    <x v="0"/>
    <n v="1"/>
    <x v="3"/>
    <s v="Life Sciences"/>
    <s v="Medium"/>
    <x v="1"/>
    <s v="Medium"/>
    <x v="0"/>
    <x v="3"/>
    <s v="Married"/>
    <n v="9714"/>
    <n v="1"/>
    <x v="1"/>
    <n v="11"/>
    <s v="Excellent"/>
    <s v="Very high"/>
    <n v="4"/>
    <x v="1"/>
    <x v="2"/>
    <x v="3"/>
  </r>
  <r>
    <n v="1563"/>
    <n v="38"/>
    <x v="1"/>
    <x v="1"/>
    <x v="2"/>
    <n v="10"/>
    <x v="2"/>
    <s v="Human Resources"/>
    <s v="High"/>
    <x v="1"/>
    <s v="High"/>
    <x v="8"/>
    <x v="2"/>
    <s v="Married"/>
    <n v="6077"/>
    <n v="3"/>
    <x v="1"/>
    <n v="11"/>
    <s v="Excellent"/>
    <s v="High"/>
    <n v="2"/>
    <x v="1"/>
    <x v="0"/>
    <x v="0"/>
  </r>
  <r>
    <n v="1564"/>
    <n v="35"/>
    <x v="1"/>
    <x v="0"/>
    <x v="1"/>
    <n v="1"/>
    <x v="3"/>
    <s v="Medical"/>
    <s v="Very high"/>
    <x v="1"/>
    <s v="Medium"/>
    <x v="2"/>
    <x v="3"/>
    <s v="Single"/>
    <n v="2450"/>
    <n v="1"/>
    <x v="1"/>
    <n v="19"/>
    <s v="Excellent"/>
    <s v="Medium"/>
    <n v="3"/>
    <x v="1"/>
    <x v="0"/>
    <x v="1"/>
  </r>
  <r>
    <n v="1568"/>
    <n v="30"/>
    <x v="1"/>
    <x v="0"/>
    <x v="0"/>
    <n v="29"/>
    <x v="2"/>
    <s v="Technical Degree"/>
    <s v="High"/>
    <x v="1"/>
    <s v="High"/>
    <x v="0"/>
    <x v="1"/>
    <s v="Married"/>
    <n v="9250"/>
    <n v="3"/>
    <x v="1"/>
    <n v="12"/>
    <s v="Excellent"/>
    <s v="Medium"/>
    <n v="3"/>
    <x v="1"/>
    <x v="2"/>
    <x v="3"/>
  </r>
  <r>
    <n v="1569"/>
    <n v="35"/>
    <x v="0"/>
    <x v="0"/>
    <x v="1"/>
    <n v="2"/>
    <x v="3"/>
    <s v="Life Sciences"/>
    <s v="Low"/>
    <x v="0"/>
    <s v="High"/>
    <x v="2"/>
    <x v="3"/>
    <s v="Divorced"/>
    <n v="2074"/>
    <n v="1"/>
    <x v="0"/>
    <n v="12"/>
    <s v="Excellent"/>
    <s v="Very high"/>
    <n v="2"/>
    <x v="1"/>
    <x v="0"/>
    <x v="1"/>
  </r>
  <r>
    <n v="1572"/>
    <n v="53"/>
    <x v="0"/>
    <x v="0"/>
    <x v="1"/>
    <n v="2"/>
    <x v="4"/>
    <s v="Technical Degree"/>
    <s v="High"/>
    <x v="0"/>
    <s v="Medium"/>
    <x v="3"/>
    <x v="0"/>
    <s v="Married"/>
    <n v="10169"/>
    <n v="0"/>
    <x v="1"/>
    <n v="16"/>
    <s v="Excellent"/>
    <s v="Medium"/>
    <n v="4"/>
    <x v="1"/>
    <x v="1"/>
    <x v="3"/>
  </r>
  <r>
    <n v="1573"/>
    <n v="38"/>
    <x v="0"/>
    <x v="0"/>
    <x v="1"/>
    <n v="2"/>
    <x v="3"/>
    <s v="Medical"/>
    <s v="High"/>
    <x v="1"/>
    <s v="High"/>
    <x v="3"/>
    <x v="1"/>
    <s v="Married"/>
    <n v="4855"/>
    <n v="4"/>
    <x v="1"/>
    <n v="11"/>
    <s v="Excellent"/>
    <s v="Low"/>
    <n v="2"/>
    <x v="1"/>
    <x v="0"/>
    <x v="2"/>
  </r>
  <r>
    <n v="1574"/>
    <n v="32"/>
    <x v="1"/>
    <x v="2"/>
    <x v="1"/>
    <n v="1"/>
    <x v="2"/>
    <s v="Technical Degree"/>
    <s v="Very high"/>
    <x v="1"/>
    <s v="High"/>
    <x v="1"/>
    <x v="3"/>
    <s v="Married"/>
    <n v="4087"/>
    <n v="4"/>
    <x v="1"/>
    <n v="14"/>
    <s v="Excellent"/>
    <s v="Medium"/>
    <n v="3"/>
    <x v="2"/>
    <x v="2"/>
    <x v="2"/>
  </r>
  <r>
    <n v="1576"/>
    <n v="48"/>
    <x v="1"/>
    <x v="0"/>
    <x v="1"/>
    <n v="15"/>
    <x v="2"/>
    <s v="Other"/>
    <s v="High"/>
    <x v="0"/>
    <s v="High"/>
    <x v="1"/>
    <x v="3"/>
    <s v="Married"/>
    <n v="2367"/>
    <n v="8"/>
    <x v="1"/>
    <n v="12"/>
    <s v="Excellent"/>
    <s v="Very high"/>
    <n v="3"/>
    <x v="2"/>
    <x v="1"/>
    <x v="1"/>
  </r>
  <r>
    <n v="1577"/>
    <n v="34"/>
    <x v="1"/>
    <x v="0"/>
    <x v="1"/>
    <n v="7"/>
    <x v="2"/>
    <s v="Medical"/>
    <s v="Low"/>
    <x v="1"/>
    <s v="High"/>
    <x v="1"/>
    <x v="0"/>
    <s v="Single"/>
    <n v="2972"/>
    <n v="1"/>
    <x v="1"/>
    <n v="13"/>
    <s v="Excellent"/>
    <s v="High"/>
    <n v="4"/>
    <x v="0"/>
    <x v="2"/>
    <x v="1"/>
  </r>
  <r>
    <n v="1578"/>
    <n v="55"/>
    <x v="1"/>
    <x v="0"/>
    <x v="0"/>
    <n v="26"/>
    <x v="4"/>
    <s v="Marketing"/>
    <s v="High"/>
    <x v="1"/>
    <s v="Medium"/>
    <x v="5"/>
    <x v="0"/>
    <s v="Married"/>
    <n v="19586"/>
    <n v="1"/>
    <x v="1"/>
    <n v="21"/>
    <s v="Outstanding"/>
    <s v="High"/>
    <n v="3"/>
    <x v="1"/>
    <x v="3"/>
    <x v="3"/>
  </r>
  <r>
    <n v="1580"/>
    <n v="34"/>
    <x v="1"/>
    <x v="0"/>
    <x v="1"/>
    <n v="1"/>
    <x v="2"/>
    <s v="Life Sciences"/>
    <s v="Medium"/>
    <x v="1"/>
    <s v="High"/>
    <x v="1"/>
    <x v="0"/>
    <s v="Married"/>
    <n v="5484"/>
    <n v="9"/>
    <x v="1"/>
    <n v="17"/>
    <s v="Excellent"/>
    <s v="Medium"/>
    <n v="3"/>
    <x v="2"/>
    <x v="2"/>
    <x v="0"/>
  </r>
  <r>
    <n v="1581"/>
    <n v="26"/>
    <x v="1"/>
    <x v="0"/>
    <x v="1"/>
    <n v="3"/>
    <x v="3"/>
    <s v="Life Sciences"/>
    <s v="Low"/>
    <x v="0"/>
    <s v="High"/>
    <x v="1"/>
    <x v="0"/>
    <s v="Married"/>
    <n v="2061"/>
    <n v="1"/>
    <x v="1"/>
    <n v="21"/>
    <s v="Outstanding"/>
    <s v="Low"/>
    <n v="5"/>
    <x v="1"/>
    <x v="2"/>
    <x v="1"/>
  </r>
  <r>
    <n v="1582"/>
    <n v="38"/>
    <x v="1"/>
    <x v="0"/>
    <x v="0"/>
    <n v="14"/>
    <x v="3"/>
    <s v="Life Sciences"/>
    <s v="High"/>
    <x v="1"/>
    <s v="High"/>
    <x v="0"/>
    <x v="1"/>
    <s v="Married"/>
    <n v="9924"/>
    <n v="0"/>
    <x v="1"/>
    <n v="11"/>
    <s v="Excellent"/>
    <s v="Very high"/>
    <n v="3"/>
    <x v="1"/>
    <x v="0"/>
    <x v="3"/>
  </r>
  <r>
    <n v="1583"/>
    <n v="38"/>
    <x v="1"/>
    <x v="0"/>
    <x v="0"/>
    <n v="16"/>
    <x v="3"/>
    <s v="Life Sciences"/>
    <s v="Medium"/>
    <x v="0"/>
    <s v="High"/>
    <x v="0"/>
    <x v="1"/>
    <s v="Single"/>
    <n v="4198"/>
    <n v="2"/>
    <x v="1"/>
    <n v="12"/>
    <s v="Excellent"/>
    <s v="Medium"/>
    <n v="5"/>
    <x v="3"/>
    <x v="0"/>
    <x v="2"/>
  </r>
  <r>
    <n v="1585"/>
    <n v="36"/>
    <x v="1"/>
    <x v="0"/>
    <x v="0"/>
    <n v="1"/>
    <x v="2"/>
    <s v="Life Sciences"/>
    <s v="Medium"/>
    <x v="0"/>
    <s v="High"/>
    <x v="0"/>
    <x v="2"/>
    <s v="Single"/>
    <n v="6815"/>
    <n v="6"/>
    <x v="1"/>
    <n v="13"/>
    <s v="Excellent"/>
    <s v="Low"/>
    <n v="5"/>
    <x v="1"/>
    <x v="0"/>
    <x v="0"/>
  </r>
  <r>
    <n v="1586"/>
    <n v="29"/>
    <x v="1"/>
    <x v="0"/>
    <x v="1"/>
    <n v="3"/>
    <x v="1"/>
    <s v="Medical"/>
    <s v="Medium"/>
    <x v="1"/>
    <s v="High"/>
    <x v="2"/>
    <x v="3"/>
    <s v="Single"/>
    <n v="4723"/>
    <n v="1"/>
    <x v="0"/>
    <n v="18"/>
    <s v="Excellent"/>
    <s v="Very high"/>
    <n v="3"/>
    <x v="1"/>
    <x v="2"/>
    <x v="2"/>
  </r>
  <r>
    <n v="1587"/>
    <n v="35"/>
    <x v="1"/>
    <x v="0"/>
    <x v="1"/>
    <n v="10"/>
    <x v="2"/>
    <s v="Medical"/>
    <s v="Low"/>
    <x v="0"/>
    <s v="High"/>
    <x v="4"/>
    <x v="2"/>
    <s v="Single"/>
    <n v="6142"/>
    <n v="3"/>
    <x v="0"/>
    <n v="16"/>
    <s v="Excellent"/>
    <s v="High"/>
    <n v="4"/>
    <x v="1"/>
    <x v="0"/>
    <x v="0"/>
  </r>
  <r>
    <n v="1588"/>
    <n v="39"/>
    <x v="1"/>
    <x v="0"/>
    <x v="0"/>
    <n v="6"/>
    <x v="3"/>
    <s v="Medical"/>
    <s v="Very high"/>
    <x v="1"/>
    <s v="Very high"/>
    <x v="0"/>
    <x v="2"/>
    <s v="Married"/>
    <n v="8237"/>
    <n v="2"/>
    <x v="1"/>
    <n v="11"/>
    <s v="Excellent"/>
    <s v="Low"/>
    <n v="3"/>
    <x v="1"/>
    <x v="0"/>
    <x v="3"/>
  </r>
  <r>
    <n v="1590"/>
    <n v="29"/>
    <x v="1"/>
    <x v="1"/>
    <x v="1"/>
    <n v="2"/>
    <x v="1"/>
    <s v="Life Sciences"/>
    <s v="Low"/>
    <x v="1"/>
    <s v="High"/>
    <x v="4"/>
    <x v="0"/>
    <s v="Divorced"/>
    <n v="8853"/>
    <n v="1"/>
    <x v="1"/>
    <n v="19"/>
    <s v="Excellent"/>
    <s v="Very high"/>
    <n v="0"/>
    <x v="3"/>
    <x v="2"/>
    <x v="3"/>
  </r>
  <r>
    <n v="1591"/>
    <n v="50"/>
    <x v="1"/>
    <x v="0"/>
    <x v="0"/>
    <n v="9"/>
    <x v="3"/>
    <s v="Marketing"/>
    <s v="High"/>
    <x v="1"/>
    <s v="High"/>
    <x v="5"/>
    <x v="2"/>
    <s v="Married"/>
    <n v="19331"/>
    <n v="4"/>
    <x v="0"/>
    <n v="16"/>
    <s v="Excellent"/>
    <s v="High"/>
    <n v="2"/>
    <x v="1"/>
    <x v="1"/>
    <x v="3"/>
  </r>
  <r>
    <n v="1592"/>
    <n v="23"/>
    <x v="1"/>
    <x v="0"/>
    <x v="1"/>
    <n v="10"/>
    <x v="3"/>
    <s v="Technical Degree"/>
    <s v="Very high"/>
    <x v="1"/>
    <s v="Very high"/>
    <x v="1"/>
    <x v="2"/>
    <s v="Married"/>
    <n v="2073"/>
    <n v="2"/>
    <x v="1"/>
    <n v="16"/>
    <s v="Excellent"/>
    <s v="Very high"/>
    <n v="2"/>
    <x v="1"/>
    <x v="4"/>
    <x v="1"/>
  </r>
  <r>
    <n v="1594"/>
    <n v="36"/>
    <x v="1"/>
    <x v="1"/>
    <x v="1"/>
    <n v="6"/>
    <x v="2"/>
    <s v="Life Sciences"/>
    <s v="Low"/>
    <x v="1"/>
    <s v="Very high"/>
    <x v="2"/>
    <x v="3"/>
    <s v="Married"/>
    <n v="5562"/>
    <n v="3"/>
    <x v="0"/>
    <n v="13"/>
    <s v="Excellent"/>
    <s v="Very high"/>
    <n v="3"/>
    <x v="1"/>
    <x v="0"/>
    <x v="0"/>
  </r>
  <r>
    <n v="1595"/>
    <n v="42"/>
    <x v="1"/>
    <x v="0"/>
    <x v="1"/>
    <n v="9"/>
    <x v="0"/>
    <s v="Other"/>
    <s v="Very high"/>
    <x v="1"/>
    <s v="Medium"/>
    <x v="5"/>
    <x v="0"/>
    <s v="Single"/>
    <n v="19613"/>
    <n v="8"/>
    <x v="1"/>
    <n v="22"/>
    <s v="Outstanding"/>
    <s v="Very high"/>
    <n v="2"/>
    <x v="1"/>
    <x v="0"/>
    <x v="3"/>
  </r>
  <r>
    <n v="1596"/>
    <n v="35"/>
    <x v="1"/>
    <x v="0"/>
    <x v="1"/>
    <n v="28"/>
    <x v="3"/>
    <s v="Life Sciences"/>
    <s v="Medium"/>
    <x v="1"/>
    <s v="Very high"/>
    <x v="2"/>
    <x v="2"/>
    <s v="Married"/>
    <n v="3407"/>
    <n v="1"/>
    <x v="1"/>
    <n v="17"/>
    <s v="Excellent"/>
    <s v="Very high"/>
    <n v="3"/>
    <x v="2"/>
    <x v="0"/>
    <x v="2"/>
  </r>
  <r>
    <n v="1597"/>
    <n v="34"/>
    <x v="1"/>
    <x v="1"/>
    <x v="1"/>
    <n v="10"/>
    <x v="2"/>
    <s v="Technical Degree"/>
    <s v="Very high"/>
    <x v="1"/>
    <s v="Medium"/>
    <x v="4"/>
    <x v="2"/>
    <s v="Married"/>
    <n v="5063"/>
    <n v="1"/>
    <x v="1"/>
    <n v="14"/>
    <s v="Excellent"/>
    <s v="Medium"/>
    <n v="3"/>
    <x v="2"/>
    <x v="2"/>
    <x v="0"/>
  </r>
  <r>
    <n v="1598"/>
    <n v="40"/>
    <x v="1"/>
    <x v="0"/>
    <x v="0"/>
    <n v="14"/>
    <x v="0"/>
    <s v="Life Sciences"/>
    <s v="Very high"/>
    <x v="0"/>
    <s v="High"/>
    <x v="0"/>
    <x v="3"/>
    <s v="Married"/>
    <n v="4639"/>
    <n v="1"/>
    <x v="1"/>
    <n v="15"/>
    <s v="Excellent"/>
    <s v="High"/>
    <n v="2"/>
    <x v="1"/>
    <x v="0"/>
    <x v="2"/>
  </r>
  <r>
    <n v="1599"/>
    <n v="43"/>
    <x v="1"/>
    <x v="0"/>
    <x v="1"/>
    <n v="27"/>
    <x v="3"/>
    <s v="Technical Degree"/>
    <s v="Very high"/>
    <x v="1"/>
    <s v="Very high"/>
    <x v="2"/>
    <x v="1"/>
    <s v="Divorced"/>
    <n v="4876"/>
    <n v="5"/>
    <x v="1"/>
    <n v="12"/>
    <s v="Excellent"/>
    <s v="High"/>
    <n v="0"/>
    <x v="1"/>
    <x v="0"/>
    <x v="2"/>
  </r>
  <r>
    <n v="1601"/>
    <n v="35"/>
    <x v="1"/>
    <x v="0"/>
    <x v="1"/>
    <n v="7"/>
    <x v="0"/>
    <s v="Life Sciences"/>
    <s v="High"/>
    <x v="1"/>
    <s v="Medium"/>
    <x v="2"/>
    <x v="0"/>
    <s v="Married"/>
    <n v="2690"/>
    <n v="1"/>
    <x v="1"/>
    <n v="18"/>
    <s v="Excellent"/>
    <s v="Very high"/>
    <n v="5"/>
    <x v="2"/>
    <x v="0"/>
    <x v="1"/>
  </r>
  <r>
    <n v="1602"/>
    <n v="46"/>
    <x v="1"/>
    <x v="0"/>
    <x v="0"/>
    <n v="1"/>
    <x v="2"/>
    <s v="Life Sciences"/>
    <s v="Very high"/>
    <x v="1"/>
    <s v="Very high"/>
    <x v="5"/>
    <x v="3"/>
    <s v="Single"/>
    <n v="17567"/>
    <n v="1"/>
    <x v="1"/>
    <n v="15"/>
    <s v="Excellent"/>
    <s v="Medium"/>
    <n v="5"/>
    <x v="0"/>
    <x v="1"/>
    <x v="3"/>
  </r>
  <r>
    <n v="1604"/>
    <n v="28"/>
    <x v="0"/>
    <x v="0"/>
    <x v="1"/>
    <n v="24"/>
    <x v="3"/>
    <s v="Medical"/>
    <s v="High"/>
    <x v="1"/>
    <s v="High"/>
    <x v="2"/>
    <x v="1"/>
    <s v="Married"/>
    <n v="2408"/>
    <n v="1"/>
    <x v="0"/>
    <n v="17"/>
    <s v="Excellent"/>
    <s v="High"/>
    <n v="3"/>
    <x v="1"/>
    <x v="2"/>
    <x v="1"/>
  </r>
  <r>
    <n v="1605"/>
    <n v="22"/>
    <x v="1"/>
    <x v="2"/>
    <x v="1"/>
    <n v="26"/>
    <x v="0"/>
    <s v="Other"/>
    <s v="Medium"/>
    <x v="0"/>
    <s v="Medium"/>
    <x v="1"/>
    <x v="2"/>
    <s v="Married"/>
    <n v="2814"/>
    <n v="1"/>
    <x v="0"/>
    <n v="14"/>
    <s v="Excellent"/>
    <s v="Medium"/>
    <n v="2"/>
    <x v="2"/>
    <x v="4"/>
    <x v="1"/>
  </r>
  <r>
    <n v="1606"/>
    <n v="50"/>
    <x v="1"/>
    <x v="1"/>
    <x v="1"/>
    <n v="20"/>
    <x v="4"/>
    <s v="Medical"/>
    <s v="Medium"/>
    <x v="1"/>
    <s v="High"/>
    <x v="4"/>
    <x v="2"/>
    <s v="Married"/>
    <n v="11245"/>
    <n v="2"/>
    <x v="0"/>
    <n v="15"/>
    <s v="Excellent"/>
    <s v="High"/>
    <n v="3"/>
    <x v="1"/>
    <x v="1"/>
    <x v="3"/>
  </r>
  <r>
    <n v="1607"/>
    <n v="32"/>
    <x v="1"/>
    <x v="0"/>
    <x v="1"/>
    <n v="5"/>
    <x v="2"/>
    <s v="Other"/>
    <s v="Medium"/>
    <x v="0"/>
    <s v="Very high"/>
    <x v="1"/>
    <x v="0"/>
    <s v="Married"/>
    <n v="3312"/>
    <n v="3"/>
    <x v="1"/>
    <n v="17"/>
    <s v="Excellent"/>
    <s v="Very high"/>
    <n v="3"/>
    <x v="1"/>
    <x v="2"/>
    <x v="2"/>
  </r>
  <r>
    <n v="1608"/>
    <n v="44"/>
    <x v="1"/>
    <x v="0"/>
    <x v="1"/>
    <n v="7"/>
    <x v="3"/>
    <s v="Medical"/>
    <s v="Medium"/>
    <x v="0"/>
    <s v="High"/>
    <x v="7"/>
    <x v="0"/>
    <s v="Divorced"/>
    <n v="19049"/>
    <n v="0"/>
    <x v="0"/>
    <n v="14"/>
    <s v="Excellent"/>
    <s v="Very high"/>
    <n v="4"/>
    <x v="2"/>
    <x v="0"/>
    <x v="3"/>
  </r>
  <r>
    <n v="1609"/>
    <n v="30"/>
    <x v="1"/>
    <x v="0"/>
    <x v="1"/>
    <n v="7"/>
    <x v="3"/>
    <s v="Medical"/>
    <s v="Medium"/>
    <x v="1"/>
    <s v="Medium"/>
    <x v="1"/>
    <x v="1"/>
    <s v="Married"/>
    <n v="2141"/>
    <n v="1"/>
    <x v="1"/>
    <n v="12"/>
    <s v="Excellent"/>
    <s v="Medium"/>
    <n v="3"/>
    <x v="2"/>
    <x v="2"/>
    <x v="1"/>
  </r>
  <r>
    <n v="1611"/>
    <n v="45"/>
    <x v="1"/>
    <x v="0"/>
    <x v="1"/>
    <n v="5"/>
    <x v="4"/>
    <s v="Medical"/>
    <s v="High"/>
    <x v="0"/>
    <s v="Low"/>
    <x v="2"/>
    <x v="3"/>
    <s v="Single"/>
    <n v="5769"/>
    <n v="1"/>
    <x v="0"/>
    <n v="14"/>
    <s v="Excellent"/>
    <s v="Low"/>
    <n v="3"/>
    <x v="1"/>
    <x v="1"/>
    <x v="0"/>
  </r>
  <r>
    <n v="1612"/>
    <n v="45"/>
    <x v="1"/>
    <x v="2"/>
    <x v="0"/>
    <n v="26"/>
    <x v="3"/>
    <s v="Marketing"/>
    <s v="Low"/>
    <x v="1"/>
    <s v="Medium"/>
    <x v="0"/>
    <x v="3"/>
    <s v="Married"/>
    <n v="4385"/>
    <n v="1"/>
    <x v="1"/>
    <n v="15"/>
    <s v="Excellent"/>
    <s v="Low"/>
    <n v="2"/>
    <x v="1"/>
    <x v="1"/>
    <x v="2"/>
  </r>
  <r>
    <n v="1613"/>
    <n v="31"/>
    <x v="1"/>
    <x v="1"/>
    <x v="0"/>
    <n v="2"/>
    <x v="2"/>
    <s v="Other"/>
    <s v="Very high"/>
    <x v="1"/>
    <s v="High"/>
    <x v="0"/>
    <x v="3"/>
    <s v="Single"/>
    <n v="5332"/>
    <n v="7"/>
    <x v="1"/>
    <n v="13"/>
    <s v="Excellent"/>
    <s v="Very high"/>
    <n v="3"/>
    <x v="1"/>
    <x v="2"/>
    <x v="0"/>
  </r>
  <r>
    <n v="1614"/>
    <n v="36"/>
    <x v="1"/>
    <x v="0"/>
    <x v="1"/>
    <n v="12"/>
    <x v="2"/>
    <s v="Life Sciences"/>
    <s v="High"/>
    <x v="0"/>
    <s v="High"/>
    <x v="3"/>
    <x v="2"/>
    <s v="Married"/>
    <n v="4663"/>
    <n v="9"/>
    <x v="0"/>
    <n v="12"/>
    <s v="Excellent"/>
    <s v="Medium"/>
    <n v="2"/>
    <x v="1"/>
    <x v="0"/>
    <x v="2"/>
  </r>
  <r>
    <n v="1615"/>
    <n v="34"/>
    <x v="1"/>
    <x v="1"/>
    <x v="1"/>
    <n v="10"/>
    <x v="2"/>
    <s v="Life Sciences"/>
    <s v="High"/>
    <x v="1"/>
    <s v="Very high"/>
    <x v="3"/>
    <x v="0"/>
    <s v="Divorced"/>
    <n v="4724"/>
    <n v="1"/>
    <x v="1"/>
    <n v="13"/>
    <s v="Excellent"/>
    <s v="Low"/>
    <n v="3"/>
    <x v="1"/>
    <x v="2"/>
    <x v="2"/>
  </r>
  <r>
    <n v="1617"/>
    <n v="49"/>
    <x v="1"/>
    <x v="0"/>
    <x v="1"/>
    <n v="25"/>
    <x v="2"/>
    <s v="Life Sciences"/>
    <s v="High"/>
    <x v="0"/>
    <s v="High"/>
    <x v="2"/>
    <x v="3"/>
    <s v="Married"/>
    <n v="3211"/>
    <n v="1"/>
    <x v="1"/>
    <n v="14"/>
    <s v="Excellent"/>
    <s v="Very high"/>
    <n v="3"/>
    <x v="2"/>
    <x v="1"/>
    <x v="2"/>
  </r>
  <r>
    <n v="1618"/>
    <n v="39"/>
    <x v="1"/>
    <x v="0"/>
    <x v="1"/>
    <n v="10"/>
    <x v="4"/>
    <s v="Medical"/>
    <s v="Medium"/>
    <x v="1"/>
    <s v="High"/>
    <x v="3"/>
    <x v="3"/>
    <s v="Married"/>
    <n v="5377"/>
    <n v="2"/>
    <x v="1"/>
    <n v="13"/>
    <s v="Excellent"/>
    <s v="Very high"/>
    <n v="3"/>
    <x v="1"/>
    <x v="0"/>
    <x v="0"/>
  </r>
  <r>
    <n v="1619"/>
    <n v="27"/>
    <x v="1"/>
    <x v="0"/>
    <x v="1"/>
    <n v="19"/>
    <x v="3"/>
    <s v="Other"/>
    <s v="Very high"/>
    <x v="1"/>
    <s v="Medium"/>
    <x v="2"/>
    <x v="3"/>
    <s v="Divorced"/>
    <n v="4066"/>
    <n v="1"/>
    <x v="1"/>
    <n v="11"/>
    <s v="Excellent"/>
    <s v="Low"/>
    <n v="3"/>
    <x v="1"/>
    <x v="2"/>
    <x v="2"/>
  </r>
  <r>
    <n v="1621"/>
    <n v="35"/>
    <x v="1"/>
    <x v="0"/>
    <x v="1"/>
    <n v="18"/>
    <x v="4"/>
    <s v="Life Sciences"/>
    <s v="Medium"/>
    <x v="1"/>
    <s v="Very high"/>
    <x v="1"/>
    <x v="3"/>
    <s v="Married"/>
    <n v="5208"/>
    <n v="1"/>
    <x v="1"/>
    <n v="11"/>
    <s v="Excellent"/>
    <s v="Very high"/>
    <n v="2"/>
    <x v="1"/>
    <x v="0"/>
    <x v="0"/>
  </r>
  <r>
    <n v="1622"/>
    <n v="28"/>
    <x v="1"/>
    <x v="0"/>
    <x v="1"/>
    <n v="27"/>
    <x v="3"/>
    <s v="Medical"/>
    <s v="Medium"/>
    <x v="0"/>
    <s v="Low"/>
    <x v="3"/>
    <x v="3"/>
    <s v="Divorced"/>
    <n v="4877"/>
    <n v="0"/>
    <x v="1"/>
    <n v="21"/>
    <s v="Outstanding"/>
    <s v="Medium"/>
    <n v="5"/>
    <x v="2"/>
    <x v="2"/>
    <x v="2"/>
  </r>
  <r>
    <n v="1623"/>
    <n v="21"/>
    <x v="1"/>
    <x v="0"/>
    <x v="1"/>
    <n v="5"/>
    <x v="1"/>
    <s v="Medical"/>
    <s v="High"/>
    <x v="1"/>
    <s v="High"/>
    <x v="1"/>
    <x v="0"/>
    <s v="Single"/>
    <n v="3117"/>
    <n v="1"/>
    <x v="1"/>
    <n v="18"/>
    <s v="Excellent"/>
    <s v="High"/>
    <n v="2"/>
    <x v="1"/>
    <x v="4"/>
    <x v="2"/>
  </r>
  <r>
    <n v="1624"/>
    <n v="18"/>
    <x v="0"/>
    <x v="1"/>
    <x v="0"/>
    <n v="3"/>
    <x v="0"/>
    <s v="Medical"/>
    <s v="Medium"/>
    <x v="0"/>
    <s v="High"/>
    <x v="6"/>
    <x v="0"/>
    <s v="Single"/>
    <n v="1569"/>
    <n v="1"/>
    <x v="0"/>
    <n v="12"/>
    <s v="Excellent"/>
    <s v="High"/>
    <n v="2"/>
    <x v="3"/>
    <x v="4"/>
    <x v="1"/>
  </r>
  <r>
    <n v="1625"/>
    <n v="47"/>
    <x v="1"/>
    <x v="0"/>
    <x v="2"/>
    <n v="26"/>
    <x v="2"/>
    <s v="Life Sciences"/>
    <s v="Very high"/>
    <x v="0"/>
    <s v="High"/>
    <x v="5"/>
    <x v="2"/>
    <s v="Married"/>
    <n v="19658"/>
    <n v="3"/>
    <x v="1"/>
    <n v="11"/>
    <s v="Excellent"/>
    <s v="High"/>
    <n v="2"/>
    <x v="1"/>
    <x v="1"/>
    <x v="3"/>
  </r>
  <r>
    <n v="1627"/>
    <n v="39"/>
    <x v="1"/>
    <x v="0"/>
    <x v="1"/>
    <n v="3"/>
    <x v="0"/>
    <s v="Medical"/>
    <s v="High"/>
    <x v="1"/>
    <s v="Medium"/>
    <x v="2"/>
    <x v="2"/>
    <s v="Divorced"/>
    <n v="3069"/>
    <n v="0"/>
    <x v="1"/>
    <n v="15"/>
    <s v="Excellent"/>
    <s v="Very high"/>
    <n v="3"/>
    <x v="1"/>
    <x v="0"/>
    <x v="2"/>
  </r>
  <r>
    <n v="1628"/>
    <n v="40"/>
    <x v="1"/>
    <x v="0"/>
    <x v="1"/>
    <n v="15"/>
    <x v="3"/>
    <s v="Life Sciences"/>
    <s v="Low"/>
    <x v="0"/>
    <s v="Medium"/>
    <x v="3"/>
    <x v="2"/>
    <s v="Married"/>
    <n v="10435"/>
    <n v="1"/>
    <x v="1"/>
    <n v="13"/>
    <s v="Excellent"/>
    <s v="Very high"/>
    <n v="2"/>
    <x v="1"/>
    <x v="0"/>
    <x v="3"/>
  </r>
  <r>
    <n v="1630"/>
    <n v="35"/>
    <x v="1"/>
    <x v="2"/>
    <x v="1"/>
    <n v="8"/>
    <x v="2"/>
    <s v="Life Sciences"/>
    <s v="High"/>
    <x v="0"/>
    <s v="High"/>
    <x v="4"/>
    <x v="2"/>
    <s v="Married"/>
    <n v="4148"/>
    <n v="1"/>
    <x v="1"/>
    <n v="12"/>
    <s v="Excellent"/>
    <s v="Very high"/>
    <n v="5"/>
    <x v="1"/>
    <x v="0"/>
    <x v="2"/>
  </r>
  <r>
    <n v="1631"/>
    <n v="37"/>
    <x v="1"/>
    <x v="0"/>
    <x v="1"/>
    <n v="19"/>
    <x v="3"/>
    <s v="Life Sciences"/>
    <s v="High"/>
    <x v="1"/>
    <s v="High"/>
    <x v="3"/>
    <x v="2"/>
    <s v="Married"/>
    <n v="5768"/>
    <n v="3"/>
    <x v="1"/>
    <n v="17"/>
    <s v="Excellent"/>
    <s v="Low"/>
    <n v="2"/>
    <x v="2"/>
    <x v="0"/>
    <x v="0"/>
  </r>
  <r>
    <n v="1633"/>
    <n v="39"/>
    <x v="1"/>
    <x v="1"/>
    <x v="1"/>
    <n v="4"/>
    <x v="3"/>
    <s v="Medical"/>
    <s v="Low"/>
    <x v="0"/>
    <s v="High"/>
    <x v="3"/>
    <x v="2"/>
    <s v="Single"/>
    <n v="5042"/>
    <n v="0"/>
    <x v="1"/>
    <n v="13"/>
    <s v="Excellent"/>
    <s v="Very high"/>
    <n v="2"/>
    <x v="0"/>
    <x v="0"/>
    <x v="0"/>
  </r>
  <r>
    <n v="1635"/>
    <n v="45"/>
    <x v="1"/>
    <x v="0"/>
    <x v="1"/>
    <n v="2"/>
    <x v="0"/>
    <s v="Other"/>
    <s v="Very high"/>
    <x v="0"/>
    <s v="Medium"/>
    <x v="3"/>
    <x v="0"/>
    <s v="Divorced"/>
    <n v="5770"/>
    <n v="1"/>
    <x v="1"/>
    <n v="19"/>
    <s v="Excellent"/>
    <s v="Low"/>
    <n v="3"/>
    <x v="1"/>
    <x v="1"/>
    <x v="0"/>
  </r>
  <r>
    <n v="1638"/>
    <n v="38"/>
    <x v="1"/>
    <x v="0"/>
    <x v="1"/>
    <n v="2"/>
    <x v="0"/>
    <s v="Medical"/>
    <s v="Very high"/>
    <x v="0"/>
    <s v="Medium"/>
    <x v="3"/>
    <x v="2"/>
    <s v="Married"/>
    <n v="7756"/>
    <n v="3"/>
    <x v="0"/>
    <n v="19"/>
    <s v="Excellent"/>
    <s v="Very high"/>
    <n v="6"/>
    <x v="3"/>
    <x v="0"/>
    <x v="0"/>
  </r>
  <r>
    <n v="1639"/>
    <n v="35"/>
    <x v="0"/>
    <x v="0"/>
    <x v="0"/>
    <n v="10"/>
    <x v="3"/>
    <s v="Medical"/>
    <s v="Very high"/>
    <x v="1"/>
    <s v="Medium"/>
    <x v="0"/>
    <x v="3"/>
    <s v="Married"/>
    <n v="10306"/>
    <n v="9"/>
    <x v="1"/>
    <n v="17"/>
    <s v="Excellent"/>
    <s v="High"/>
    <n v="3"/>
    <x v="1"/>
    <x v="0"/>
    <x v="3"/>
  </r>
  <r>
    <n v="1640"/>
    <n v="37"/>
    <x v="1"/>
    <x v="0"/>
    <x v="1"/>
    <n v="10"/>
    <x v="3"/>
    <s v="Medical"/>
    <s v="Medium"/>
    <x v="0"/>
    <s v="High"/>
    <x v="1"/>
    <x v="1"/>
    <s v="Married"/>
    <n v="3936"/>
    <n v="1"/>
    <x v="1"/>
    <n v="11"/>
    <s v="Excellent"/>
    <s v="Low"/>
    <n v="2"/>
    <x v="0"/>
    <x v="0"/>
    <x v="2"/>
  </r>
  <r>
    <n v="1641"/>
    <n v="40"/>
    <x v="1"/>
    <x v="0"/>
    <x v="1"/>
    <n v="16"/>
    <x v="3"/>
    <s v="Life Sciences"/>
    <s v="High"/>
    <x v="0"/>
    <s v="High"/>
    <x v="3"/>
    <x v="0"/>
    <s v="Single"/>
    <n v="7945"/>
    <n v="6"/>
    <x v="0"/>
    <n v="15"/>
    <s v="Excellent"/>
    <s v="Very high"/>
    <n v="2"/>
    <x v="2"/>
    <x v="0"/>
    <x v="0"/>
  </r>
  <r>
    <n v="1642"/>
    <n v="44"/>
    <x v="1"/>
    <x v="1"/>
    <x v="2"/>
    <n v="1"/>
    <x v="4"/>
    <s v="Human Resources"/>
    <s v="Low"/>
    <x v="1"/>
    <s v="High"/>
    <x v="8"/>
    <x v="0"/>
    <s v="Married"/>
    <n v="5743"/>
    <n v="4"/>
    <x v="0"/>
    <n v="11"/>
    <s v="Excellent"/>
    <s v="High"/>
    <n v="3"/>
    <x v="1"/>
    <x v="0"/>
    <x v="0"/>
  </r>
  <r>
    <n v="1644"/>
    <n v="48"/>
    <x v="1"/>
    <x v="1"/>
    <x v="1"/>
    <n v="4"/>
    <x v="4"/>
    <s v="Medical"/>
    <s v="High"/>
    <x v="1"/>
    <s v="Medium"/>
    <x v="5"/>
    <x v="0"/>
    <s v="Married"/>
    <n v="15202"/>
    <n v="2"/>
    <x v="1"/>
    <n v="25"/>
    <s v="Outstanding"/>
    <s v="Medium"/>
    <n v="3"/>
    <x v="1"/>
    <x v="1"/>
    <x v="3"/>
  </r>
  <r>
    <n v="1645"/>
    <n v="35"/>
    <x v="0"/>
    <x v="0"/>
    <x v="0"/>
    <n v="15"/>
    <x v="0"/>
    <s v="Medical"/>
    <s v="Low"/>
    <x v="1"/>
    <s v="Low"/>
    <x v="0"/>
    <x v="0"/>
    <s v="Divorced"/>
    <n v="5440"/>
    <n v="6"/>
    <x v="0"/>
    <n v="14"/>
    <s v="Excellent"/>
    <s v="Very high"/>
    <n v="2"/>
    <x v="2"/>
    <x v="0"/>
    <x v="0"/>
  </r>
  <r>
    <n v="1646"/>
    <n v="24"/>
    <x v="1"/>
    <x v="1"/>
    <x v="1"/>
    <n v="2"/>
    <x v="1"/>
    <s v="Technical Degree"/>
    <s v="Low"/>
    <x v="0"/>
    <s v="High"/>
    <x v="1"/>
    <x v="0"/>
    <s v="Single"/>
    <n v="3760"/>
    <n v="1"/>
    <x v="0"/>
    <n v="13"/>
    <s v="Excellent"/>
    <s v="High"/>
    <n v="2"/>
    <x v="1"/>
    <x v="4"/>
    <x v="2"/>
  </r>
  <r>
    <n v="1647"/>
    <n v="27"/>
    <x v="1"/>
    <x v="0"/>
    <x v="1"/>
    <n v="8"/>
    <x v="3"/>
    <s v="Medical"/>
    <s v="Medium"/>
    <x v="0"/>
    <s v="Very high"/>
    <x v="1"/>
    <x v="2"/>
    <s v="Married"/>
    <n v="3517"/>
    <n v="7"/>
    <x v="1"/>
    <n v="17"/>
    <s v="Excellent"/>
    <s v="Low"/>
    <n v="0"/>
    <x v="1"/>
    <x v="2"/>
    <x v="2"/>
  </r>
  <r>
    <n v="1648"/>
    <n v="27"/>
    <x v="1"/>
    <x v="1"/>
    <x v="1"/>
    <n v="2"/>
    <x v="3"/>
    <s v="Medical"/>
    <s v="Very high"/>
    <x v="1"/>
    <s v="High"/>
    <x v="1"/>
    <x v="0"/>
    <s v="Single"/>
    <n v="2580"/>
    <n v="2"/>
    <x v="1"/>
    <n v="13"/>
    <s v="Excellent"/>
    <s v="High"/>
    <n v="0"/>
    <x v="2"/>
    <x v="2"/>
    <x v="1"/>
  </r>
  <r>
    <n v="1649"/>
    <n v="40"/>
    <x v="0"/>
    <x v="0"/>
    <x v="1"/>
    <n v="7"/>
    <x v="3"/>
    <s v="Life Sciences"/>
    <s v="Low"/>
    <x v="1"/>
    <s v="High"/>
    <x v="2"/>
    <x v="3"/>
    <s v="Single"/>
    <n v="2166"/>
    <n v="3"/>
    <x v="0"/>
    <n v="14"/>
    <s v="Excellent"/>
    <s v="Medium"/>
    <n v="3"/>
    <x v="0"/>
    <x v="0"/>
    <x v="1"/>
  </r>
  <r>
    <n v="1650"/>
    <n v="29"/>
    <x v="1"/>
    <x v="0"/>
    <x v="0"/>
    <n v="10"/>
    <x v="3"/>
    <s v="Medical"/>
    <s v="High"/>
    <x v="1"/>
    <s v="Medium"/>
    <x v="0"/>
    <x v="2"/>
    <s v="Single"/>
    <n v="5869"/>
    <n v="9"/>
    <x v="1"/>
    <n v="11"/>
    <s v="Excellent"/>
    <s v="High"/>
    <n v="2"/>
    <x v="1"/>
    <x v="2"/>
    <x v="0"/>
  </r>
  <r>
    <n v="1651"/>
    <n v="36"/>
    <x v="1"/>
    <x v="0"/>
    <x v="1"/>
    <n v="5"/>
    <x v="2"/>
    <s v="Life Sciences"/>
    <s v="Medium"/>
    <x v="0"/>
    <s v="High"/>
    <x v="4"/>
    <x v="3"/>
    <s v="Married"/>
    <n v="8008"/>
    <n v="4"/>
    <x v="1"/>
    <n v="12"/>
    <s v="Excellent"/>
    <s v="High"/>
    <n v="6"/>
    <x v="1"/>
    <x v="0"/>
    <x v="3"/>
  </r>
  <r>
    <n v="1653"/>
    <n v="25"/>
    <x v="1"/>
    <x v="1"/>
    <x v="1"/>
    <n v="2"/>
    <x v="1"/>
    <s v="Life Sciences"/>
    <s v="Very high"/>
    <x v="1"/>
    <s v="Very high"/>
    <x v="3"/>
    <x v="2"/>
    <s v="Divorced"/>
    <n v="5206"/>
    <n v="1"/>
    <x v="1"/>
    <n v="17"/>
    <s v="Excellent"/>
    <s v="High"/>
    <n v="6"/>
    <x v="1"/>
    <x v="2"/>
    <x v="0"/>
  </r>
  <r>
    <n v="1654"/>
    <n v="39"/>
    <x v="1"/>
    <x v="0"/>
    <x v="1"/>
    <n v="12"/>
    <x v="3"/>
    <s v="Medical"/>
    <s v="Very high"/>
    <x v="1"/>
    <s v="High"/>
    <x v="3"/>
    <x v="1"/>
    <s v="Married"/>
    <n v="5295"/>
    <n v="4"/>
    <x v="1"/>
    <n v="21"/>
    <s v="Outstanding"/>
    <s v="High"/>
    <n v="3"/>
    <x v="1"/>
    <x v="0"/>
    <x v="0"/>
  </r>
  <r>
    <n v="1655"/>
    <n v="49"/>
    <x v="1"/>
    <x v="0"/>
    <x v="1"/>
    <n v="22"/>
    <x v="2"/>
    <s v="Other"/>
    <s v="Low"/>
    <x v="0"/>
    <s v="High"/>
    <x v="7"/>
    <x v="1"/>
    <s v="Married"/>
    <n v="16413"/>
    <n v="3"/>
    <x v="1"/>
    <n v="16"/>
    <s v="Excellent"/>
    <s v="Medium"/>
    <n v="2"/>
    <x v="1"/>
    <x v="1"/>
    <x v="3"/>
  </r>
  <r>
    <n v="1656"/>
    <n v="50"/>
    <x v="1"/>
    <x v="0"/>
    <x v="1"/>
    <n v="17"/>
    <x v="4"/>
    <s v="Life Sciences"/>
    <s v="Very high"/>
    <x v="0"/>
    <s v="Medium"/>
    <x v="7"/>
    <x v="3"/>
    <s v="Divorced"/>
    <n v="13269"/>
    <n v="5"/>
    <x v="1"/>
    <n v="15"/>
    <s v="Excellent"/>
    <s v="High"/>
    <n v="3"/>
    <x v="1"/>
    <x v="1"/>
    <x v="3"/>
  </r>
  <r>
    <n v="1657"/>
    <n v="20"/>
    <x v="1"/>
    <x v="0"/>
    <x v="0"/>
    <n v="2"/>
    <x v="3"/>
    <s v="Medical"/>
    <s v="High"/>
    <x v="0"/>
    <s v="High"/>
    <x v="6"/>
    <x v="2"/>
    <s v="Single"/>
    <n v="2783"/>
    <n v="1"/>
    <x v="1"/>
    <n v="19"/>
    <s v="Excellent"/>
    <s v="Low"/>
    <n v="3"/>
    <x v="1"/>
    <x v="4"/>
    <x v="1"/>
  </r>
  <r>
    <n v="1658"/>
    <n v="34"/>
    <x v="1"/>
    <x v="0"/>
    <x v="1"/>
    <n v="3"/>
    <x v="3"/>
    <s v="Life Sciences"/>
    <s v="Very high"/>
    <x v="0"/>
    <s v="High"/>
    <x v="1"/>
    <x v="1"/>
    <s v="Divorced"/>
    <n v="5433"/>
    <n v="1"/>
    <x v="1"/>
    <n v="12"/>
    <s v="Excellent"/>
    <s v="High"/>
    <n v="2"/>
    <x v="1"/>
    <x v="2"/>
    <x v="0"/>
  </r>
  <r>
    <n v="1659"/>
    <n v="36"/>
    <x v="1"/>
    <x v="0"/>
    <x v="1"/>
    <n v="7"/>
    <x v="3"/>
    <s v="Life Sciences"/>
    <s v="Low"/>
    <x v="1"/>
    <s v="High"/>
    <x v="2"/>
    <x v="1"/>
    <s v="Single"/>
    <n v="2013"/>
    <n v="2"/>
    <x v="1"/>
    <n v="11"/>
    <s v="Excellent"/>
    <s v="High"/>
    <n v="4"/>
    <x v="1"/>
    <x v="0"/>
    <x v="1"/>
  </r>
  <r>
    <n v="1661"/>
    <n v="49"/>
    <x v="1"/>
    <x v="0"/>
    <x v="1"/>
    <n v="6"/>
    <x v="1"/>
    <s v="Life Sciences"/>
    <s v="High"/>
    <x v="0"/>
    <s v="Medium"/>
    <x v="4"/>
    <x v="2"/>
    <s v="Married"/>
    <n v="13966"/>
    <n v="2"/>
    <x v="0"/>
    <n v="19"/>
    <s v="Excellent"/>
    <s v="Medium"/>
    <n v="3"/>
    <x v="1"/>
    <x v="1"/>
    <x v="3"/>
  </r>
  <r>
    <n v="1662"/>
    <n v="36"/>
    <x v="1"/>
    <x v="2"/>
    <x v="1"/>
    <n v="1"/>
    <x v="2"/>
    <s v="Medical"/>
    <s v="Very high"/>
    <x v="0"/>
    <s v="Medium"/>
    <x v="3"/>
    <x v="2"/>
    <s v="Married"/>
    <n v="4374"/>
    <n v="0"/>
    <x v="1"/>
    <n v="15"/>
    <s v="Excellent"/>
    <s v="High"/>
    <n v="6"/>
    <x v="1"/>
    <x v="0"/>
    <x v="2"/>
  </r>
  <r>
    <n v="1664"/>
    <n v="36"/>
    <x v="1"/>
    <x v="0"/>
    <x v="1"/>
    <n v="3"/>
    <x v="0"/>
    <s v="Life Sciences"/>
    <s v="Very high"/>
    <x v="1"/>
    <s v="Very high"/>
    <x v="4"/>
    <x v="3"/>
    <s v="Divorced"/>
    <n v="6842"/>
    <n v="6"/>
    <x v="1"/>
    <n v="20"/>
    <s v="Outstanding"/>
    <s v="Low"/>
    <n v="3"/>
    <x v="1"/>
    <x v="0"/>
    <x v="0"/>
  </r>
  <r>
    <n v="1665"/>
    <n v="54"/>
    <x v="1"/>
    <x v="0"/>
    <x v="1"/>
    <n v="22"/>
    <x v="4"/>
    <s v="Medical"/>
    <s v="Medium"/>
    <x v="0"/>
    <s v="High"/>
    <x v="5"/>
    <x v="2"/>
    <s v="Married"/>
    <n v="17426"/>
    <n v="3"/>
    <x v="1"/>
    <n v="25"/>
    <s v="Outstanding"/>
    <s v="High"/>
    <n v="6"/>
    <x v="1"/>
    <x v="1"/>
    <x v="3"/>
  </r>
  <r>
    <n v="1666"/>
    <n v="43"/>
    <x v="1"/>
    <x v="0"/>
    <x v="1"/>
    <n v="15"/>
    <x v="0"/>
    <s v="Life Sciences"/>
    <s v="High"/>
    <x v="1"/>
    <s v="Medium"/>
    <x v="7"/>
    <x v="2"/>
    <s v="Married"/>
    <n v="17603"/>
    <n v="1"/>
    <x v="1"/>
    <n v="24"/>
    <s v="Outstanding"/>
    <s v="Low"/>
    <n v="3"/>
    <x v="1"/>
    <x v="0"/>
    <x v="3"/>
  </r>
  <r>
    <n v="1667"/>
    <n v="35"/>
    <x v="0"/>
    <x v="1"/>
    <x v="0"/>
    <n v="12"/>
    <x v="2"/>
    <s v="Other"/>
    <s v="Very high"/>
    <x v="1"/>
    <s v="High"/>
    <x v="0"/>
    <x v="0"/>
    <s v="Single"/>
    <n v="4581"/>
    <n v="3"/>
    <x v="0"/>
    <n v="24"/>
    <s v="Outstanding"/>
    <s v="Low"/>
    <n v="2"/>
    <x v="3"/>
    <x v="0"/>
    <x v="2"/>
  </r>
  <r>
    <n v="1668"/>
    <n v="38"/>
    <x v="1"/>
    <x v="1"/>
    <x v="1"/>
    <n v="1"/>
    <x v="3"/>
    <s v="Life Sciences"/>
    <s v="Very high"/>
    <x v="1"/>
    <s v="High"/>
    <x v="1"/>
    <x v="0"/>
    <s v="Married"/>
    <n v="4735"/>
    <n v="7"/>
    <x v="1"/>
    <n v="15"/>
    <s v="Excellent"/>
    <s v="Very high"/>
    <n v="4"/>
    <x v="3"/>
    <x v="0"/>
    <x v="2"/>
  </r>
  <r>
    <n v="1669"/>
    <n v="29"/>
    <x v="1"/>
    <x v="0"/>
    <x v="0"/>
    <n v="5"/>
    <x v="3"/>
    <s v="Medical"/>
    <s v="Low"/>
    <x v="1"/>
    <s v="Medium"/>
    <x v="0"/>
    <x v="1"/>
    <s v="Divorced"/>
    <n v="4187"/>
    <n v="1"/>
    <x v="0"/>
    <n v="13"/>
    <s v="Excellent"/>
    <s v="Medium"/>
    <n v="3"/>
    <x v="2"/>
    <x v="2"/>
    <x v="2"/>
  </r>
  <r>
    <n v="1670"/>
    <n v="33"/>
    <x v="1"/>
    <x v="0"/>
    <x v="0"/>
    <n v="2"/>
    <x v="2"/>
    <s v="Medical"/>
    <s v="Very high"/>
    <x v="1"/>
    <s v="High"/>
    <x v="0"/>
    <x v="0"/>
    <s v="Divorced"/>
    <n v="5505"/>
    <n v="1"/>
    <x v="1"/>
    <n v="14"/>
    <s v="Excellent"/>
    <s v="High"/>
    <n v="5"/>
    <x v="1"/>
    <x v="2"/>
    <x v="0"/>
  </r>
  <r>
    <n v="1671"/>
    <n v="32"/>
    <x v="1"/>
    <x v="0"/>
    <x v="1"/>
    <n v="2"/>
    <x v="3"/>
    <s v="Medical"/>
    <s v="Very high"/>
    <x v="1"/>
    <s v="High"/>
    <x v="1"/>
    <x v="1"/>
    <s v="Divorced"/>
    <n v="5470"/>
    <n v="0"/>
    <x v="1"/>
    <n v="13"/>
    <s v="Excellent"/>
    <s v="High"/>
    <n v="4"/>
    <x v="2"/>
    <x v="2"/>
    <x v="0"/>
  </r>
  <r>
    <n v="1673"/>
    <n v="31"/>
    <x v="1"/>
    <x v="0"/>
    <x v="0"/>
    <n v="5"/>
    <x v="2"/>
    <s v="Life Sciences"/>
    <s v="Low"/>
    <x v="0"/>
    <s v="High"/>
    <x v="0"/>
    <x v="0"/>
    <s v="Married"/>
    <n v="5476"/>
    <n v="1"/>
    <x v="1"/>
    <n v="11"/>
    <s v="Excellent"/>
    <s v="Low"/>
    <n v="2"/>
    <x v="1"/>
    <x v="2"/>
    <x v="0"/>
  </r>
  <r>
    <n v="1674"/>
    <n v="49"/>
    <x v="1"/>
    <x v="0"/>
    <x v="1"/>
    <n v="16"/>
    <x v="3"/>
    <s v="Medical"/>
    <s v="Very high"/>
    <x v="0"/>
    <s v="High"/>
    <x v="2"/>
    <x v="3"/>
    <s v="Divorced"/>
    <n v="2587"/>
    <n v="4"/>
    <x v="0"/>
    <n v="16"/>
    <s v="Excellent"/>
    <s v="Medium"/>
    <n v="2"/>
    <x v="2"/>
    <x v="1"/>
    <x v="1"/>
  </r>
  <r>
    <n v="1675"/>
    <n v="38"/>
    <x v="1"/>
    <x v="1"/>
    <x v="1"/>
    <n v="2"/>
    <x v="3"/>
    <s v="Medical"/>
    <s v="Very high"/>
    <x v="0"/>
    <s v="Medium"/>
    <x v="2"/>
    <x v="1"/>
    <s v="Single"/>
    <n v="2440"/>
    <n v="1"/>
    <x v="1"/>
    <n v="22"/>
    <s v="Outstanding"/>
    <s v="Medium"/>
    <n v="3"/>
    <x v="1"/>
    <x v="0"/>
    <x v="1"/>
  </r>
  <r>
    <n v="1676"/>
    <n v="47"/>
    <x v="1"/>
    <x v="0"/>
    <x v="0"/>
    <n v="2"/>
    <x v="2"/>
    <s v="Life Sciences"/>
    <s v="Medium"/>
    <x v="0"/>
    <s v="Very high"/>
    <x v="5"/>
    <x v="1"/>
    <s v="Divorced"/>
    <n v="15972"/>
    <n v="6"/>
    <x v="1"/>
    <n v="14"/>
    <s v="Excellent"/>
    <s v="High"/>
    <n v="2"/>
    <x v="1"/>
    <x v="1"/>
    <x v="3"/>
  </r>
  <r>
    <n v="1677"/>
    <n v="49"/>
    <x v="1"/>
    <x v="0"/>
    <x v="1"/>
    <n v="1"/>
    <x v="3"/>
    <s v="Life Sciences"/>
    <s v="High"/>
    <x v="1"/>
    <s v="High"/>
    <x v="5"/>
    <x v="2"/>
    <s v="Single"/>
    <n v="15379"/>
    <n v="4"/>
    <x v="1"/>
    <n v="14"/>
    <s v="Excellent"/>
    <s v="Low"/>
    <n v="2"/>
    <x v="1"/>
    <x v="1"/>
    <x v="3"/>
  </r>
  <r>
    <n v="1678"/>
    <n v="41"/>
    <x v="1"/>
    <x v="0"/>
    <x v="0"/>
    <n v="23"/>
    <x v="0"/>
    <s v="Life Sciences"/>
    <s v="Very high"/>
    <x v="1"/>
    <s v="High"/>
    <x v="0"/>
    <x v="2"/>
    <s v="Single"/>
    <n v="7082"/>
    <n v="3"/>
    <x v="0"/>
    <n v="16"/>
    <s v="Excellent"/>
    <s v="Very high"/>
    <n v="2"/>
    <x v="1"/>
    <x v="0"/>
    <x v="0"/>
  </r>
  <r>
    <n v="1680"/>
    <n v="20"/>
    <x v="1"/>
    <x v="0"/>
    <x v="0"/>
    <n v="9"/>
    <x v="1"/>
    <s v="Life Sciences"/>
    <s v="Very high"/>
    <x v="1"/>
    <s v="High"/>
    <x v="6"/>
    <x v="3"/>
    <s v="Single"/>
    <n v="2728"/>
    <n v="1"/>
    <x v="1"/>
    <n v="11"/>
    <s v="Excellent"/>
    <s v="Low"/>
    <n v="3"/>
    <x v="1"/>
    <x v="4"/>
    <x v="1"/>
  </r>
  <r>
    <n v="1681"/>
    <n v="33"/>
    <x v="1"/>
    <x v="2"/>
    <x v="0"/>
    <n v="16"/>
    <x v="3"/>
    <s v="Life Sciences"/>
    <s v="High"/>
    <x v="0"/>
    <s v="High"/>
    <x v="0"/>
    <x v="0"/>
    <s v="Divorced"/>
    <n v="5368"/>
    <n v="1"/>
    <x v="0"/>
    <n v="25"/>
    <s v="Outstanding"/>
    <s v="High"/>
    <n v="2"/>
    <x v="1"/>
    <x v="2"/>
    <x v="0"/>
  </r>
  <r>
    <n v="1682"/>
    <n v="36"/>
    <x v="1"/>
    <x v="0"/>
    <x v="1"/>
    <n v="26"/>
    <x v="2"/>
    <s v="Life Sciences"/>
    <s v="Low"/>
    <x v="1"/>
    <s v="High"/>
    <x v="4"/>
    <x v="2"/>
    <s v="Married"/>
    <n v="5347"/>
    <n v="6"/>
    <x v="1"/>
    <n v="14"/>
    <s v="Excellent"/>
    <s v="Medium"/>
    <n v="2"/>
    <x v="2"/>
    <x v="0"/>
    <x v="0"/>
  </r>
  <r>
    <n v="1683"/>
    <n v="44"/>
    <x v="1"/>
    <x v="0"/>
    <x v="2"/>
    <n v="1"/>
    <x v="3"/>
    <s v="Life Sciences"/>
    <s v="High"/>
    <x v="0"/>
    <s v="High"/>
    <x v="8"/>
    <x v="0"/>
    <s v="Divorced"/>
    <n v="3195"/>
    <n v="4"/>
    <x v="0"/>
    <n v="18"/>
    <s v="Excellent"/>
    <s v="Low"/>
    <n v="2"/>
    <x v="1"/>
    <x v="0"/>
    <x v="2"/>
  </r>
  <r>
    <n v="1684"/>
    <n v="23"/>
    <x v="0"/>
    <x v="0"/>
    <x v="1"/>
    <n v="8"/>
    <x v="1"/>
    <s v="Medical"/>
    <s v="Very high"/>
    <x v="1"/>
    <s v="Medium"/>
    <x v="2"/>
    <x v="2"/>
    <s v="Single"/>
    <n v="3989"/>
    <n v="1"/>
    <x v="0"/>
    <n v="11"/>
    <s v="Excellent"/>
    <s v="Low"/>
    <n v="2"/>
    <x v="1"/>
    <x v="4"/>
    <x v="2"/>
  </r>
  <r>
    <n v="1687"/>
    <n v="38"/>
    <x v="1"/>
    <x v="0"/>
    <x v="1"/>
    <n v="4"/>
    <x v="0"/>
    <s v="Medical"/>
    <s v="Very high"/>
    <x v="0"/>
    <s v="High"/>
    <x v="2"/>
    <x v="2"/>
    <s v="Married"/>
    <n v="3306"/>
    <n v="7"/>
    <x v="1"/>
    <n v="19"/>
    <s v="Excellent"/>
    <s v="Very high"/>
    <n v="5"/>
    <x v="2"/>
    <x v="0"/>
    <x v="2"/>
  </r>
  <r>
    <n v="1689"/>
    <n v="53"/>
    <x v="1"/>
    <x v="0"/>
    <x v="1"/>
    <n v="24"/>
    <x v="2"/>
    <s v="Medical"/>
    <s v="Medium"/>
    <x v="1"/>
    <s v="Very high"/>
    <x v="4"/>
    <x v="0"/>
    <s v="Married"/>
    <n v="7005"/>
    <n v="3"/>
    <x v="1"/>
    <n v="15"/>
    <s v="Excellent"/>
    <s v="High"/>
    <n v="2"/>
    <x v="1"/>
    <x v="1"/>
    <x v="0"/>
  </r>
  <r>
    <n v="1691"/>
    <n v="48"/>
    <x v="0"/>
    <x v="1"/>
    <x v="0"/>
    <n v="7"/>
    <x v="0"/>
    <s v="Medical"/>
    <s v="Very high"/>
    <x v="0"/>
    <s v="High"/>
    <x v="6"/>
    <x v="2"/>
    <s v="Married"/>
    <n v="2655"/>
    <n v="2"/>
    <x v="0"/>
    <n v="11"/>
    <s v="Excellent"/>
    <s v="High"/>
    <n v="3"/>
    <x v="1"/>
    <x v="1"/>
    <x v="1"/>
  </r>
  <r>
    <n v="1692"/>
    <n v="32"/>
    <x v="0"/>
    <x v="0"/>
    <x v="1"/>
    <n v="2"/>
    <x v="2"/>
    <s v="Life Sciences"/>
    <s v="Very high"/>
    <x v="1"/>
    <s v="High"/>
    <x v="2"/>
    <x v="1"/>
    <s v="Single"/>
    <n v="1393"/>
    <n v="1"/>
    <x v="1"/>
    <n v="12"/>
    <s v="Excellent"/>
    <s v="Low"/>
    <n v="2"/>
    <x v="1"/>
    <x v="2"/>
    <x v="1"/>
  </r>
  <r>
    <n v="1693"/>
    <n v="26"/>
    <x v="1"/>
    <x v="2"/>
    <x v="1"/>
    <n v="7"/>
    <x v="3"/>
    <s v="Medical"/>
    <s v="Very high"/>
    <x v="1"/>
    <s v="High"/>
    <x v="2"/>
    <x v="0"/>
    <s v="Single"/>
    <n v="2570"/>
    <n v="1"/>
    <x v="1"/>
    <n v="20"/>
    <s v="Outstanding"/>
    <s v="High"/>
    <n v="5"/>
    <x v="1"/>
    <x v="2"/>
    <x v="1"/>
  </r>
  <r>
    <n v="1694"/>
    <n v="55"/>
    <x v="1"/>
    <x v="0"/>
    <x v="1"/>
    <n v="22"/>
    <x v="3"/>
    <s v="Technical Degree"/>
    <s v="Low"/>
    <x v="1"/>
    <s v="Medium"/>
    <x v="1"/>
    <x v="1"/>
    <s v="Divorced"/>
    <n v="3537"/>
    <n v="5"/>
    <x v="1"/>
    <n v="12"/>
    <s v="Excellent"/>
    <s v="Very high"/>
    <n v="1"/>
    <x v="1"/>
    <x v="3"/>
    <x v="2"/>
  </r>
  <r>
    <n v="1696"/>
    <n v="34"/>
    <x v="1"/>
    <x v="0"/>
    <x v="1"/>
    <n v="5"/>
    <x v="0"/>
    <s v="Medical"/>
    <s v="Medium"/>
    <x v="1"/>
    <s v="Medium"/>
    <x v="2"/>
    <x v="0"/>
    <s v="Married"/>
    <n v="3986"/>
    <n v="1"/>
    <x v="1"/>
    <n v="14"/>
    <s v="Excellent"/>
    <s v="High"/>
    <n v="3"/>
    <x v="3"/>
    <x v="2"/>
    <x v="2"/>
  </r>
  <r>
    <n v="1697"/>
    <n v="60"/>
    <x v="1"/>
    <x v="0"/>
    <x v="1"/>
    <n v="1"/>
    <x v="2"/>
    <s v="Medical"/>
    <s v="High"/>
    <x v="1"/>
    <s v="Low"/>
    <x v="4"/>
    <x v="0"/>
    <s v="Divorced"/>
    <n v="10883"/>
    <n v="3"/>
    <x v="1"/>
    <n v="20"/>
    <s v="Outstanding"/>
    <s v="High"/>
    <n v="2"/>
    <x v="3"/>
    <x v="3"/>
    <x v="3"/>
  </r>
  <r>
    <n v="1698"/>
    <n v="33"/>
    <x v="1"/>
    <x v="0"/>
    <x v="1"/>
    <n v="21"/>
    <x v="3"/>
    <s v="Medical"/>
    <s v="Medium"/>
    <x v="1"/>
    <s v="Very high"/>
    <x v="2"/>
    <x v="1"/>
    <s v="Married"/>
    <n v="2028"/>
    <n v="1"/>
    <x v="1"/>
    <n v="18"/>
    <s v="Excellent"/>
    <s v="Very high"/>
    <n v="6"/>
    <x v="1"/>
    <x v="2"/>
    <x v="1"/>
  </r>
  <r>
    <n v="1700"/>
    <n v="37"/>
    <x v="1"/>
    <x v="1"/>
    <x v="0"/>
    <n v="1"/>
    <x v="2"/>
    <s v="Medical"/>
    <s v="High"/>
    <x v="1"/>
    <s v="Low"/>
    <x v="0"/>
    <x v="0"/>
    <s v="Divorced"/>
    <n v="9525"/>
    <n v="1"/>
    <x v="1"/>
    <n v="14"/>
    <s v="Excellent"/>
    <s v="High"/>
    <n v="2"/>
    <x v="2"/>
    <x v="0"/>
    <x v="3"/>
  </r>
  <r>
    <n v="1701"/>
    <n v="34"/>
    <x v="1"/>
    <x v="0"/>
    <x v="1"/>
    <n v="19"/>
    <x v="3"/>
    <s v="Life Sciences"/>
    <s v="Medium"/>
    <x v="0"/>
    <s v="Medium"/>
    <x v="1"/>
    <x v="0"/>
    <s v="Married"/>
    <n v="2929"/>
    <n v="1"/>
    <x v="1"/>
    <n v="12"/>
    <s v="Excellent"/>
    <s v="Medium"/>
    <n v="3"/>
    <x v="1"/>
    <x v="2"/>
    <x v="1"/>
  </r>
  <r>
    <n v="1702"/>
    <n v="23"/>
    <x v="0"/>
    <x v="0"/>
    <x v="0"/>
    <n v="7"/>
    <x v="3"/>
    <s v="Life Sciences"/>
    <s v="High"/>
    <x v="1"/>
    <s v="High"/>
    <x v="6"/>
    <x v="0"/>
    <s v="Divorced"/>
    <n v="2275"/>
    <n v="1"/>
    <x v="0"/>
    <n v="21"/>
    <s v="Outstanding"/>
    <s v="Medium"/>
    <n v="2"/>
    <x v="1"/>
    <x v="4"/>
    <x v="1"/>
  </r>
  <r>
    <n v="1703"/>
    <n v="44"/>
    <x v="1"/>
    <x v="0"/>
    <x v="1"/>
    <n v="2"/>
    <x v="3"/>
    <s v="Life Sciences"/>
    <s v="High"/>
    <x v="0"/>
    <s v="Very high"/>
    <x v="4"/>
    <x v="0"/>
    <s v="Married"/>
    <n v="7879"/>
    <n v="1"/>
    <x v="0"/>
    <n v="19"/>
    <s v="Excellent"/>
    <s v="Medium"/>
    <n v="2"/>
    <x v="1"/>
    <x v="0"/>
    <x v="0"/>
  </r>
  <r>
    <n v="1704"/>
    <n v="35"/>
    <x v="1"/>
    <x v="1"/>
    <x v="1"/>
    <n v="2"/>
    <x v="2"/>
    <s v="Medical"/>
    <s v="Low"/>
    <x v="1"/>
    <s v="Medium"/>
    <x v="1"/>
    <x v="0"/>
    <s v="Single"/>
    <n v="4930"/>
    <n v="0"/>
    <x v="0"/>
    <n v="14"/>
    <s v="Excellent"/>
    <s v="High"/>
    <n v="2"/>
    <x v="3"/>
    <x v="0"/>
    <x v="2"/>
  </r>
  <r>
    <n v="1706"/>
    <n v="43"/>
    <x v="1"/>
    <x v="0"/>
    <x v="0"/>
    <n v="2"/>
    <x v="3"/>
    <s v="Medical"/>
    <s v="Very high"/>
    <x v="1"/>
    <s v="High"/>
    <x v="0"/>
    <x v="0"/>
    <s v="Married"/>
    <n v="7847"/>
    <n v="1"/>
    <x v="0"/>
    <n v="17"/>
    <s v="Excellent"/>
    <s v="Low"/>
    <n v="3"/>
    <x v="1"/>
    <x v="0"/>
    <x v="0"/>
  </r>
  <r>
    <n v="1707"/>
    <n v="24"/>
    <x v="1"/>
    <x v="0"/>
    <x v="1"/>
    <n v="9"/>
    <x v="3"/>
    <s v="Medical"/>
    <s v="High"/>
    <x v="1"/>
    <s v="Very high"/>
    <x v="1"/>
    <x v="2"/>
    <s v="Married"/>
    <n v="4401"/>
    <n v="1"/>
    <x v="1"/>
    <n v="16"/>
    <s v="Excellent"/>
    <s v="Very high"/>
    <n v="1"/>
    <x v="1"/>
    <x v="4"/>
    <x v="2"/>
  </r>
  <r>
    <n v="1708"/>
    <n v="41"/>
    <x v="1"/>
    <x v="0"/>
    <x v="0"/>
    <n v="6"/>
    <x v="3"/>
    <s v="Marketing"/>
    <s v="Very high"/>
    <x v="1"/>
    <s v="High"/>
    <x v="0"/>
    <x v="2"/>
    <s v="Single"/>
    <n v="9241"/>
    <n v="1"/>
    <x v="1"/>
    <n v="12"/>
    <s v="Excellent"/>
    <s v="Medium"/>
    <n v="3"/>
    <x v="1"/>
    <x v="0"/>
    <x v="3"/>
  </r>
  <r>
    <n v="1709"/>
    <n v="29"/>
    <x v="1"/>
    <x v="0"/>
    <x v="1"/>
    <n v="9"/>
    <x v="2"/>
    <s v="Medical"/>
    <s v="Very high"/>
    <x v="0"/>
    <s v="High"/>
    <x v="2"/>
    <x v="2"/>
    <s v="Married"/>
    <n v="2974"/>
    <n v="9"/>
    <x v="1"/>
    <n v="17"/>
    <s v="Excellent"/>
    <s v="High"/>
    <n v="2"/>
    <x v="1"/>
    <x v="2"/>
    <x v="1"/>
  </r>
  <r>
    <n v="1710"/>
    <n v="36"/>
    <x v="1"/>
    <x v="0"/>
    <x v="0"/>
    <n v="2"/>
    <x v="2"/>
    <s v="Life Sciences"/>
    <s v="High"/>
    <x v="0"/>
    <s v="High"/>
    <x v="6"/>
    <x v="0"/>
    <s v="Single"/>
    <n v="4502"/>
    <n v="3"/>
    <x v="1"/>
    <n v="15"/>
    <s v="Excellent"/>
    <s v="High"/>
    <n v="2"/>
    <x v="2"/>
    <x v="0"/>
    <x v="2"/>
  </r>
  <r>
    <n v="1712"/>
    <n v="45"/>
    <x v="1"/>
    <x v="2"/>
    <x v="1"/>
    <n v="1"/>
    <x v="1"/>
    <s v="Life Sciences"/>
    <s v="High"/>
    <x v="1"/>
    <s v="Medium"/>
    <x v="4"/>
    <x v="2"/>
    <s v="Married"/>
    <n v="10748"/>
    <n v="3"/>
    <x v="1"/>
    <n v="23"/>
    <s v="Outstanding"/>
    <s v="Very high"/>
    <n v="3"/>
    <x v="2"/>
    <x v="1"/>
    <x v="3"/>
  </r>
  <r>
    <n v="1714"/>
    <n v="24"/>
    <x v="0"/>
    <x v="0"/>
    <x v="2"/>
    <n v="22"/>
    <x v="1"/>
    <s v="Human Resources"/>
    <s v="Very high"/>
    <x v="1"/>
    <s v="Low"/>
    <x v="8"/>
    <x v="2"/>
    <s v="Married"/>
    <n v="1555"/>
    <n v="1"/>
    <x v="1"/>
    <n v="11"/>
    <s v="Excellent"/>
    <s v="High"/>
    <n v="2"/>
    <x v="1"/>
    <x v="4"/>
    <x v="1"/>
  </r>
  <r>
    <n v="1716"/>
    <n v="47"/>
    <x v="0"/>
    <x v="1"/>
    <x v="0"/>
    <n v="9"/>
    <x v="3"/>
    <s v="Life Sciences"/>
    <s v="High"/>
    <x v="1"/>
    <s v="Low"/>
    <x v="0"/>
    <x v="2"/>
    <s v="Married"/>
    <n v="12936"/>
    <n v="7"/>
    <x v="1"/>
    <n v="11"/>
    <s v="Excellent"/>
    <s v="High"/>
    <n v="3"/>
    <x v="0"/>
    <x v="1"/>
    <x v="3"/>
  </r>
  <r>
    <n v="1718"/>
    <n v="26"/>
    <x v="1"/>
    <x v="0"/>
    <x v="1"/>
    <n v="17"/>
    <x v="2"/>
    <s v="Medical"/>
    <s v="Very high"/>
    <x v="1"/>
    <s v="Low"/>
    <x v="2"/>
    <x v="2"/>
    <s v="Married"/>
    <n v="2305"/>
    <n v="1"/>
    <x v="1"/>
    <n v="15"/>
    <s v="Excellent"/>
    <s v="High"/>
    <n v="3"/>
    <x v="3"/>
    <x v="2"/>
    <x v="1"/>
  </r>
  <r>
    <n v="1719"/>
    <n v="45"/>
    <x v="1"/>
    <x v="0"/>
    <x v="1"/>
    <n v="28"/>
    <x v="0"/>
    <s v="Technical Degree"/>
    <s v="Very high"/>
    <x v="0"/>
    <s v="Medium"/>
    <x v="7"/>
    <x v="1"/>
    <s v="Single"/>
    <n v="16704"/>
    <n v="1"/>
    <x v="1"/>
    <n v="11"/>
    <s v="Excellent"/>
    <s v="High"/>
    <n v="2"/>
    <x v="1"/>
    <x v="1"/>
    <x v="3"/>
  </r>
  <r>
    <n v="1720"/>
    <n v="32"/>
    <x v="1"/>
    <x v="1"/>
    <x v="1"/>
    <n v="10"/>
    <x v="3"/>
    <s v="Life Sciences"/>
    <s v="Low"/>
    <x v="1"/>
    <s v="High"/>
    <x v="1"/>
    <x v="2"/>
    <s v="Married"/>
    <n v="3433"/>
    <n v="6"/>
    <x v="1"/>
    <n v="13"/>
    <s v="Excellent"/>
    <s v="Low"/>
    <n v="3"/>
    <x v="2"/>
    <x v="2"/>
    <x v="2"/>
  </r>
  <r>
    <n v="1721"/>
    <n v="31"/>
    <x v="1"/>
    <x v="0"/>
    <x v="1"/>
    <n v="2"/>
    <x v="2"/>
    <s v="Life Sciences"/>
    <s v="Medium"/>
    <x v="1"/>
    <s v="High"/>
    <x v="2"/>
    <x v="2"/>
    <s v="Married"/>
    <n v="3477"/>
    <n v="1"/>
    <x v="1"/>
    <n v="14"/>
    <s v="Excellent"/>
    <s v="Very high"/>
    <n v="2"/>
    <x v="3"/>
    <x v="2"/>
    <x v="2"/>
  </r>
  <r>
    <n v="1722"/>
    <n v="41"/>
    <x v="1"/>
    <x v="2"/>
    <x v="2"/>
    <n v="4"/>
    <x v="3"/>
    <s v="Human Resources"/>
    <s v="High"/>
    <x v="1"/>
    <s v="Low"/>
    <x v="8"/>
    <x v="1"/>
    <s v="Married"/>
    <n v="6430"/>
    <n v="6"/>
    <x v="1"/>
    <n v="19"/>
    <s v="Excellent"/>
    <s v="Medium"/>
    <n v="4"/>
    <x v="1"/>
    <x v="0"/>
    <x v="0"/>
  </r>
  <r>
    <n v="1724"/>
    <n v="40"/>
    <x v="1"/>
    <x v="0"/>
    <x v="1"/>
    <n v="8"/>
    <x v="0"/>
    <s v="Life Sciences"/>
    <s v="Medium"/>
    <x v="0"/>
    <s v="High"/>
    <x v="3"/>
    <x v="3"/>
    <s v="Married"/>
    <n v="6516"/>
    <n v="2"/>
    <x v="0"/>
    <n v="16"/>
    <s v="Excellent"/>
    <s v="Medium"/>
    <n v="3"/>
    <x v="1"/>
    <x v="0"/>
    <x v="0"/>
  </r>
  <r>
    <n v="1725"/>
    <n v="24"/>
    <x v="1"/>
    <x v="0"/>
    <x v="1"/>
    <n v="29"/>
    <x v="1"/>
    <s v="Medical"/>
    <s v="Medium"/>
    <x v="1"/>
    <s v="High"/>
    <x v="2"/>
    <x v="3"/>
    <s v="Divorced"/>
    <n v="3907"/>
    <n v="1"/>
    <x v="1"/>
    <n v="13"/>
    <s v="Excellent"/>
    <s v="Medium"/>
    <n v="2"/>
    <x v="3"/>
    <x v="4"/>
    <x v="2"/>
  </r>
  <r>
    <n v="1727"/>
    <n v="46"/>
    <x v="1"/>
    <x v="0"/>
    <x v="1"/>
    <n v="13"/>
    <x v="2"/>
    <s v="Life Sciences"/>
    <s v="High"/>
    <x v="1"/>
    <s v="High"/>
    <x v="4"/>
    <x v="1"/>
    <s v="Single"/>
    <n v="5562"/>
    <n v="6"/>
    <x v="1"/>
    <n v="14"/>
    <s v="Excellent"/>
    <s v="Very high"/>
    <n v="3"/>
    <x v="1"/>
    <x v="1"/>
    <x v="0"/>
  </r>
  <r>
    <n v="1728"/>
    <n v="35"/>
    <x v="1"/>
    <x v="0"/>
    <x v="1"/>
    <n v="27"/>
    <x v="2"/>
    <s v="Life Sciences"/>
    <s v="Very high"/>
    <x v="1"/>
    <s v="High"/>
    <x v="3"/>
    <x v="2"/>
    <s v="Married"/>
    <n v="6883"/>
    <n v="2"/>
    <x v="1"/>
    <n v="16"/>
    <s v="Excellent"/>
    <s v="Medium"/>
    <n v="3"/>
    <x v="1"/>
    <x v="0"/>
    <x v="0"/>
  </r>
  <r>
    <n v="1729"/>
    <n v="30"/>
    <x v="1"/>
    <x v="0"/>
    <x v="1"/>
    <n v="16"/>
    <x v="1"/>
    <s v="Life Sciences"/>
    <s v="Medium"/>
    <x v="1"/>
    <s v="High"/>
    <x v="1"/>
    <x v="0"/>
    <s v="Married"/>
    <n v="2862"/>
    <n v="1"/>
    <x v="1"/>
    <n v="12"/>
    <s v="Excellent"/>
    <s v="Medium"/>
    <n v="2"/>
    <x v="2"/>
    <x v="2"/>
    <x v="1"/>
  </r>
  <r>
    <n v="1731"/>
    <n v="47"/>
    <x v="1"/>
    <x v="2"/>
    <x v="0"/>
    <n v="2"/>
    <x v="2"/>
    <s v="Marketing"/>
    <s v="High"/>
    <x v="1"/>
    <s v="High"/>
    <x v="0"/>
    <x v="1"/>
    <s v="Married"/>
    <n v="4978"/>
    <n v="7"/>
    <x v="1"/>
    <n v="11"/>
    <s v="Excellent"/>
    <s v="Very high"/>
    <n v="3"/>
    <x v="0"/>
    <x v="1"/>
    <x v="2"/>
  </r>
  <r>
    <n v="1732"/>
    <n v="46"/>
    <x v="1"/>
    <x v="0"/>
    <x v="0"/>
    <n v="2"/>
    <x v="3"/>
    <s v="Life Sciences"/>
    <s v="High"/>
    <x v="1"/>
    <s v="High"/>
    <x v="0"/>
    <x v="0"/>
    <s v="Divorced"/>
    <n v="10368"/>
    <n v="4"/>
    <x v="0"/>
    <n v="12"/>
    <s v="Excellent"/>
    <s v="Medium"/>
    <n v="5"/>
    <x v="2"/>
    <x v="1"/>
    <x v="3"/>
  </r>
  <r>
    <n v="1733"/>
    <n v="36"/>
    <x v="0"/>
    <x v="0"/>
    <x v="0"/>
    <n v="13"/>
    <x v="4"/>
    <s v="Marketing"/>
    <s v="Medium"/>
    <x v="1"/>
    <s v="Medium"/>
    <x v="0"/>
    <x v="3"/>
    <s v="Divorced"/>
    <n v="6134"/>
    <n v="5"/>
    <x v="0"/>
    <n v="13"/>
    <s v="Excellent"/>
    <s v="Medium"/>
    <n v="3"/>
    <x v="1"/>
    <x v="0"/>
    <x v="0"/>
  </r>
  <r>
    <n v="1734"/>
    <n v="32"/>
    <x v="0"/>
    <x v="0"/>
    <x v="0"/>
    <n v="1"/>
    <x v="0"/>
    <s v="Life Sciences"/>
    <s v="Low"/>
    <x v="1"/>
    <s v="Low"/>
    <x v="0"/>
    <x v="1"/>
    <s v="Single"/>
    <n v="6735"/>
    <n v="6"/>
    <x v="1"/>
    <n v="15"/>
    <s v="Excellent"/>
    <s v="Medium"/>
    <n v="2"/>
    <x v="1"/>
    <x v="2"/>
    <x v="0"/>
  </r>
  <r>
    <n v="1735"/>
    <n v="23"/>
    <x v="1"/>
    <x v="0"/>
    <x v="1"/>
    <n v="4"/>
    <x v="1"/>
    <s v="Medical"/>
    <s v="High"/>
    <x v="0"/>
    <s v="High"/>
    <x v="2"/>
    <x v="1"/>
    <s v="Single"/>
    <n v="3295"/>
    <n v="1"/>
    <x v="1"/>
    <n v="13"/>
    <s v="Excellent"/>
    <s v="High"/>
    <n v="3"/>
    <x v="0"/>
    <x v="4"/>
    <x v="2"/>
  </r>
  <r>
    <n v="1736"/>
    <n v="31"/>
    <x v="1"/>
    <x v="1"/>
    <x v="1"/>
    <n v="24"/>
    <x v="1"/>
    <s v="Technical Degree"/>
    <s v="Very high"/>
    <x v="0"/>
    <s v="High"/>
    <x v="3"/>
    <x v="0"/>
    <s v="Single"/>
    <n v="5238"/>
    <n v="2"/>
    <x v="1"/>
    <n v="20"/>
    <s v="Outstanding"/>
    <s v="Very high"/>
    <n v="3"/>
    <x v="2"/>
    <x v="2"/>
    <x v="0"/>
  </r>
  <r>
    <n v="1737"/>
    <n v="39"/>
    <x v="1"/>
    <x v="2"/>
    <x v="1"/>
    <n v="1"/>
    <x v="3"/>
    <s v="Life Sciences"/>
    <s v="Very high"/>
    <x v="1"/>
    <s v="High"/>
    <x v="2"/>
    <x v="0"/>
    <s v="Married"/>
    <n v="6472"/>
    <n v="1"/>
    <x v="0"/>
    <n v="15"/>
    <s v="Excellent"/>
    <s v="Very high"/>
    <n v="2"/>
    <x v="1"/>
    <x v="0"/>
    <x v="0"/>
  </r>
  <r>
    <n v="1739"/>
    <n v="32"/>
    <x v="1"/>
    <x v="0"/>
    <x v="0"/>
    <n v="19"/>
    <x v="3"/>
    <s v="Life Sciences"/>
    <s v="Very high"/>
    <x v="1"/>
    <s v="Low"/>
    <x v="0"/>
    <x v="2"/>
    <s v="Married"/>
    <n v="9610"/>
    <n v="3"/>
    <x v="1"/>
    <n v="13"/>
    <s v="Excellent"/>
    <s v="High"/>
    <n v="2"/>
    <x v="0"/>
    <x v="2"/>
    <x v="3"/>
  </r>
  <r>
    <n v="1740"/>
    <n v="40"/>
    <x v="1"/>
    <x v="0"/>
    <x v="0"/>
    <n v="7"/>
    <x v="2"/>
    <s v="Medical"/>
    <s v="Medium"/>
    <x v="1"/>
    <s v="High"/>
    <x v="5"/>
    <x v="1"/>
    <s v="Single"/>
    <n v="19833"/>
    <n v="1"/>
    <x v="1"/>
    <n v="14"/>
    <s v="Excellent"/>
    <s v="Medium"/>
    <n v="3"/>
    <x v="2"/>
    <x v="0"/>
    <x v="3"/>
  </r>
  <r>
    <n v="1744"/>
    <n v="45"/>
    <x v="1"/>
    <x v="0"/>
    <x v="2"/>
    <n v="4"/>
    <x v="3"/>
    <s v="Life Sciences"/>
    <s v="High"/>
    <x v="0"/>
    <s v="Low"/>
    <x v="8"/>
    <x v="2"/>
    <s v="Married"/>
    <n v="9756"/>
    <n v="4"/>
    <x v="1"/>
    <n v="21"/>
    <s v="Outstanding"/>
    <s v="High"/>
    <n v="2"/>
    <x v="3"/>
    <x v="1"/>
    <x v="3"/>
  </r>
  <r>
    <n v="1745"/>
    <n v="30"/>
    <x v="1"/>
    <x v="1"/>
    <x v="1"/>
    <n v="2"/>
    <x v="2"/>
    <s v="Technical Degree"/>
    <s v="Very high"/>
    <x v="0"/>
    <s v="Medium"/>
    <x v="1"/>
    <x v="3"/>
    <s v="Single"/>
    <n v="4968"/>
    <n v="0"/>
    <x v="1"/>
    <n v="16"/>
    <s v="Excellent"/>
    <s v="Very high"/>
    <n v="2"/>
    <x v="1"/>
    <x v="2"/>
    <x v="2"/>
  </r>
  <r>
    <n v="1746"/>
    <n v="24"/>
    <x v="1"/>
    <x v="1"/>
    <x v="2"/>
    <n v="10"/>
    <x v="3"/>
    <s v="Medical"/>
    <s v="Low"/>
    <x v="1"/>
    <s v="High"/>
    <x v="8"/>
    <x v="0"/>
    <s v="Married"/>
    <n v="2145"/>
    <n v="0"/>
    <x v="1"/>
    <n v="14"/>
    <s v="Excellent"/>
    <s v="Very high"/>
    <n v="2"/>
    <x v="1"/>
    <x v="4"/>
    <x v="1"/>
  </r>
  <r>
    <n v="1747"/>
    <n v="30"/>
    <x v="0"/>
    <x v="1"/>
    <x v="2"/>
    <n v="8"/>
    <x v="3"/>
    <s v="Human Resources"/>
    <s v="High"/>
    <x v="0"/>
    <s v="Medium"/>
    <x v="8"/>
    <x v="0"/>
    <s v="Divorced"/>
    <n v="2180"/>
    <n v="6"/>
    <x v="1"/>
    <n v="11"/>
    <s v="Excellent"/>
    <s v="High"/>
    <n v="0"/>
    <x v="2"/>
    <x v="2"/>
    <x v="1"/>
  </r>
  <r>
    <n v="1749"/>
    <n v="31"/>
    <x v="1"/>
    <x v="0"/>
    <x v="0"/>
    <n v="5"/>
    <x v="3"/>
    <s v="Technical Degree"/>
    <s v="Low"/>
    <x v="1"/>
    <s v="High"/>
    <x v="0"/>
    <x v="2"/>
    <s v="Married"/>
    <n v="8346"/>
    <n v="1"/>
    <x v="1"/>
    <n v="19"/>
    <s v="Excellent"/>
    <s v="High"/>
    <n v="3"/>
    <x v="1"/>
    <x v="2"/>
    <x v="3"/>
  </r>
  <r>
    <n v="1751"/>
    <n v="27"/>
    <x v="1"/>
    <x v="0"/>
    <x v="1"/>
    <n v="8"/>
    <x v="3"/>
    <s v="Medical"/>
    <s v="High"/>
    <x v="0"/>
    <s v="High"/>
    <x v="1"/>
    <x v="0"/>
    <s v="Single"/>
    <n v="3445"/>
    <n v="1"/>
    <x v="1"/>
    <n v="11"/>
    <s v="Excellent"/>
    <s v="High"/>
    <n v="5"/>
    <x v="2"/>
    <x v="2"/>
    <x v="2"/>
  </r>
  <r>
    <n v="1752"/>
    <n v="29"/>
    <x v="0"/>
    <x v="0"/>
    <x v="0"/>
    <n v="9"/>
    <x v="3"/>
    <s v="Marketing"/>
    <s v="Medium"/>
    <x v="0"/>
    <s v="Low"/>
    <x v="6"/>
    <x v="1"/>
    <s v="Single"/>
    <n v="2760"/>
    <n v="1"/>
    <x v="1"/>
    <n v="13"/>
    <s v="Excellent"/>
    <s v="High"/>
    <n v="3"/>
    <x v="1"/>
    <x v="2"/>
    <x v="1"/>
  </r>
  <r>
    <n v="1753"/>
    <n v="29"/>
    <x v="1"/>
    <x v="1"/>
    <x v="1"/>
    <n v="1"/>
    <x v="3"/>
    <s v="Life Sciences"/>
    <s v="Very high"/>
    <x v="1"/>
    <s v="Very high"/>
    <x v="4"/>
    <x v="2"/>
    <s v="Single"/>
    <n v="6294"/>
    <n v="8"/>
    <x v="0"/>
    <n v="12"/>
    <s v="Excellent"/>
    <s v="Very high"/>
    <n v="5"/>
    <x v="3"/>
    <x v="2"/>
    <x v="0"/>
  </r>
  <r>
    <n v="1754"/>
    <n v="30"/>
    <x v="1"/>
    <x v="0"/>
    <x v="0"/>
    <n v="15"/>
    <x v="0"/>
    <s v="Marketing"/>
    <s v="High"/>
    <x v="1"/>
    <s v="Medium"/>
    <x v="0"/>
    <x v="3"/>
    <s v="Divorced"/>
    <n v="7140"/>
    <n v="2"/>
    <x v="1"/>
    <n v="11"/>
    <s v="Excellent"/>
    <s v="Low"/>
    <n v="2"/>
    <x v="1"/>
    <x v="2"/>
    <x v="0"/>
  </r>
  <r>
    <n v="1755"/>
    <n v="34"/>
    <x v="1"/>
    <x v="0"/>
    <x v="1"/>
    <n v="2"/>
    <x v="2"/>
    <s v="Medical"/>
    <s v="Very high"/>
    <x v="1"/>
    <s v="Very high"/>
    <x v="1"/>
    <x v="0"/>
    <s v="Married"/>
    <n v="2932"/>
    <n v="0"/>
    <x v="0"/>
    <n v="14"/>
    <s v="Excellent"/>
    <s v="Low"/>
    <n v="3"/>
    <x v="1"/>
    <x v="2"/>
    <x v="1"/>
  </r>
  <r>
    <n v="1756"/>
    <n v="33"/>
    <x v="1"/>
    <x v="2"/>
    <x v="0"/>
    <n v="2"/>
    <x v="3"/>
    <s v="Marketing"/>
    <s v="Very high"/>
    <x v="0"/>
    <s v="High"/>
    <x v="0"/>
    <x v="1"/>
    <s v="Single"/>
    <n v="5147"/>
    <n v="8"/>
    <x v="1"/>
    <n v="15"/>
    <s v="Excellent"/>
    <s v="Very high"/>
    <n v="2"/>
    <x v="2"/>
    <x v="2"/>
    <x v="0"/>
  </r>
  <r>
    <n v="1757"/>
    <n v="49"/>
    <x v="1"/>
    <x v="0"/>
    <x v="0"/>
    <n v="11"/>
    <x v="2"/>
    <s v="Marketing"/>
    <s v="Very high"/>
    <x v="0"/>
    <s v="High"/>
    <x v="0"/>
    <x v="0"/>
    <s v="Single"/>
    <n v="4507"/>
    <n v="3"/>
    <x v="1"/>
    <n v="12"/>
    <s v="Excellent"/>
    <s v="High"/>
    <n v="1"/>
    <x v="3"/>
    <x v="1"/>
    <x v="2"/>
  </r>
  <r>
    <n v="1758"/>
    <n v="33"/>
    <x v="0"/>
    <x v="0"/>
    <x v="0"/>
    <n v="16"/>
    <x v="3"/>
    <s v="Life Sciences"/>
    <s v="Low"/>
    <x v="0"/>
    <s v="High"/>
    <x v="0"/>
    <x v="3"/>
    <s v="Single"/>
    <n v="8564"/>
    <n v="2"/>
    <x v="0"/>
    <n v="20"/>
    <s v="Outstanding"/>
    <s v="High"/>
    <n v="2"/>
    <x v="2"/>
    <x v="2"/>
    <x v="3"/>
  </r>
  <r>
    <n v="1760"/>
    <n v="38"/>
    <x v="1"/>
    <x v="1"/>
    <x v="1"/>
    <n v="2"/>
    <x v="0"/>
    <s v="Medical"/>
    <s v="High"/>
    <x v="0"/>
    <s v="Medium"/>
    <x v="2"/>
    <x v="1"/>
    <s v="Married"/>
    <n v="2468"/>
    <n v="4"/>
    <x v="1"/>
    <n v="14"/>
    <s v="Excellent"/>
    <s v="Medium"/>
    <n v="4"/>
    <x v="2"/>
    <x v="0"/>
    <x v="1"/>
  </r>
  <r>
    <n v="1761"/>
    <n v="31"/>
    <x v="0"/>
    <x v="0"/>
    <x v="0"/>
    <n v="16"/>
    <x v="2"/>
    <s v="Marketing"/>
    <s v="Low"/>
    <x v="1"/>
    <s v="High"/>
    <x v="0"/>
    <x v="2"/>
    <s v="Married"/>
    <n v="8161"/>
    <n v="2"/>
    <x v="1"/>
    <n v="13"/>
    <s v="Excellent"/>
    <s v="Low"/>
    <n v="2"/>
    <x v="1"/>
    <x v="2"/>
    <x v="3"/>
  </r>
  <r>
    <n v="1762"/>
    <n v="29"/>
    <x v="1"/>
    <x v="0"/>
    <x v="1"/>
    <n v="4"/>
    <x v="3"/>
    <s v="Technical Degree"/>
    <s v="Very high"/>
    <x v="0"/>
    <s v="Medium"/>
    <x v="1"/>
    <x v="3"/>
    <s v="Divorced"/>
    <n v="2109"/>
    <n v="1"/>
    <x v="1"/>
    <n v="13"/>
    <s v="Excellent"/>
    <s v="High"/>
    <n v="2"/>
    <x v="1"/>
    <x v="2"/>
    <x v="1"/>
  </r>
  <r>
    <n v="1763"/>
    <n v="30"/>
    <x v="1"/>
    <x v="0"/>
    <x v="1"/>
    <n v="16"/>
    <x v="3"/>
    <s v="Life Sciences"/>
    <s v="High"/>
    <x v="1"/>
    <s v="Very high"/>
    <x v="4"/>
    <x v="2"/>
    <s v="Married"/>
    <n v="5294"/>
    <n v="3"/>
    <x v="1"/>
    <n v="16"/>
    <s v="Excellent"/>
    <s v="High"/>
    <n v="3"/>
    <x v="1"/>
    <x v="2"/>
    <x v="0"/>
  </r>
  <r>
    <n v="1764"/>
    <n v="32"/>
    <x v="1"/>
    <x v="2"/>
    <x v="1"/>
    <n v="5"/>
    <x v="2"/>
    <s v="Technical Degree"/>
    <s v="Medium"/>
    <x v="1"/>
    <s v="High"/>
    <x v="1"/>
    <x v="1"/>
    <s v="Single"/>
    <n v="2718"/>
    <n v="2"/>
    <x v="1"/>
    <n v="14"/>
    <s v="Excellent"/>
    <s v="Medium"/>
    <n v="3"/>
    <x v="1"/>
    <x v="2"/>
    <x v="1"/>
  </r>
  <r>
    <n v="1766"/>
    <n v="38"/>
    <x v="1"/>
    <x v="0"/>
    <x v="1"/>
    <n v="18"/>
    <x v="3"/>
    <s v="Medical"/>
    <s v="Medium"/>
    <x v="1"/>
    <s v="Low"/>
    <x v="4"/>
    <x v="0"/>
    <s v="Married"/>
    <n v="5811"/>
    <n v="3"/>
    <x v="0"/>
    <n v="16"/>
    <s v="Excellent"/>
    <s v="High"/>
    <n v="2"/>
    <x v="1"/>
    <x v="0"/>
    <x v="0"/>
  </r>
  <r>
    <n v="1767"/>
    <n v="43"/>
    <x v="0"/>
    <x v="1"/>
    <x v="1"/>
    <n v="17"/>
    <x v="3"/>
    <s v="Technical Degree"/>
    <s v="High"/>
    <x v="1"/>
    <s v="Medium"/>
    <x v="1"/>
    <x v="2"/>
    <s v="Married"/>
    <n v="2437"/>
    <n v="9"/>
    <x v="0"/>
    <n v="16"/>
    <s v="Excellent"/>
    <s v="Very high"/>
    <n v="4"/>
    <x v="1"/>
    <x v="0"/>
    <x v="1"/>
  </r>
  <r>
    <n v="1768"/>
    <n v="42"/>
    <x v="1"/>
    <x v="0"/>
    <x v="1"/>
    <n v="12"/>
    <x v="3"/>
    <s v="Medical"/>
    <s v="Medium"/>
    <x v="1"/>
    <s v="High"/>
    <x v="2"/>
    <x v="1"/>
    <s v="Divorced"/>
    <n v="2766"/>
    <n v="8"/>
    <x v="1"/>
    <n v="22"/>
    <s v="Outstanding"/>
    <s v="Medium"/>
    <n v="6"/>
    <x v="2"/>
    <x v="0"/>
    <x v="1"/>
  </r>
  <r>
    <n v="1770"/>
    <n v="55"/>
    <x v="1"/>
    <x v="0"/>
    <x v="1"/>
    <n v="2"/>
    <x v="3"/>
    <s v="Medical"/>
    <s v="High"/>
    <x v="1"/>
    <s v="Medium"/>
    <x v="7"/>
    <x v="3"/>
    <s v="Married"/>
    <n v="19038"/>
    <n v="8"/>
    <x v="1"/>
    <n v="12"/>
    <s v="Excellent"/>
    <s v="Medium"/>
    <n v="2"/>
    <x v="1"/>
    <x v="3"/>
    <x v="3"/>
  </r>
  <r>
    <n v="1771"/>
    <n v="33"/>
    <x v="1"/>
    <x v="2"/>
    <x v="1"/>
    <n v="4"/>
    <x v="3"/>
    <s v="Technical Degree"/>
    <s v="Very high"/>
    <x v="1"/>
    <s v="High"/>
    <x v="1"/>
    <x v="1"/>
    <s v="Divorced"/>
    <n v="3055"/>
    <n v="5"/>
    <x v="1"/>
    <n v="15"/>
    <s v="Excellent"/>
    <s v="Very high"/>
    <n v="2"/>
    <x v="2"/>
    <x v="2"/>
    <x v="2"/>
  </r>
  <r>
    <n v="1772"/>
    <n v="41"/>
    <x v="1"/>
    <x v="0"/>
    <x v="1"/>
    <n v="9"/>
    <x v="2"/>
    <s v="Life Sciences"/>
    <s v="High"/>
    <x v="1"/>
    <s v="High"/>
    <x v="2"/>
    <x v="3"/>
    <s v="Divorced"/>
    <n v="2289"/>
    <n v="1"/>
    <x v="1"/>
    <n v="20"/>
    <s v="Outstanding"/>
    <s v="Medium"/>
    <n v="2"/>
    <x v="1"/>
    <x v="0"/>
    <x v="1"/>
  </r>
  <r>
    <n v="1774"/>
    <n v="34"/>
    <x v="1"/>
    <x v="2"/>
    <x v="0"/>
    <n v="10"/>
    <x v="3"/>
    <s v="Life Sciences"/>
    <s v="Very high"/>
    <x v="1"/>
    <s v="High"/>
    <x v="0"/>
    <x v="2"/>
    <s v="Divorced"/>
    <n v="4001"/>
    <n v="1"/>
    <x v="0"/>
    <n v="14"/>
    <s v="Excellent"/>
    <s v="High"/>
    <n v="3"/>
    <x v="1"/>
    <x v="2"/>
    <x v="2"/>
  </r>
  <r>
    <n v="1775"/>
    <n v="53"/>
    <x v="1"/>
    <x v="2"/>
    <x v="1"/>
    <n v="1"/>
    <x v="2"/>
    <s v="Medical"/>
    <s v="Low"/>
    <x v="0"/>
    <s v="Medium"/>
    <x v="3"/>
    <x v="2"/>
    <s v="Married"/>
    <n v="12965"/>
    <n v="4"/>
    <x v="0"/>
    <n v="20"/>
    <s v="Outstanding"/>
    <s v="Very high"/>
    <n v="2"/>
    <x v="2"/>
    <x v="1"/>
    <x v="3"/>
  </r>
  <r>
    <n v="1778"/>
    <n v="43"/>
    <x v="1"/>
    <x v="0"/>
    <x v="2"/>
    <n v="2"/>
    <x v="3"/>
    <s v="Life Sciences"/>
    <s v="Medium"/>
    <x v="1"/>
    <s v="High"/>
    <x v="8"/>
    <x v="0"/>
    <s v="Single"/>
    <n v="3539"/>
    <n v="0"/>
    <x v="1"/>
    <n v="13"/>
    <s v="Excellent"/>
    <s v="Medium"/>
    <n v="5"/>
    <x v="1"/>
    <x v="0"/>
    <x v="2"/>
  </r>
  <r>
    <n v="1779"/>
    <n v="34"/>
    <x v="1"/>
    <x v="0"/>
    <x v="0"/>
    <n v="3"/>
    <x v="0"/>
    <s v="Life Sciences"/>
    <s v="Very high"/>
    <x v="0"/>
    <s v="Low"/>
    <x v="0"/>
    <x v="0"/>
    <s v="Single"/>
    <n v="6029"/>
    <n v="5"/>
    <x v="1"/>
    <n v="12"/>
    <s v="Excellent"/>
    <s v="Low"/>
    <n v="3"/>
    <x v="1"/>
    <x v="2"/>
    <x v="0"/>
  </r>
  <r>
    <n v="1780"/>
    <n v="21"/>
    <x v="0"/>
    <x v="0"/>
    <x v="0"/>
    <n v="7"/>
    <x v="1"/>
    <s v="Marketing"/>
    <s v="Medium"/>
    <x v="1"/>
    <s v="High"/>
    <x v="6"/>
    <x v="1"/>
    <s v="Single"/>
    <n v="2679"/>
    <n v="1"/>
    <x v="1"/>
    <n v="13"/>
    <s v="Excellent"/>
    <s v="Medium"/>
    <n v="3"/>
    <x v="1"/>
    <x v="4"/>
    <x v="1"/>
  </r>
  <r>
    <n v="1782"/>
    <n v="38"/>
    <x v="1"/>
    <x v="0"/>
    <x v="1"/>
    <n v="6"/>
    <x v="0"/>
    <s v="Other"/>
    <s v="Very high"/>
    <x v="0"/>
    <s v="Medium"/>
    <x v="2"/>
    <x v="2"/>
    <s v="Married"/>
    <n v="3702"/>
    <n v="1"/>
    <x v="1"/>
    <n v="11"/>
    <s v="Excellent"/>
    <s v="Medium"/>
    <n v="3"/>
    <x v="1"/>
    <x v="0"/>
    <x v="2"/>
  </r>
  <r>
    <n v="1783"/>
    <n v="22"/>
    <x v="0"/>
    <x v="0"/>
    <x v="1"/>
    <n v="8"/>
    <x v="1"/>
    <s v="Medical"/>
    <s v="High"/>
    <x v="0"/>
    <s v="High"/>
    <x v="2"/>
    <x v="3"/>
    <s v="Married"/>
    <n v="2398"/>
    <n v="1"/>
    <x v="0"/>
    <n v="17"/>
    <s v="Excellent"/>
    <s v="High"/>
    <n v="6"/>
    <x v="1"/>
    <x v="4"/>
    <x v="1"/>
  </r>
  <r>
    <n v="1784"/>
    <n v="31"/>
    <x v="1"/>
    <x v="0"/>
    <x v="0"/>
    <n v="29"/>
    <x v="2"/>
    <s v="Marketing"/>
    <s v="Low"/>
    <x v="0"/>
    <s v="Medium"/>
    <x v="0"/>
    <x v="0"/>
    <s v="Married"/>
    <n v="5468"/>
    <n v="1"/>
    <x v="1"/>
    <n v="14"/>
    <s v="Excellent"/>
    <s v="Low"/>
    <n v="3"/>
    <x v="1"/>
    <x v="2"/>
    <x v="0"/>
  </r>
  <r>
    <n v="1786"/>
    <n v="51"/>
    <x v="1"/>
    <x v="0"/>
    <x v="1"/>
    <n v="3"/>
    <x v="3"/>
    <s v="Technical Degree"/>
    <s v="Low"/>
    <x v="0"/>
    <s v="High"/>
    <x v="5"/>
    <x v="2"/>
    <s v="Married"/>
    <n v="13116"/>
    <n v="2"/>
    <x v="1"/>
    <n v="11"/>
    <s v="Excellent"/>
    <s v="Very high"/>
    <n v="2"/>
    <x v="1"/>
    <x v="1"/>
    <x v="3"/>
  </r>
  <r>
    <n v="1787"/>
    <n v="37"/>
    <x v="1"/>
    <x v="0"/>
    <x v="0"/>
    <n v="9"/>
    <x v="0"/>
    <s v="Marketing"/>
    <s v="Medium"/>
    <x v="1"/>
    <s v="Medium"/>
    <x v="0"/>
    <x v="1"/>
    <s v="Married"/>
    <n v="4189"/>
    <n v="1"/>
    <x v="1"/>
    <n v="14"/>
    <s v="Excellent"/>
    <s v="Low"/>
    <n v="2"/>
    <x v="1"/>
    <x v="0"/>
    <x v="2"/>
  </r>
  <r>
    <n v="1789"/>
    <n v="46"/>
    <x v="1"/>
    <x v="0"/>
    <x v="1"/>
    <n v="2"/>
    <x v="2"/>
    <s v="Medical"/>
    <s v="High"/>
    <x v="1"/>
    <s v="High"/>
    <x v="7"/>
    <x v="0"/>
    <s v="Divorced"/>
    <n v="19328"/>
    <n v="7"/>
    <x v="0"/>
    <n v="17"/>
    <s v="Excellent"/>
    <s v="High"/>
    <n v="3"/>
    <x v="1"/>
    <x v="1"/>
    <x v="3"/>
  </r>
  <r>
    <n v="1790"/>
    <n v="36"/>
    <x v="1"/>
    <x v="0"/>
    <x v="1"/>
    <n v="10"/>
    <x v="3"/>
    <s v="Life Sciences"/>
    <s v="Very high"/>
    <x v="1"/>
    <s v="High"/>
    <x v="4"/>
    <x v="3"/>
    <s v="Married"/>
    <n v="8321"/>
    <n v="7"/>
    <x v="0"/>
    <n v="13"/>
    <s v="Excellent"/>
    <s v="Very high"/>
    <n v="1"/>
    <x v="1"/>
    <x v="0"/>
    <x v="3"/>
  </r>
  <r>
    <n v="1792"/>
    <n v="44"/>
    <x v="0"/>
    <x v="1"/>
    <x v="1"/>
    <n v="1"/>
    <x v="0"/>
    <s v="Medical"/>
    <s v="High"/>
    <x v="1"/>
    <s v="High"/>
    <x v="1"/>
    <x v="1"/>
    <s v="Divorced"/>
    <n v="2342"/>
    <n v="1"/>
    <x v="0"/>
    <n v="12"/>
    <s v="Excellent"/>
    <s v="High"/>
    <n v="2"/>
    <x v="2"/>
    <x v="0"/>
    <x v="1"/>
  </r>
  <r>
    <n v="1794"/>
    <n v="37"/>
    <x v="1"/>
    <x v="0"/>
    <x v="2"/>
    <n v="8"/>
    <x v="0"/>
    <s v="Other"/>
    <s v="High"/>
    <x v="1"/>
    <s v="High"/>
    <x v="8"/>
    <x v="1"/>
    <s v="Divorced"/>
    <n v="4071"/>
    <n v="2"/>
    <x v="1"/>
    <n v="13"/>
    <s v="Excellent"/>
    <s v="High"/>
    <n v="4"/>
    <x v="2"/>
    <x v="0"/>
    <x v="2"/>
  </r>
  <r>
    <n v="1797"/>
    <n v="35"/>
    <x v="0"/>
    <x v="0"/>
    <x v="0"/>
    <n v="27"/>
    <x v="3"/>
    <s v="Life Sciences"/>
    <s v="High"/>
    <x v="1"/>
    <s v="High"/>
    <x v="0"/>
    <x v="0"/>
    <s v="Single"/>
    <n v="5813"/>
    <n v="1"/>
    <x v="0"/>
    <n v="18"/>
    <s v="Excellent"/>
    <s v="Very high"/>
    <n v="2"/>
    <x v="1"/>
    <x v="0"/>
    <x v="0"/>
  </r>
  <r>
    <n v="1798"/>
    <n v="33"/>
    <x v="1"/>
    <x v="0"/>
    <x v="1"/>
    <n v="8"/>
    <x v="2"/>
    <s v="Life Sciences"/>
    <s v="Very high"/>
    <x v="1"/>
    <s v="Very high"/>
    <x v="1"/>
    <x v="3"/>
    <s v="Married"/>
    <n v="3143"/>
    <n v="6"/>
    <x v="1"/>
    <n v="19"/>
    <s v="Excellent"/>
    <s v="Medium"/>
    <n v="1"/>
    <x v="1"/>
    <x v="2"/>
    <x v="2"/>
  </r>
  <r>
    <n v="1799"/>
    <n v="28"/>
    <x v="1"/>
    <x v="0"/>
    <x v="1"/>
    <n v="1"/>
    <x v="3"/>
    <s v="Life Sciences"/>
    <s v="High"/>
    <x v="1"/>
    <s v="High"/>
    <x v="1"/>
    <x v="0"/>
    <s v="Married"/>
    <n v="2044"/>
    <n v="1"/>
    <x v="1"/>
    <n v="11"/>
    <s v="Excellent"/>
    <s v="High"/>
    <n v="6"/>
    <x v="3"/>
    <x v="2"/>
    <x v="1"/>
  </r>
  <r>
    <n v="1800"/>
    <n v="39"/>
    <x v="1"/>
    <x v="0"/>
    <x v="1"/>
    <n v="10"/>
    <x v="1"/>
    <s v="Medical"/>
    <s v="High"/>
    <x v="1"/>
    <s v="High"/>
    <x v="7"/>
    <x v="2"/>
    <s v="Single"/>
    <n v="13464"/>
    <n v="7"/>
    <x v="1"/>
    <n v="21"/>
    <s v="Outstanding"/>
    <s v="High"/>
    <n v="3"/>
    <x v="1"/>
    <x v="0"/>
    <x v="3"/>
  </r>
  <r>
    <n v="1801"/>
    <n v="46"/>
    <x v="1"/>
    <x v="2"/>
    <x v="0"/>
    <n v="26"/>
    <x v="0"/>
    <s v="Life Sciences"/>
    <s v="Medium"/>
    <x v="1"/>
    <s v="Medium"/>
    <x v="0"/>
    <x v="1"/>
    <s v="Single"/>
    <n v="7991"/>
    <n v="8"/>
    <x v="1"/>
    <n v="15"/>
    <s v="Excellent"/>
    <s v="High"/>
    <n v="3"/>
    <x v="1"/>
    <x v="1"/>
    <x v="0"/>
  </r>
  <r>
    <n v="1802"/>
    <n v="40"/>
    <x v="1"/>
    <x v="0"/>
    <x v="1"/>
    <n v="2"/>
    <x v="0"/>
    <s v="Life Sciences"/>
    <s v="High"/>
    <x v="0"/>
    <s v="High"/>
    <x v="2"/>
    <x v="3"/>
    <s v="Married"/>
    <n v="3377"/>
    <n v="4"/>
    <x v="1"/>
    <n v="17"/>
    <s v="Excellent"/>
    <s v="Very high"/>
    <n v="5"/>
    <x v="2"/>
    <x v="0"/>
    <x v="2"/>
  </r>
  <r>
    <n v="1803"/>
    <n v="42"/>
    <x v="1"/>
    <x v="0"/>
    <x v="1"/>
    <n v="13"/>
    <x v="3"/>
    <s v="Medical"/>
    <s v="Medium"/>
    <x v="1"/>
    <s v="Very high"/>
    <x v="4"/>
    <x v="3"/>
    <s v="Married"/>
    <n v="5538"/>
    <n v="5"/>
    <x v="1"/>
    <n v="18"/>
    <s v="Excellent"/>
    <s v="High"/>
    <n v="2"/>
    <x v="2"/>
    <x v="0"/>
    <x v="0"/>
  </r>
  <r>
    <n v="1804"/>
    <n v="35"/>
    <x v="1"/>
    <x v="2"/>
    <x v="1"/>
    <n v="2"/>
    <x v="0"/>
    <s v="Medical"/>
    <s v="Medium"/>
    <x v="1"/>
    <s v="High"/>
    <x v="3"/>
    <x v="0"/>
    <s v="Divorced"/>
    <n v="5762"/>
    <n v="2"/>
    <x v="1"/>
    <n v="14"/>
    <s v="Excellent"/>
    <s v="High"/>
    <n v="6"/>
    <x v="1"/>
    <x v="0"/>
    <x v="0"/>
  </r>
  <r>
    <n v="1805"/>
    <n v="38"/>
    <x v="1"/>
    <x v="2"/>
    <x v="2"/>
    <n v="2"/>
    <x v="3"/>
    <s v="Human Resources"/>
    <s v="Low"/>
    <x v="1"/>
    <s v="High"/>
    <x v="8"/>
    <x v="1"/>
    <s v="Divorced"/>
    <n v="2592"/>
    <n v="5"/>
    <x v="1"/>
    <n v="13"/>
    <s v="Excellent"/>
    <s v="Very high"/>
    <n v="3"/>
    <x v="1"/>
    <x v="0"/>
    <x v="1"/>
  </r>
  <r>
    <n v="1807"/>
    <n v="34"/>
    <x v="0"/>
    <x v="1"/>
    <x v="1"/>
    <n v="9"/>
    <x v="2"/>
    <s v="Life Sciences"/>
    <s v="Very high"/>
    <x v="1"/>
    <s v="High"/>
    <x v="2"/>
    <x v="3"/>
    <s v="Married"/>
    <n v="5346"/>
    <n v="4"/>
    <x v="1"/>
    <n v="17"/>
    <s v="Excellent"/>
    <s v="High"/>
    <n v="3"/>
    <x v="2"/>
    <x v="2"/>
    <x v="0"/>
  </r>
  <r>
    <n v="1809"/>
    <n v="37"/>
    <x v="0"/>
    <x v="0"/>
    <x v="1"/>
    <n v="10"/>
    <x v="2"/>
    <s v="Medical"/>
    <s v="Very high"/>
    <x v="1"/>
    <s v="High"/>
    <x v="3"/>
    <x v="3"/>
    <s v="Single"/>
    <n v="4213"/>
    <n v="1"/>
    <x v="1"/>
    <n v="15"/>
    <s v="Excellent"/>
    <s v="Medium"/>
    <n v="4"/>
    <x v="0"/>
    <x v="0"/>
    <x v="2"/>
  </r>
  <r>
    <n v="1812"/>
    <n v="39"/>
    <x v="1"/>
    <x v="1"/>
    <x v="0"/>
    <n v="20"/>
    <x v="3"/>
    <s v="Life Sciences"/>
    <s v="High"/>
    <x v="1"/>
    <s v="High"/>
    <x v="0"/>
    <x v="0"/>
    <s v="Divorced"/>
    <n v="4127"/>
    <n v="2"/>
    <x v="1"/>
    <n v="18"/>
    <s v="Excellent"/>
    <s v="Very high"/>
    <n v="6"/>
    <x v="1"/>
    <x v="0"/>
    <x v="2"/>
  </r>
  <r>
    <n v="1813"/>
    <n v="43"/>
    <x v="1"/>
    <x v="2"/>
    <x v="1"/>
    <n v="9"/>
    <x v="3"/>
    <s v="Life Sciences"/>
    <s v="Low"/>
    <x v="1"/>
    <s v="High"/>
    <x v="1"/>
    <x v="2"/>
    <s v="Single"/>
    <n v="2438"/>
    <n v="4"/>
    <x v="1"/>
    <n v="13"/>
    <s v="Excellent"/>
    <s v="High"/>
    <n v="2"/>
    <x v="2"/>
    <x v="0"/>
    <x v="1"/>
  </r>
  <r>
    <n v="1814"/>
    <n v="41"/>
    <x v="1"/>
    <x v="0"/>
    <x v="1"/>
    <n v="5"/>
    <x v="3"/>
    <s v="Life Sciences"/>
    <s v="Medium"/>
    <x v="1"/>
    <s v="Very high"/>
    <x v="4"/>
    <x v="1"/>
    <s v="Single"/>
    <n v="6870"/>
    <n v="3"/>
    <x v="1"/>
    <n v="12"/>
    <s v="Excellent"/>
    <s v="Low"/>
    <n v="3"/>
    <x v="0"/>
    <x v="0"/>
    <x v="0"/>
  </r>
  <r>
    <n v="1815"/>
    <n v="41"/>
    <x v="1"/>
    <x v="0"/>
    <x v="0"/>
    <n v="4"/>
    <x v="1"/>
    <s v="Marketing"/>
    <s v="High"/>
    <x v="0"/>
    <s v="High"/>
    <x v="0"/>
    <x v="2"/>
    <s v="Divorced"/>
    <n v="10447"/>
    <n v="0"/>
    <x v="0"/>
    <n v="13"/>
    <s v="Excellent"/>
    <s v="Very high"/>
    <n v="3"/>
    <x v="3"/>
    <x v="0"/>
    <x v="3"/>
  </r>
  <r>
    <n v="1816"/>
    <n v="30"/>
    <x v="1"/>
    <x v="0"/>
    <x v="1"/>
    <n v="10"/>
    <x v="3"/>
    <s v="Medical"/>
    <s v="Low"/>
    <x v="0"/>
    <s v="High"/>
    <x v="3"/>
    <x v="2"/>
    <s v="Single"/>
    <n v="9667"/>
    <n v="9"/>
    <x v="1"/>
    <n v="14"/>
    <s v="Excellent"/>
    <s v="Medium"/>
    <n v="3"/>
    <x v="1"/>
    <x v="2"/>
    <x v="3"/>
  </r>
  <r>
    <n v="1818"/>
    <n v="26"/>
    <x v="0"/>
    <x v="0"/>
    <x v="2"/>
    <n v="20"/>
    <x v="0"/>
    <s v="Medical"/>
    <s v="Very high"/>
    <x v="0"/>
    <s v="High"/>
    <x v="8"/>
    <x v="1"/>
    <s v="Married"/>
    <n v="2148"/>
    <n v="0"/>
    <x v="0"/>
    <n v="11"/>
    <s v="Excellent"/>
    <s v="High"/>
    <n v="3"/>
    <x v="1"/>
    <x v="2"/>
    <x v="1"/>
  </r>
  <r>
    <n v="1821"/>
    <n v="46"/>
    <x v="0"/>
    <x v="0"/>
    <x v="1"/>
    <n v="21"/>
    <x v="0"/>
    <s v="Medical"/>
    <s v="Very high"/>
    <x v="0"/>
    <s v="High"/>
    <x v="4"/>
    <x v="1"/>
    <s v="Married"/>
    <n v="8926"/>
    <n v="4"/>
    <x v="1"/>
    <n v="22"/>
    <s v="Outstanding"/>
    <s v="Very high"/>
    <n v="2"/>
    <x v="3"/>
    <x v="1"/>
    <x v="3"/>
  </r>
  <r>
    <n v="1822"/>
    <n v="40"/>
    <x v="1"/>
    <x v="0"/>
    <x v="1"/>
    <n v="1"/>
    <x v="3"/>
    <s v="Life Sciences"/>
    <s v="High"/>
    <x v="0"/>
    <s v="High"/>
    <x v="4"/>
    <x v="0"/>
    <s v="Divorced"/>
    <n v="6513"/>
    <n v="4"/>
    <x v="1"/>
    <n v="17"/>
    <s v="Excellent"/>
    <s v="Very high"/>
    <n v="3"/>
    <x v="1"/>
    <x v="0"/>
    <x v="0"/>
  </r>
  <r>
    <n v="1823"/>
    <n v="34"/>
    <x v="1"/>
    <x v="0"/>
    <x v="0"/>
    <n v="8"/>
    <x v="0"/>
    <s v="Technical Degree"/>
    <s v="Medium"/>
    <x v="1"/>
    <s v="Very high"/>
    <x v="0"/>
    <x v="2"/>
    <s v="Married"/>
    <n v="6799"/>
    <n v="1"/>
    <x v="1"/>
    <n v="21"/>
    <s v="Outstanding"/>
    <s v="High"/>
    <n v="5"/>
    <x v="1"/>
    <x v="2"/>
    <x v="0"/>
  </r>
  <r>
    <n v="1824"/>
    <n v="58"/>
    <x v="1"/>
    <x v="2"/>
    <x v="0"/>
    <n v="2"/>
    <x v="3"/>
    <s v="Medical"/>
    <s v="Medium"/>
    <x v="1"/>
    <s v="High"/>
    <x v="5"/>
    <x v="1"/>
    <s v="Divorced"/>
    <n v="16291"/>
    <n v="4"/>
    <x v="1"/>
    <n v="22"/>
    <s v="Outstanding"/>
    <s v="Very high"/>
    <n v="0"/>
    <x v="2"/>
    <x v="3"/>
    <x v="3"/>
  </r>
  <r>
    <n v="1826"/>
    <n v="35"/>
    <x v="1"/>
    <x v="0"/>
    <x v="1"/>
    <n v="23"/>
    <x v="2"/>
    <s v="Medical"/>
    <s v="Medium"/>
    <x v="1"/>
    <s v="Low"/>
    <x v="2"/>
    <x v="2"/>
    <s v="Married"/>
    <n v="2705"/>
    <n v="0"/>
    <x v="1"/>
    <n v="16"/>
    <s v="Excellent"/>
    <s v="Medium"/>
    <n v="2"/>
    <x v="3"/>
    <x v="0"/>
    <x v="1"/>
  </r>
  <r>
    <n v="1827"/>
    <n v="47"/>
    <x v="1"/>
    <x v="0"/>
    <x v="1"/>
    <n v="4"/>
    <x v="3"/>
    <s v="Life Sciences"/>
    <s v="High"/>
    <x v="0"/>
    <s v="Medium"/>
    <x v="3"/>
    <x v="1"/>
    <s v="Divorced"/>
    <n v="10333"/>
    <n v="8"/>
    <x v="0"/>
    <n v="12"/>
    <s v="Excellent"/>
    <s v="High"/>
    <n v="4"/>
    <x v="1"/>
    <x v="1"/>
    <x v="3"/>
  </r>
  <r>
    <n v="1829"/>
    <n v="40"/>
    <x v="1"/>
    <x v="0"/>
    <x v="1"/>
    <n v="12"/>
    <x v="3"/>
    <s v="Life Sciences"/>
    <s v="Medium"/>
    <x v="0"/>
    <s v="High"/>
    <x v="4"/>
    <x v="3"/>
    <s v="Divorced"/>
    <n v="4448"/>
    <n v="2"/>
    <x v="1"/>
    <n v="12"/>
    <s v="Excellent"/>
    <s v="Medium"/>
    <n v="3"/>
    <x v="1"/>
    <x v="0"/>
    <x v="2"/>
  </r>
  <r>
    <n v="1830"/>
    <n v="54"/>
    <x v="1"/>
    <x v="0"/>
    <x v="1"/>
    <n v="7"/>
    <x v="2"/>
    <s v="Medical"/>
    <s v="Very high"/>
    <x v="0"/>
    <s v="High"/>
    <x v="1"/>
    <x v="0"/>
    <s v="Married"/>
    <n v="6854"/>
    <n v="4"/>
    <x v="1"/>
    <n v="15"/>
    <s v="Excellent"/>
    <s v="Medium"/>
    <n v="2"/>
    <x v="2"/>
    <x v="1"/>
    <x v="0"/>
  </r>
  <r>
    <n v="1833"/>
    <n v="31"/>
    <x v="1"/>
    <x v="1"/>
    <x v="0"/>
    <n v="7"/>
    <x v="2"/>
    <s v="Marketing"/>
    <s v="Low"/>
    <x v="0"/>
    <s v="High"/>
    <x v="0"/>
    <x v="3"/>
    <s v="Married"/>
    <n v="9637"/>
    <n v="2"/>
    <x v="1"/>
    <n v="14"/>
    <s v="Excellent"/>
    <s v="Very high"/>
    <n v="3"/>
    <x v="1"/>
    <x v="2"/>
    <x v="3"/>
  </r>
  <r>
    <n v="1834"/>
    <n v="28"/>
    <x v="1"/>
    <x v="0"/>
    <x v="1"/>
    <n v="1"/>
    <x v="3"/>
    <s v="Medical"/>
    <s v="High"/>
    <x v="0"/>
    <s v="High"/>
    <x v="1"/>
    <x v="3"/>
    <s v="Married"/>
    <n v="3591"/>
    <n v="1"/>
    <x v="1"/>
    <n v="25"/>
    <s v="Outstanding"/>
    <s v="High"/>
    <n v="3"/>
    <x v="1"/>
    <x v="2"/>
    <x v="2"/>
  </r>
  <r>
    <n v="1835"/>
    <n v="38"/>
    <x v="1"/>
    <x v="0"/>
    <x v="0"/>
    <n v="2"/>
    <x v="2"/>
    <s v="Marketing"/>
    <s v="Medium"/>
    <x v="0"/>
    <s v="Low"/>
    <x v="6"/>
    <x v="0"/>
    <s v="Married"/>
    <n v="5405"/>
    <n v="2"/>
    <x v="0"/>
    <n v="20"/>
    <s v="Outstanding"/>
    <s v="Low"/>
    <n v="4"/>
    <x v="2"/>
    <x v="0"/>
    <x v="0"/>
  </r>
  <r>
    <n v="1836"/>
    <n v="26"/>
    <x v="1"/>
    <x v="0"/>
    <x v="0"/>
    <n v="10"/>
    <x v="3"/>
    <s v="Medical"/>
    <s v="High"/>
    <x v="1"/>
    <s v="High"/>
    <x v="0"/>
    <x v="0"/>
    <s v="Single"/>
    <n v="4684"/>
    <n v="1"/>
    <x v="1"/>
    <n v="13"/>
    <s v="Excellent"/>
    <s v="Low"/>
    <n v="4"/>
    <x v="1"/>
    <x v="2"/>
    <x v="2"/>
  </r>
  <r>
    <n v="1837"/>
    <n v="58"/>
    <x v="1"/>
    <x v="1"/>
    <x v="1"/>
    <n v="15"/>
    <x v="2"/>
    <s v="Life Sciences"/>
    <s v="Low"/>
    <x v="1"/>
    <s v="High"/>
    <x v="7"/>
    <x v="2"/>
    <s v="Married"/>
    <n v="15787"/>
    <n v="2"/>
    <x v="0"/>
    <n v="14"/>
    <s v="Excellent"/>
    <s v="Medium"/>
    <n v="3"/>
    <x v="1"/>
    <x v="3"/>
    <x v="3"/>
  </r>
  <r>
    <n v="1839"/>
    <n v="18"/>
    <x v="1"/>
    <x v="2"/>
    <x v="1"/>
    <n v="14"/>
    <x v="3"/>
    <s v="Medical"/>
    <s v="Medium"/>
    <x v="0"/>
    <s v="High"/>
    <x v="1"/>
    <x v="2"/>
    <s v="Single"/>
    <n v="1514"/>
    <n v="1"/>
    <x v="1"/>
    <n v="16"/>
    <s v="Excellent"/>
    <s v="High"/>
    <n v="4"/>
    <x v="0"/>
    <x v="4"/>
    <x v="1"/>
  </r>
  <r>
    <n v="1842"/>
    <n v="31"/>
    <x v="0"/>
    <x v="0"/>
    <x v="2"/>
    <n v="18"/>
    <x v="4"/>
    <s v="Human Resources"/>
    <s v="Very high"/>
    <x v="1"/>
    <s v="Very high"/>
    <x v="8"/>
    <x v="3"/>
    <s v="Married"/>
    <n v="2956"/>
    <n v="0"/>
    <x v="1"/>
    <n v="17"/>
    <s v="Excellent"/>
    <s v="High"/>
    <n v="4"/>
    <x v="1"/>
    <x v="2"/>
    <x v="1"/>
  </r>
  <r>
    <n v="1844"/>
    <n v="29"/>
    <x v="0"/>
    <x v="0"/>
    <x v="2"/>
    <n v="13"/>
    <x v="3"/>
    <s v="Human Resources"/>
    <s v="Low"/>
    <x v="1"/>
    <s v="Medium"/>
    <x v="8"/>
    <x v="3"/>
    <s v="Divorced"/>
    <n v="2335"/>
    <n v="4"/>
    <x v="0"/>
    <n v="15"/>
    <s v="Excellent"/>
    <s v="Very high"/>
    <n v="3"/>
    <x v="1"/>
    <x v="2"/>
    <x v="1"/>
  </r>
  <r>
    <n v="1845"/>
    <n v="45"/>
    <x v="1"/>
    <x v="2"/>
    <x v="0"/>
    <n v="2"/>
    <x v="2"/>
    <s v="Life Sciences"/>
    <s v="High"/>
    <x v="0"/>
    <s v="High"/>
    <x v="0"/>
    <x v="2"/>
    <s v="Married"/>
    <n v="5154"/>
    <n v="4"/>
    <x v="1"/>
    <n v="22"/>
    <s v="Outstanding"/>
    <s v="Medium"/>
    <n v="3"/>
    <x v="3"/>
    <x v="1"/>
    <x v="0"/>
  </r>
  <r>
    <n v="1847"/>
    <n v="36"/>
    <x v="1"/>
    <x v="0"/>
    <x v="1"/>
    <n v="2"/>
    <x v="2"/>
    <s v="Other"/>
    <s v="Very high"/>
    <x v="0"/>
    <s v="High"/>
    <x v="1"/>
    <x v="1"/>
    <s v="Married"/>
    <n v="6962"/>
    <n v="4"/>
    <x v="0"/>
    <n v="22"/>
    <s v="Outstanding"/>
    <s v="Very high"/>
    <n v="2"/>
    <x v="1"/>
    <x v="0"/>
    <x v="0"/>
  </r>
  <r>
    <n v="1849"/>
    <n v="43"/>
    <x v="1"/>
    <x v="1"/>
    <x v="0"/>
    <n v="2"/>
    <x v="2"/>
    <s v="Life Sciences"/>
    <s v="Low"/>
    <x v="1"/>
    <s v="High"/>
    <x v="0"/>
    <x v="0"/>
    <s v="Married"/>
    <n v="5675"/>
    <n v="1"/>
    <x v="1"/>
    <n v="20"/>
    <s v="Outstanding"/>
    <s v="High"/>
    <n v="5"/>
    <x v="1"/>
    <x v="0"/>
    <x v="0"/>
  </r>
  <r>
    <n v="1850"/>
    <n v="27"/>
    <x v="1"/>
    <x v="1"/>
    <x v="1"/>
    <n v="5"/>
    <x v="0"/>
    <s v="Life Sciences"/>
    <s v="Very high"/>
    <x v="0"/>
    <s v="High"/>
    <x v="2"/>
    <x v="0"/>
    <s v="Single"/>
    <n v="2379"/>
    <n v="0"/>
    <x v="0"/>
    <n v="14"/>
    <s v="Excellent"/>
    <s v="High"/>
    <n v="3"/>
    <x v="2"/>
    <x v="2"/>
    <x v="1"/>
  </r>
  <r>
    <n v="1852"/>
    <n v="29"/>
    <x v="1"/>
    <x v="1"/>
    <x v="1"/>
    <n v="20"/>
    <x v="1"/>
    <s v="Medical"/>
    <s v="Very high"/>
    <x v="1"/>
    <s v="High"/>
    <x v="2"/>
    <x v="0"/>
    <s v="Married"/>
    <n v="3812"/>
    <n v="1"/>
    <x v="1"/>
    <n v="13"/>
    <s v="Excellent"/>
    <s v="Medium"/>
    <n v="3"/>
    <x v="3"/>
    <x v="2"/>
    <x v="2"/>
  </r>
  <r>
    <n v="1853"/>
    <n v="32"/>
    <x v="1"/>
    <x v="1"/>
    <x v="0"/>
    <n v="10"/>
    <x v="2"/>
    <s v="Marketing"/>
    <s v="Very high"/>
    <x v="1"/>
    <s v="High"/>
    <x v="0"/>
    <x v="0"/>
    <s v="Single"/>
    <n v="4648"/>
    <n v="8"/>
    <x v="1"/>
    <n v="13"/>
    <s v="Excellent"/>
    <s v="High"/>
    <n v="2"/>
    <x v="3"/>
    <x v="2"/>
    <x v="2"/>
  </r>
  <r>
    <n v="1854"/>
    <n v="42"/>
    <x v="1"/>
    <x v="2"/>
    <x v="1"/>
    <n v="10"/>
    <x v="2"/>
    <s v="Technical Degree"/>
    <s v="High"/>
    <x v="1"/>
    <s v="High"/>
    <x v="1"/>
    <x v="2"/>
    <s v="Married"/>
    <n v="2936"/>
    <n v="3"/>
    <x v="1"/>
    <n v="22"/>
    <s v="Outstanding"/>
    <s v="Medium"/>
    <n v="1"/>
    <x v="2"/>
    <x v="0"/>
    <x v="1"/>
  </r>
  <r>
    <n v="1856"/>
    <n v="47"/>
    <x v="1"/>
    <x v="0"/>
    <x v="1"/>
    <n v="9"/>
    <x v="2"/>
    <s v="Life Sciences"/>
    <s v="Medium"/>
    <x v="0"/>
    <s v="High"/>
    <x v="2"/>
    <x v="2"/>
    <s v="Single"/>
    <n v="2105"/>
    <n v="4"/>
    <x v="1"/>
    <n v="12"/>
    <s v="Excellent"/>
    <s v="High"/>
    <n v="2"/>
    <x v="1"/>
    <x v="1"/>
    <x v="1"/>
  </r>
  <r>
    <n v="1857"/>
    <n v="46"/>
    <x v="1"/>
    <x v="0"/>
    <x v="1"/>
    <n v="2"/>
    <x v="0"/>
    <s v="Life Sciences"/>
    <s v="Very high"/>
    <x v="1"/>
    <s v="High"/>
    <x v="3"/>
    <x v="0"/>
    <s v="Divorced"/>
    <n v="8578"/>
    <n v="3"/>
    <x v="1"/>
    <n v="14"/>
    <s v="Excellent"/>
    <s v="High"/>
    <n v="4"/>
    <x v="2"/>
    <x v="1"/>
    <x v="3"/>
  </r>
  <r>
    <n v="1858"/>
    <n v="28"/>
    <x v="1"/>
    <x v="2"/>
    <x v="2"/>
    <n v="1"/>
    <x v="0"/>
    <s v="Life Sciences"/>
    <s v="High"/>
    <x v="1"/>
    <s v="High"/>
    <x v="8"/>
    <x v="0"/>
    <s v="Divorced"/>
    <n v="2706"/>
    <n v="1"/>
    <x v="1"/>
    <n v="15"/>
    <s v="Excellent"/>
    <s v="Medium"/>
    <n v="2"/>
    <x v="1"/>
    <x v="2"/>
    <x v="1"/>
  </r>
  <r>
    <n v="1859"/>
    <n v="29"/>
    <x v="1"/>
    <x v="0"/>
    <x v="1"/>
    <n v="29"/>
    <x v="1"/>
    <s v="Life Sciences"/>
    <s v="Very high"/>
    <x v="1"/>
    <s v="Low"/>
    <x v="4"/>
    <x v="2"/>
    <s v="Divorced"/>
    <n v="6384"/>
    <n v="8"/>
    <x v="1"/>
    <n v="17"/>
    <s v="Excellent"/>
    <s v="Very high"/>
    <n v="3"/>
    <x v="1"/>
    <x v="2"/>
    <x v="0"/>
  </r>
  <r>
    <n v="1860"/>
    <n v="42"/>
    <x v="1"/>
    <x v="0"/>
    <x v="1"/>
    <n v="8"/>
    <x v="3"/>
    <s v="Life Sciences"/>
    <s v="Very high"/>
    <x v="1"/>
    <s v="High"/>
    <x v="2"/>
    <x v="2"/>
    <s v="Single"/>
    <n v="3968"/>
    <n v="4"/>
    <x v="1"/>
    <n v="13"/>
    <s v="Excellent"/>
    <s v="Very high"/>
    <n v="3"/>
    <x v="1"/>
    <x v="0"/>
    <x v="2"/>
  </r>
  <r>
    <n v="1862"/>
    <n v="32"/>
    <x v="0"/>
    <x v="0"/>
    <x v="0"/>
    <n v="2"/>
    <x v="2"/>
    <s v="Marketing"/>
    <s v="High"/>
    <x v="1"/>
    <s v="Medium"/>
    <x v="0"/>
    <x v="1"/>
    <s v="Single"/>
    <n v="9907"/>
    <n v="7"/>
    <x v="0"/>
    <n v="12"/>
    <s v="Excellent"/>
    <s v="High"/>
    <n v="3"/>
    <x v="2"/>
    <x v="2"/>
    <x v="3"/>
  </r>
  <r>
    <n v="1863"/>
    <n v="46"/>
    <x v="1"/>
    <x v="0"/>
    <x v="0"/>
    <n v="3"/>
    <x v="3"/>
    <s v="Technical Degree"/>
    <s v="Low"/>
    <x v="0"/>
    <s v="Very high"/>
    <x v="0"/>
    <x v="3"/>
    <s v="Divorced"/>
    <n v="13225"/>
    <n v="2"/>
    <x v="1"/>
    <n v="12"/>
    <s v="Excellent"/>
    <s v="Very high"/>
    <n v="5"/>
    <x v="1"/>
    <x v="1"/>
    <x v="3"/>
  </r>
  <r>
    <n v="1864"/>
    <n v="27"/>
    <x v="1"/>
    <x v="0"/>
    <x v="0"/>
    <n v="23"/>
    <x v="1"/>
    <s v="Medical"/>
    <s v="Medium"/>
    <x v="0"/>
    <s v="Medium"/>
    <x v="6"/>
    <x v="2"/>
    <s v="Married"/>
    <n v="3540"/>
    <n v="1"/>
    <x v="1"/>
    <n v="21"/>
    <s v="Outstanding"/>
    <s v="Very high"/>
    <n v="5"/>
    <x v="1"/>
    <x v="2"/>
    <x v="2"/>
  </r>
  <r>
    <n v="1865"/>
    <n v="29"/>
    <x v="1"/>
    <x v="0"/>
    <x v="2"/>
    <n v="6"/>
    <x v="1"/>
    <s v="Medical"/>
    <s v="Very high"/>
    <x v="1"/>
    <s v="Medium"/>
    <x v="8"/>
    <x v="1"/>
    <s v="Married"/>
    <n v="2804"/>
    <n v="1"/>
    <x v="1"/>
    <n v="11"/>
    <s v="Excellent"/>
    <s v="Very high"/>
    <n v="3"/>
    <x v="1"/>
    <x v="2"/>
    <x v="1"/>
  </r>
  <r>
    <n v="1866"/>
    <n v="43"/>
    <x v="1"/>
    <x v="0"/>
    <x v="1"/>
    <n v="6"/>
    <x v="3"/>
    <s v="Medical"/>
    <s v="Low"/>
    <x v="0"/>
    <s v="Medium"/>
    <x v="5"/>
    <x v="2"/>
    <s v="Married"/>
    <n v="19392"/>
    <n v="7"/>
    <x v="1"/>
    <n v="13"/>
    <s v="Excellent"/>
    <s v="Very high"/>
    <n v="2"/>
    <x v="1"/>
    <x v="0"/>
    <x v="3"/>
  </r>
  <r>
    <n v="1867"/>
    <n v="48"/>
    <x v="1"/>
    <x v="0"/>
    <x v="1"/>
    <n v="10"/>
    <x v="3"/>
    <s v="Life Sciences"/>
    <s v="Very high"/>
    <x v="1"/>
    <s v="Medium"/>
    <x v="7"/>
    <x v="1"/>
    <s v="Married"/>
    <n v="19665"/>
    <n v="4"/>
    <x v="1"/>
    <n v="12"/>
    <s v="Excellent"/>
    <s v="Very high"/>
    <n v="3"/>
    <x v="1"/>
    <x v="1"/>
    <x v="3"/>
  </r>
  <r>
    <n v="1868"/>
    <n v="29"/>
    <x v="0"/>
    <x v="1"/>
    <x v="1"/>
    <n v="24"/>
    <x v="0"/>
    <s v="Life Sciences"/>
    <s v="Very high"/>
    <x v="1"/>
    <s v="Medium"/>
    <x v="1"/>
    <x v="0"/>
    <s v="Single"/>
    <n v="2439"/>
    <n v="1"/>
    <x v="0"/>
    <n v="24"/>
    <s v="Outstanding"/>
    <s v="Medium"/>
    <n v="3"/>
    <x v="2"/>
    <x v="2"/>
    <x v="1"/>
  </r>
  <r>
    <n v="1869"/>
    <n v="46"/>
    <x v="0"/>
    <x v="0"/>
    <x v="0"/>
    <n v="10"/>
    <x v="3"/>
    <s v="Life Sciences"/>
    <s v="High"/>
    <x v="0"/>
    <s v="High"/>
    <x v="0"/>
    <x v="1"/>
    <s v="Married"/>
    <n v="7314"/>
    <n v="5"/>
    <x v="1"/>
    <n v="21"/>
    <s v="Outstanding"/>
    <s v="High"/>
    <n v="2"/>
    <x v="1"/>
    <x v="1"/>
    <x v="0"/>
  </r>
  <r>
    <n v="1870"/>
    <n v="27"/>
    <x v="1"/>
    <x v="1"/>
    <x v="1"/>
    <n v="15"/>
    <x v="3"/>
    <s v="Life Sciences"/>
    <s v="Very high"/>
    <x v="0"/>
    <s v="Medium"/>
    <x v="1"/>
    <x v="3"/>
    <s v="Married"/>
    <n v="4774"/>
    <n v="0"/>
    <x v="1"/>
    <n v="19"/>
    <s v="Excellent"/>
    <s v="Very high"/>
    <n v="2"/>
    <x v="2"/>
    <x v="2"/>
    <x v="2"/>
  </r>
  <r>
    <n v="1871"/>
    <n v="39"/>
    <x v="1"/>
    <x v="0"/>
    <x v="1"/>
    <n v="19"/>
    <x v="2"/>
    <s v="Other"/>
    <s v="Very high"/>
    <x v="1"/>
    <s v="High"/>
    <x v="1"/>
    <x v="0"/>
    <s v="Divorced"/>
    <n v="3902"/>
    <n v="8"/>
    <x v="1"/>
    <n v="14"/>
    <s v="Excellent"/>
    <s v="Medium"/>
    <n v="2"/>
    <x v="1"/>
    <x v="0"/>
    <x v="2"/>
  </r>
  <r>
    <n v="1873"/>
    <n v="55"/>
    <x v="1"/>
    <x v="0"/>
    <x v="1"/>
    <n v="2"/>
    <x v="2"/>
    <s v="Technical Degree"/>
    <s v="Medium"/>
    <x v="1"/>
    <s v="Medium"/>
    <x v="1"/>
    <x v="0"/>
    <s v="Married"/>
    <n v="2662"/>
    <n v="8"/>
    <x v="1"/>
    <n v="20"/>
    <s v="Outstanding"/>
    <s v="Medium"/>
    <n v="2"/>
    <x v="3"/>
    <x v="3"/>
    <x v="1"/>
  </r>
  <r>
    <n v="1875"/>
    <n v="28"/>
    <x v="1"/>
    <x v="0"/>
    <x v="0"/>
    <n v="3"/>
    <x v="3"/>
    <s v="Medical"/>
    <s v="Medium"/>
    <x v="0"/>
    <s v="High"/>
    <x v="6"/>
    <x v="1"/>
    <s v="Married"/>
    <n v="2856"/>
    <n v="1"/>
    <x v="1"/>
    <n v="19"/>
    <s v="Excellent"/>
    <s v="Very high"/>
    <n v="3"/>
    <x v="1"/>
    <x v="2"/>
    <x v="1"/>
  </r>
  <r>
    <n v="1876"/>
    <n v="30"/>
    <x v="0"/>
    <x v="0"/>
    <x v="0"/>
    <n v="9"/>
    <x v="3"/>
    <s v="Medical"/>
    <s v="Medium"/>
    <x v="1"/>
    <s v="High"/>
    <x v="6"/>
    <x v="0"/>
    <s v="Single"/>
    <n v="1081"/>
    <n v="1"/>
    <x v="1"/>
    <n v="13"/>
    <s v="Excellent"/>
    <s v="High"/>
    <n v="3"/>
    <x v="2"/>
    <x v="2"/>
    <x v="1"/>
  </r>
  <r>
    <n v="1878"/>
    <n v="22"/>
    <x v="0"/>
    <x v="0"/>
    <x v="1"/>
    <n v="7"/>
    <x v="1"/>
    <s v="Life Sciences"/>
    <s v="Very high"/>
    <x v="1"/>
    <s v="High"/>
    <x v="1"/>
    <x v="1"/>
    <s v="Single"/>
    <n v="2472"/>
    <n v="1"/>
    <x v="0"/>
    <n v="23"/>
    <s v="Outstanding"/>
    <s v="Low"/>
    <n v="2"/>
    <x v="1"/>
    <x v="4"/>
    <x v="1"/>
  </r>
  <r>
    <n v="1880"/>
    <n v="36"/>
    <x v="1"/>
    <x v="0"/>
    <x v="0"/>
    <n v="10"/>
    <x v="2"/>
    <s v="Technical Degree"/>
    <s v="Medium"/>
    <x v="0"/>
    <s v="Medium"/>
    <x v="0"/>
    <x v="2"/>
    <s v="Married"/>
    <n v="5673"/>
    <n v="1"/>
    <x v="0"/>
    <n v="13"/>
    <s v="Excellent"/>
    <s v="Low"/>
    <n v="4"/>
    <x v="1"/>
    <x v="0"/>
    <x v="0"/>
  </r>
  <r>
    <n v="1881"/>
    <n v="31"/>
    <x v="1"/>
    <x v="0"/>
    <x v="1"/>
    <n v="20"/>
    <x v="3"/>
    <s v="Life Sciences"/>
    <s v="Medium"/>
    <x v="1"/>
    <s v="High"/>
    <x v="2"/>
    <x v="2"/>
    <s v="Divorced"/>
    <n v="4197"/>
    <n v="1"/>
    <x v="1"/>
    <n v="11"/>
    <s v="Excellent"/>
    <s v="Low"/>
    <n v="2"/>
    <x v="1"/>
    <x v="2"/>
    <x v="2"/>
  </r>
  <r>
    <n v="1882"/>
    <n v="34"/>
    <x v="1"/>
    <x v="0"/>
    <x v="0"/>
    <n v="4"/>
    <x v="3"/>
    <s v="Life Sciences"/>
    <s v="High"/>
    <x v="1"/>
    <s v="High"/>
    <x v="0"/>
    <x v="0"/>
    <s v="Married"/>
    <n v="9713"/>
    <n v="2"/>
    <x v="0"/>
    <n v="13"/>
    <s v="Excellent"/>
    <s v="Very high"/>
    <n v="3"/>
    <x v="1"/>
    <x v="2"/>
    <x v="3"/>
  </r>
  <r>
    <n v="1883"/>
    <n v="29"/>
    <x v="1"/>
    <x v="0"/>
    <x v="1"/>
    <n v="7"/>
    <x v="3"/>
    <s v="Life Sciences"/>
    <s v="Very high"/>
    <x v="1"/>
    <s v="High"/>
    <x v="2"/>
    <x v="3"/>
    <s v="Single"/>
    <n v="2062"/>
    <n v="3"/>
    <x v="1"/>
    <n v="14"/>
    <s v="Excellent"/>
    <s v="Medium"/>
    <n v="2"/>
    <x v="1"/>
    <x v="2"/>
    <x v="1"/>
  </r>
  <r>
    <n v="1885"/>
    <n v="37"/>
    <x v="1"/>
    <x v="0"/>
    <x v="1"/>
    <n v="7"/>
    <x v="2"/>
    <s v="Medical"/>
    <s v="Very high"/>
    <x v="1"/>
    <s v="High"/>
    <x v="1"/>
    <x v="3"/>
    <s v="Married"/>
    <n v="4284"/>
    <n v="5"/>
    <x v="0"/>
    <n v="22"/>
    <s v="Outstanding"/>
    <s v="High"/>
    <n v="2"/>
    <x v="1"/>
    <x v="0"/>
    <x v="2"/>
  </r>
  <r>
    <n v="1886"/>
    <n v="35"/>
    <x v="1"/>
    <x v="0"/>
    <x v="1"/>
    <n v="16"/>
    <x v="0"/>
    <s v="Other"/>
    <s v="Very high"/>
    <x v="0"/>
    <s v="Medium"/>
    <x v="3"/>
    <x v="1"/>
    <s v="Married"/>
    <n v="4788"/>
    <n v="0"/>
    <x v="0"/>
    <n v="11"/>
    <s v="Excellent"/>
    <s v="Very high"/>
    <n v="2"/>
    <x v="1"/>
    <x v="0"/>
    <x v="2"/>
  </r>
  <r>
    <n v="1888"/>
    <n v="45"/>
    <x v="1"/>
    <x v="0"/>
    <x v="1"/>
    <n v="25"/>
    <x v="0"/>
    <s v="Life Sciences"/>
    <s v="Medium"/>
    <x v="0"/>
    <s v="Medium"/>
    <x v="3"/>
    <x v="0"/>
    <s v="Married"/>
    <n v="5906"/>
    <n v="0"/>
    <x v="1"/>
    <n v="13"/>
    <s v="Excellent"/>
    <s v="Very high"/>
    <n v="2"/>
    <x v="2"/>
    <x v="1"/>
    <x v="0"/>
  </r>
  <r>
    <n v="1890"/>
    <n v="36"/>
    <x v="1"/>
    <x v="1"/>
    <x v="2"/>
    <n v="2"/>
    <x v="1"/>
    <s v="Human Resources"/>
    <s v="Medium"/>
    <x v="1"/>
    <s v="Medium"/>
    <x v="8"/>
    <x v="0"/>
    <s v="Single"/>
    <n v="3886"/>
    <n v="1"/>
    <x v="1"/>
    <n v="21"/>
    <s v="Outstanding"/>
    <s v="Very high"/>
    <n v="2"/>
    <x v="2"/>
    <x v="0"/>
    <x v="2"/>
  </r>
  <r>
    <n v="1892"/>
    <n v="40"/>
    <x v="1"/>
    <x v="0"/>
    <x v="1"/>
    <n v="1"/>
    <x v="2"/>
    <s v="Life Sciences"/>
    <s v="Low"/>
    <x v="1"/>
    <s v="High"/>
    <x v="5"/>
    <x v="3"/>
    <s v="Divorced"/>
    <n v="16823"/>
    <n v="2"/>
    <x v="1"/>
    <n v="11"/>
    <s v="Excellent"/>
    <s v="Low"/>
    <n v="3"/>
    <x v="1"/>
    <x v="0"/>
    <x v="3"/>
  </r>
  <r>
    <n v="1893"/>
    <n v="26"/>
    <x v="1"/>
    <x v="0"/>
    <x v="1"/>
    <n v="1"/>
    <x v="0"/>
    <s v="Life Sciences"/>
    <s v="Medium"/>
    <x v="0"/>
    <s v="Medium"/>
    <x v="1"/>
    <x v="2"/>
    <s v="Married"/>
    <n v="2933"/>
    <n v="1"/>
    <x v="0"/>
    <n v="13"/>
    <s v="Excellent"/>
    <s v="High"/>
    <n v="3"/>
    <x v="2"/>
    <x v="2"/>
    <x v="1"/>
  </r>
  <r>
    <n v="1898"/>
    <n v="27"/>
    <x v="1"/>
    <x v="0"/>
    <x v="0"/>
    <n v="2"/>
    <x v="0"/>
    <s v="Medical"/>
    <s v="Low"/>
    <x v="0"/>
    <s v="Very high"/>
    <x v="0"/>
    <x v="2"/>
    <s v="Single"/>
    <n v="6500"/>
    <n v="0"/>
    <x v="1"/>
    <n v="14"/>
    <s v="Excellent"/>
    <s v="Medium"/>
    <n v="5"/>
    <x v="2"/>
    <x v="2"/>
    <x v="0"/>
  </r>
  <r>
    <n v="1900"/>
    <n v="48"/>
    <x v="1"/>
    <x v="1"/>
    <x v="1"/>
    <n v="22"/>
    <x v="3"/>
    <s v="Medical"/>
    <s v="Very high"/>
    <x v="0"/>
    <s v="High"/>
    <x v="5"/>
    <x v="0"/>
    <s v="Divorced"/>
    <n v="17174"/>
    <n v="3"/>
    <x v="1"/>
    <n v="11"/>
    <s v="Excellent"/>
    <s v="Medium"/>
    <n v="3"/>
    <x v="1"/>
    <x v="1"/>
    <x v="3"/>
  </r>
  <r>
    <n v="1903"/>
    <n v="44"/>
    <x v="1"/>
    <x v="0"/>
    <x v="1"/>
    <n v="1"/>
    <x v="2"/>
    <s v="Life Sciences"/>
    <s v="Medium"/>
    <x v="1"/>
    <s v="Very high"/>
    <x v="4"/>
    <x v="3"/>
    <s v="Married"/>
    <n v="5033"/>
    <n v="2"/>
    <x v="1"/>
    <n v="15"/>
    <s v="Excellent"/>
    <s v="Very high"/>
    <n v="5"/>
    <x v="1"/>
    <x v="0"/>
    <x v="0"/>
  </r>
  <r>
    <n v="1905"/>
    <n v="34"/>
    <x v="0"/>
    <x v="2"/>
    <x v="1"/>
    <n v="16"/>
    <x v="2"/>
    <s v="Technical Degree"/>
    <s v="Very high"/>
    <x v="1"/>
    <s v="Low"/>
    <x v="1"/>
    <x v="3"/>
    <s v="Married"/>
    <n v="2307"/>
    <n v="1"/>
    <x v="0"/>
    <n v="23"/>
    <s v="Outstanding"/>
    <s v="Medium"/>
    <n v="2"/>
    <x v="1"/>
    <x v="2"/>
    <x v="1"/>
  </r>
  <r>
    <n v="1907"/>
    <n v="56"/>
    <x v="0"/>
    <x v="0"/>
    <x v="1"/>
    <n v="24"/>
    <x v="0"/>
    <s v="Life Sciences"/>
    <s v="Low"/>
    <x v="1"/>
    <s v="High"/>
    <x v="2"/>
    <x v="0"/>
    <s v="Single"/>
    <n v="2587"/>
    <n v="1"/>
    <x v="1"/>
    <n v="16"/>
    <s v="Excellent"/>
    <s v="Very high"/>
    <n v="3"/>
    <x v="1"/>
    <x v="3"/>
    <x v="1"/>
  </r>
  <r>
    <n v="1908"/>
    <n v="36"/>
    <x v="1"/>
    <x v="0"/>
    <x v="0"/>
    <n v="17"/>
    <x v="0"/>
    <s v="Marketing"/>
    <s v="High"/>
    <x v="1"/>
    <s v="Medium"/>
    <x v="0"/>
    <x v="1"/>
    <s v="Married"/>
    <n v="5507"/>
    <n v="2"/>
    <x v="1"/>
    <n v="16"/>
    <s v="Excellent"/>
    <s v="High"/>
    <n v="1"/>
    <x v="0"/>
    <x v="0"/>
    <x v="0"/>
  </r>
  <r>
    <n v="1909"/>
    <n v="41"/>
    <x v="1"/>
    <x v="0"/>
    <x v="0"/>
    <n v="8"/>
    <x v="3"/>
    <s v="Marketing"/>
    <s v="High"/>
    <x v="0"/>
    <s v="High"/>
    <x v="0"/>
    <x v="1"/>
    <s v="Married"/>
    <n v="4393"/>
    <n v="5"/>
    <x v="1"/>
    <n v="21"/>
    <s v="Outstanding"/>
    <s v="High"/>
    <n v="3"/>
    <x v="1"/>
    <x v="0"/>
    <x v="2"/>
  </r>
  <r>
    <n v="1911"/>
    <n v="42"/>
    <x v="1"/>
    <x v="0"/>
    <x v="1"/>
    <n v="6"/>
    <x v="3"/>
    <s v="Medical"/>
    <s v="High"/>
    <x v="1"/>
    <s v="High"/>
    <x v="7"/>
    <x v="3"/>
    <s v="Married"/>
    <n v="13348"/>
    <n v="9"/>
    <x v="1"/>
    <n v="13"/>
    <s v="Excellent"/>
    <s v="Medium"/>
    <n v="3"/>
    <x v="3"/>
    <x v="0"/>
    <x v="3"/>
  </r>
  <r>
    <n v="1912"/>
    <n v="31"/>
    <x v="1"/>
    <x v="0"/>
    <x v="0"/>
    <n v="10"/>
    <x v="0"/>
    <s v="Medical"/>
    <s v="High"/>
    <x v="0"/>
    <s v="High"/>
    <x v="0"/>
    <x v="0"/>
    <s v="Divorced"/>
    <n v="6583"/>
    <n v="2"/>
    <x v="0"/>
    <n v="11"/>
    <s v="Excellent"/>
    <s v="Very high"/>
    <n v="2"/>
    <x v="1"/>
    <x v="2"/>
    <x v="0"/>
  </r>
  <r>
    <n v="1915"/>
    <n v="34"/>
    <x v="1"/>
    <x v="0"/>
    <x v="0"/>
    <n v="3"/>
    <x v="1"/>
    <s v="Medical"/>
    <s v="Very high"/>
    <x v="0"/>
    <s v="Medium"/>
    <x v="0"/>
    <x v="0"/>
    <s v="Married"/>
    <n v="8103"/>
    <n v="3"/>
    <x v="0"/>
    <n v="12"/>
    <s v="Excellent"/>
    <s v="High"/>
    <n v="3"/>
    <x v="2"/>
    <x v="2"/>
    <x v="3"/>
  </r>
  <r>
    <n v="1916"/>
    <n v="31"/>
    <x v="1"/>
    <x v="0"/>
    <x v="1"/>
    <n v="4"/>
    <x v="3"/>
    <s v="Medical"/>
    <s v="Low"/>
    <x v="0"/>
    <s v="Very high"/>
    <x v="2"/>
    <x v="2"/>
    <s v="Divorced"/>
    <n v="3978"/>
    <n v="8"/>
    <x v="1"/>
    <n v="12"/>
    <s v="Excellent"/>
    <s v="Medium"/>
    <n v="0"/>
    <x v="2"/>
    <x v="2"/>
    <x v="2"/>
  </r>
  <r>
    <n v="1918"/>
    <n v="26"/>
    <x v="1"/>
    <x v="1"/>
    <x v="1"/>
    <n v="6"/>
    <x v="3"/>
    <s v="Other"/>
    <s v="High"/>
    <x v="1"/>
    <s v="Very high"/>
    <x v="2"/>
    <x v="0"/>
    <s v="Married"/>
    <n v="2544"/>
    <n v="0"/>
    <x v="1"/>
    <n v="18"/>
    <s v="Excellent"/>
    <s v="Low"/>
    <n v="3"/>
    <x v="1"/>
    <x v="2"/>
    <x v="1"/>
  </r>
  <r>
    <n v="1922"/>
    <n v="45"/>
    <x v="1"/>
    <x v="1"/>
    <x v="1"/>
    <n v="1"/>
    <x v="2"/>
    <s v="Medical"/>
    <s v="Medium"/>
    <x v="1"/>
    <s v="High"/>
    <x v="4"/>
    <x v="2"/>
    <s v="Single"/>
    <n v="5399"/>
    <n v="4"/>
    <x v="1"/>
    <n v="12"/>
    <s v="Excellent"/>
    <s v="High"/>
    <n v="3"/>
    <x v="1"/>
    <x v="1"/>
    <x v="0"/>
  </r>
  <r>
    <n v="1924"/>
    <n v="33"/>
    <x v="1"/>
    <x v="0"/>
    <x v="0"/>
    <n v="10"/>
    <x v="2"/>
    <s v="Marketing"/>
    <s v="Medium"/>
    <x v="1"/>
    <s v="High"/>
    <x v="0"/>
    <x v="2"/>
    <s v="Single"/>
    <n v="5487"/>
    <n v="1"/>
    <x v="1"/>
    <n v="14"/>
    <s v="Excellent"/>
    <s v="Medium"/>
    <n v="2"/>
    <x v="2"/>
    <x v="2"/>
    <x v="0"/>
  </r>
  <r>
    <n v="1927"/>
    <n v="28"/>
    <x v="1"/>
    <x v="1"/>
    <x v="0"/>
    <n v="1"/>
    <x v="0"/>
    <s v="Life Sciences"/>
    <s v="High"/>
    <x v="1"/>
    <s v="Medium"/>
    <x v="0"/>
    <x v="0"/>
    <s v="Married"/>
    <n v="6834"/>
    <n v="1"/>
    <x v="0"/>
    <n v="12"/>
    <s v="Excellent"/>
    <s v="High"/>
    <n v="2"/>
    <x v="1"/>
    <x v="2"/>
    <x v="0"/>
  </r>
  <r>
    <n v="1928"/>
    <n v="29"/>
    <x v="0"/>
    <x v="1"/>
    <x v="0"/>
    <n v="24"/>
    <x v="3"/>
    <s v="Technical Degree"/>
    <s v="High"/>
    <x v="1"/>
    <s v="Very high"/>
    <x v="6"/>
    <x v="3"/>
    <s v="Single"/>
    <n v="1091"/>
    <n v="1"/>
    <x v="1"/>
    <n v="17"/>
    <s v="Excellent"/>
    <s v="Very high"/>
    <n v="3"/>
    <x v="1"/>
    <x v="2"/>
    <x v="1"/>
  </r>
  <r>
    <n v="1929"/>
    <n v="39"/>
    <x v="1"/>
    <x v="2"/>
    <x v="0"/>
    <n v="21"/>
    <x v="2"/>
    <s v="Life Sciences"/>
    <s v="Low"/>
    <x v="0"/>
    <s v="Low"/>
    <x v="0"/>
    <x v="2"/>
    <s v="Married"/>
    <n v="5736"/>
    <n v="6"/>
    <x v="1"/>
    <n v="19"/>
    <s v="Excellent"/>
    <s v="High"/>
    <n v="1"/>
    <x v="1"/>
    <x v="0"/>
    <x v="0"/>
  </r>
  <r>
    <n v="1931"/>
    <n v="27"/>
    <x v="1"/>
    <x v="0"/>
    <x v="1"/>
    <n v="2"/>
    <x v="2"/>
    <s v="Technical Degree"/>
    <s v="Medium"/>
    <x v="1"/>
    <s v="High"/>
    <x v="1"/>
    <x v="1"/>
    <s v="Married"/>
    <n v="2226"/>
    <n v="1"/>
    <x v="1"/>
    <n v="11"/>
    <s v="Excellent"/>
    <s v="High"/>
    <n v="3"/>
    <x v="2"/>
    <x v="2"/>
    <x v="1"/>
  </r>
  <r>
    <n v="1932"/>
    <n v="34"/>
    <x v="1"/>
    <x v="1"/>
    <x v="1"/>
    <n v="22"/>
    <x v="2"/>
    <s v="Other"/>
    <s v="High"/>
    <x v="1"/>
    <s v="Medium"/>
    <x v="1"/>
    <x v="0"/>
    <s v="Married"/>
    <n v="5747"/>
    <n v="1"/>
    <x v="0"/>
    <n v="15"/>
    <s v="Excellent"/>
    <s v="Medium"/>
    <n v="3"/>
    <x v="1"/>
    <x v="2"/>
    <x v="0"/>
  </r>
  <r>
    <n v="1933"/>
    <n v="28"/>
    <x v="0"/>
    <x v="0"/>
    <x v="0"/>
    <n v="13"/>
    <x v="0"/>
    <s v="Marketing"/>
    <s v="Very high"/>
    <x v="0"/>
    <s v="High"/>
    <x v="0"/>
    <x v="2"/>
    <s v="Single"/>
    <n v="9854"/>
    <n v="3"/>
    <x v="0"/>
    <n v="11"/>
    <s v="Excellent"/>
    <s v="Very high"/>
    <n v="0"/>
    <x v="1"/>
    <x v="2"/>
    <x v="3"/>
  </r>
  <r>
    <n v="1934"/>
    <n v="47"/>
    <x v="1"/>
    <x v="2"/>
    <x v="1"/>
    <n v="14"/>
    <x v="2"/>
    <s v="Technical Degree"/>
    <s v="High"/>
    <x v="1"/>
    <s v="High"/>
    <x v="1"/>
    <x v="1"/>
    <s v="Married"/>
    <n v="5467"/>
    <n v="8"/>
    <x v="1"/>
    <n v="18"/>
    <s v="Excellent"/>
    <s v="High"/>
    <n v="4"/>
    <x v="3"/>
    <x v="1"/>
    <x v="0"/>
  </r>
  <r>
    <n v="1935"/>
    <n v="56"/>
    <x v="1"/>
    <x v="0"/>
    <x v="0"/>
    <n v="11"/>
    <x v="4"/>
    <s v="Marketing"/>
    <s v="Very high"/>
    <x v="0"/>
    <s v="Medium"/>
    <x v="0"/>
    <x v="3"/>
    <s v="Married"/>
    <n v="5380"/>
    <n v="4"/>
    <x v="1"/>
    <n v="16"/>
    <s v="Excellent"/>
    <s v="High"/>
    <n v="3"/>
    <x v="1"/>
    <x v="3"/>
    <x v="0"/>
  </r>
  <r>
    <n v="1936"/>
    <n v="39"/>
    <x v="1"/>
    <x v="0"/>
    <x v="1"/>
    <n v="9"/>
    <x v="0"/>
    <s v="Medical"/>
    <s v="Low"/>
    <x v="1"/>
    <s v="High"/>
    <x v="3"/>
    <x v="3"/>
    <s v="Married"/>
    <n v="5151"/>
    <n v="1"/>
    <x v="1"/>
    <n v="25"/>
    <s v="Outstanding"/>
    <s v="Very high"/>
    <n v="3"/>
    <x v="1"/>
    <x v="0"/>
    <x v="0"/>
  </r>
  <r>
    <n v="1937"/>
    <n v="38"/>
    <x v="1"/>
    <x v="1"/>
    <x v="1"/>
    <n v="8"/>
    <x v="3"/>
    <s v="Medical"/>
    <s v="Very high"/>
    <x v="0"/>
    <s v="Medium"/>
    <x v="1"/>
    <x v="1"/>
    <s v="Divorced"/>
    <n v="2133"/>
    <n v="1"/>
    <x v="0"/>
    <n v="16"/>
    <s v="Excellent"/>
    <s v="High"/>
    <n v="3"/>
    <x v="1"/>
    <x v="0"/>
    <x v="1"/>
  </r>
  <r>
    <n v="1938"/>
    <n v="58"/>
    <x v="1"/>
    <x v="0"/>
    <x v="0"/>
    <n v="21"/>
    <x v="3"/>
    <s v="Life Sciences"/>
    <s v="Very high"/>
    <x v="0"/>
    <s v="High"/>
    <x v="5"/>
    <x v="0"/>
    <s v="Married"/>
    <n v="17875"/>
    <n v="4"/>
    <x v="0"/>
    <n v="13"/>
    <s v="Excellent"/>
    <s v="High"/>
    <n v="2"/>
    <x v="2"/>
    <x v="3"/>
    <x v="3"/>
  </r>
  <r>
    <n v="1939"/>
    <n v="32"/>
    <x v="0"/>
    <x v="1"/>
    <x v="1"/>
    <n v="5"/>
    <x v="0"/>
    <s v="Life Sciences"/>
    <s v="Low"/>
    <x v="0"/>
    <s v="Very high"/>
    <x v="1"/>
    <x v="2"/>
    <s v="Single"/>
    <n v="2432"/>
    <n v="3"/>
    <x v="0"/>
    <n v="14"/>
    <s v="Excellent"/>
    <s v="Low"/>
    <n v="2"/>
    <x v="1"/>
    <x v="2"/>
    <x v="1"/>
  </r>
  <r>
    <n v="1940"/>
    <n v="38"/>
    <x v="1"/>
    <x v="0"/>
    <x v="1"/>
    <n v="9"/>
    <x v="0"/>
    <s v="Life Sciences"/>
    <s v="Medium"/>
    <x v="1"/>
    <s v="High"/>
    <x v="1"/>
    <x v="0"/>
    <s v="Divorced"/>
    <n v="4771"/>
    <n v="2"/>
    <x v="1"/>
    <n v="19"/>
    <s v="Excellent"/>
    <s v="Very high"/>
    <n v="0"/>
    <x v="3"/>
    <x v="0"/>
    <x v="2"/>
  </r>
  <r>
    <n v="1941"/>
    <n v="49"/>
    <x v="1"/>
    <x v="1"/>
    <x v="1"/>
    <n v="2"/>
    <x v="1"/>
    <s v="Life Sciences"/>
    <s v="Medium"/>
    <x v="1"/>
    <s v="High"/>
    <x v="7"/>
    <x v="0"/>
    <s v="Married"/>
    <n v="19161"/>
    <n v="3"/>
    <x v="1"/>
    <n v="15"/>
    <s v="Excellent"/>
    <s v="Very high"/>
    <n v="3"/>
    <x v="1"/>
    <x v="1"/>
    <x v="3"/>
  </r>
  <r>
    <n v="1943"/>
    <n v="42"/>
    <x v="1"/>
    <x v="0"/>
    <x v="0"/>
    <n v="12"/>
    <x v="2"/>
    <s v="Marketing"/>
    <s v="Medium"/>
    <x v="1"/>
    <s v="High"/>
    <x v="0"/>
    <x v="0"/>
    <s v="Divorced"/>
    <n v="5087"/>
    <n v="3"/>
    <x v="0"/>
    <n v="12"/>
    <s v="Excellent"/>
    <s v="High"/>
    <n v="4"/>
    <x v="1"/>
    <x v="0"/>
    <x v="0"/>
  </r>
  <r>
    <n v="1944"/>
    <n v="27"/>
    <x v="0"/>
    <x v="1"/>
    <x v="2"/>
    <n v="22"/>
    <x v="3"/>
    <s v="Human Resources"/>
    <s v="Low"/>
    <x v="0"/>
    <s v="Medium"/>
    <x v="8"/>
    <x v="1"/>
    <s v="Married"/>
    <n v="2863"/>
    <n v="1"/>
    <x v="1"/>
    <n v="12"/>
    <s v="Excellent"/>
    <s v="Low"/>
    <n v="2"/>
    <x v="1"/>
    <x v="2"/>
    <x v="1"/>
  </r>
  <r>
    <n v="1945"/>
    <n v="35"/>
    <x v="1"/>
    <x v="0"/>
    <x v="0"/>
    <n v="18"/>
    <x v="2"/>
    <s v="Medical"/>
    <s v="Medium"/>
    <x v="1"/>
    <s v="High"/>
    <x v="0"/>
    <x v="3"/>
    <s v="Married"/>
    <n v="5561"/>
    <n v="0"/>
    <x v="1"/>
    <n v="16"/>
    <s v="Excellent"/>
    <s v="Very high"/>
    <n v="2"/>
    <x v="0"/>
    <x v="0"/>
    <x v="0"/>
  </r>
  <r>
    <n v="1947"/>
    <n v="28"/>
    <x v="1"/>
    <x v="2"/>
    <x v="1"/>
    <n v="16"/>
    <x v="3"/>
    <s v="Medical"/>
    <s v="High"/>
    <x v="1"/>
    <s v="High"/>
    <x v="1"/>
    <x v="2"/>
    <s v="Single"/>
    <n v="2144"/>
    <n v="1"/>
    <x v="1"/>
    <n v="14"/>
    <s v="Excellent"/>
    <s v="High"/>
    <n v="3"/>
    <x v="2"/>
    <x v="2"/>
    <x v="1"/>
  </r>
  <r>
    <n v="1948"/>
    <n v="31"/>
    <x v="1"/>
    <x v="2"/>
    <x v="1"/>
    <n v="3"/>
    <x v="0"/>
    <s v="Medical"/>
    <s v="High"/>
    <x v="1"/>
    <s v="High"/>
    <x v="1"/>
    <x v="3"/>
    <s v="Divorced"/>
    <n v="3065"/>
    <n v="1"/>
    <x v="0"/>
    <n v="13"/>
    <s v="Excellent"/>
    <s v="Very high"/>
    <n v="3"/>
    <x v="3"/>
    <x v="2"/>
    <x v="2"/>
  </r>
  <r>
    <n v="1949"/>
    <n v="36"/>
    <x v="1"/>
    <x v="2"/>
    <x v="1"/>
    <n v="9"/>
    <x v="2"/>
    <s v="Life Sciences"/>
    <s v="Low"/>
    <x v="1"/>
    <s v="Very high"/>
    <x v="2"/>
    <x v="1"/>
    <s v="Married"/>
    <n v="2810"/>
    <n v="1"/>
    <x v="1"/>
    <n v="22"/>
    <s v="Outstanding"/>
    <s v="Medium"/>
    <n v="3"/>
    <x v="1"/>
    <x v="0"/>
    <x v="1"/>
  </r>
  <r>
    <n v="1950"/>
    <n v="34"/>
    <x v="1"/>
    <x v="0"/>
    <x v="0"/>
    <n v="1"/>
    <x v="3"/>
    <s v="Marketing"/>
    <s v="Low"/>
    <x v="1"/>
    <s v="High"/>
    <x v="0"/>
    <x v="0"/>
    <s v="Single"/>
    <n v="9888"/>
    <n v="1"/>
    <x v="1"/>
    <n v="21"/>
    <s v="Outstanding"/>
    <s v="Low"/>
    <n v="3"/>
    <x v="2"/>
    <x v="2"/>
    <x v="3"/>
  </r>
  <r>
    <n v="1951"/>
    <n v="34"/>
    <x v="1"/>
    <x v="0"/>
    <x v="0"/>
    <n v="13"/>
    <x v="2"/>
    <s v="Medical"/>
    <s v="Very high"/>
    <x v="1"/>
    <s v="High"/>
    <x v="0"/>
    <x v="2"/>
    <s v="Divorced"/>
    <n v="8628"/>
    <n v="1"/>
    <x v="1"/>
    <n v="18"/>
    <s v="Excellent"/>
    <s v="High"/>
    <n v="2"/>
    <x v="2"/>
    <x v="2"/>
    <x v="3"/>
  </r>
  <r>
    <n v="1952"/>
    <n v="26"/>
    <x v="1"/>
    <x v="0"/>
    <x v="1"/>
    <n v="1"/>
    <x v="3"/>
    <s v="Medical"/>
    <s v="High"/>
    <x v="1"/>
    <s v="High"/>
    <x v="2"/>
    <x v="3"/>
    <s v="Single"/>
    <n v="2867"/>
    <n v="0"/>
    <x v="1"/>
    <n v="13"/>
    <s v="Excellent"/>
    <s v="Very high"/>
    <n v="6"/>
    <x v="2"/>
    <x v="2"/>
    <x v="1"/>
  </r>
  <r>
    <n v="1954"/>
    <n v="29"/>
    <x v="1"/>
    <x v="0"/>
    <x v="1"/>
    <n v="1"/>
    <x v="3"/>
    <s v="Life Sciences"/>
    <s v="Low"/>
    <x v="1"/>
    <s v="High"/>
    <x v="4"/>
    <x v="3"/>
    <s v="Married"/>
    <n v="5373"/>
    <n v="0"/>
    <x v="1"/>
    <n v="12"/>
    <s v="Excellent"/>
    <s v="Low"/>
    <n v="5"/>
    <x v="2"/>
    <x v="2"/>
    <x v="0"/>
  </r>
  <r>
    <n v="1955"/>
    <n v="32"/>
    <x v="1"/>
    <x v="2"/>
    <x v="1"/>
    <n v="15"/>
    <x v="2"/>
    <s v="Medical"/>
    <s v="High"/>
    <x v="0"/>
    <s v="High"/>
    <x v="4"/>
    <x v="0"/>
    <s v="Divorced"/>
    <n v="6667"/>
    <n v="5"/>
    <x v="1"/>
    <n v="18"/>
    <s v="Excellent"/>
    <s v="Medium"/>
    <n v="6"/>
    <x v="1"/>
    <x v="2"/>
    <x v="0"/>
  </r>
  <r>
    <n v="1956"/>
    <n v="31"/>
    <x v="1"/>
    <x v="1"/>
    <x v="1"/>
    <n v="1"/>
    <x v="3"/>
    <s v="Life Sciences"/>
    <s v="Very high"/>
    <x v="1"/>
    <s v="Low"/>
    <x v="1"/>
    <x v="3"/>
    <s v="Married"/>
    <n v="5003"/>
    <n v="1"/>
    <x v="1"/>
    <n v="21"/>
    <s v="Outstanding"/>
    <s v="Medium"/>
    <n v="6"/>
    <x v="1"/>
    <x v="2"/>
    <x v="0"/>
  </r>
  <r>
    <n v="1960"/>
    <n v="28"/>
    <x v="0"/>
    <x v="0"/>
    <x v="1"/>
    <n v="17"/>
    <x v="3"/>
    <s v="Technical Degree"/>
    <s v="High"/>
    <x v="1"/>
    <s v="Medium"/>
    <x v="2"/>
    <x v="0"/>
    <s v="Divorced"/>
    <n v="2367"/>
    <n v="5"/>
    <x v="1"/>
    <n v="12"/>
    <s v="Excellent"/>
    <s v="Low"/>
    <n v="2"/>
    <x v="2"/>
    <x v="2"/>
    <x v="1"/>
  </r>
  <r>
    <n v="1961"/>
    <n v="38"/>
    <x v="1"/>
    <x v="0"/>
    <x v="0"/>
    <n v="1"/>
    <x v="3"/>
    <s v="Life Sciences"/>
    <s v="Low"/>
    <x v="1"/>
    <s v="Medium"/>
    <x v="6"/>
    <x v="3"/>
    <s v="Single"/>
    <n v="2858"/>
    <n v="4"/>
    <x v="1"/>
    <n v="14"/>
    <s v="Excellent"/>
    <s v="Low"/>
    <n v="3"/>
    <x v="2"/>
    <x v="0"/>
    <x v="1"/>
  </r>
  <r>
    <n v="1962"/>
    <n v="35"/>
    <x v="1"/>
    <x v="0"/>
    <x v="0"/>
    <n v="7"/>
    <x v="2"/>
    <s v="Life Sciences"/>
    <s v="High"/>
    <x v="0"/>
    <s v="High"/>
    <x v="0"/>
    <x v="0"/>
    <s v="Married"/>
    <n v="5204"/>
    <n v="1"/>
    <x v="0"/>
    <n v="11"/>
    <s v="Excellent"/>
    <s v="Very high"/>
    <n v="2"/>
    <x v="1"/>
    <x v="0"/>
    <x v="0"/>
  </r>
  <r>
    <n v="1965"/>
    <n v="27"/>
    <x v="1"/>
    <x v="0"/>
    <x v="0"/>
    <n v="9"/>
    <x v="3"/>
    <s v="Marketing"/>
    <s v="Very high"/>
    <x v="1"/>
    <s v="High"/>
    <x v="0"/>
    <x v="0"/>
    <s v="Single"/>
    <n v="4105"/>
    <n v="1"/>
    <x v="1"/>
    <n v="14"/>
    <s v="Excellent"/>
    <s v="Low"/>
    <n v="5"/>
    <x v="1"/>
    <x v="2"/>
    <x v="2"/>
  </r>
  <r>
    <n v="1966"/>
    <n v="32"/>
    <x v="1"/>
    <x v="0"/>
    <x v="1"/>
    <n v="5"/>
    <x v="2"/>
    <s v="Life Sciences"/>
    <s v="Very high"/>
    <x v="1"/>
    <s v="Medium"/>
    <x v="3"/>
    <x v="0"/>
    <s v="Single"/>
    <n v="9679"/>
    <n v="8"/>
    <x v="1"/>
    <n v="24"/>
    <s v="Outstanding"/>
    <s v="Medium"/>
    <n v="1"/>
    <x v="1"/>
    <x v="2"/>
    <x v="3"/>
  </r>
  <r>
    <n v="1967"/>
    <n v="31"/>
    <x v="0"/>
    <x v="1"/>
    <x v="0"/>
    <n v="26"/>
    <x v="2"/>
    <s v="Marketing"/>
    <s v="Low"/>
    <x v="1"/>
    <s v="High"/>
    <x v="0"/>
    <x v="0"/>
    <s v="Married"/>
    <n v="5617"/>
    <n v="1"/>
    <x v="0"/>
    <n v="11"/>
    <s v="Excellent"/>
    <s v="High"/>
    <n v="4"/>
    <x v="1"/>
    <x v="2"/>
    <x v="0"/>
  </r>
  <r>
    <n v="1968"/>
    <n v="53"/>
    <x v="0"/>
    <x v="0"/>
    <x v="0"/>
    <n v="24"/>
    <x v="2"/>
    <s v="Life Sciences"/>
    <s v="Low"/>
    <x v="1"/>
    <s v="High"/>
    <x v="0"/>
    <x v="3"/>
    <s v="Single"/>
    <n v="10448"/>
    <n v="6"/>
    <x v="0"/>
    <n v="13"/>
    <s v="Excellent"/>
    <s v="Medium"/>
    <n v="2"/>
    <x v="2"/>
    <x v="1"/>
    <x v="3"/>
  </r>
  <r>
    <n v="1969"/>
    <n v="54"/>
    <x v="1"/>
    <x v="0"/>
    <x v="1"/>
    <n v="9"/>
    <x v="0"/>
    <s v="Life Sciences"/>
    <s v="Low"/>
    <x v="0"/>
    <s v="High"/>
    <x v="1"/>
    <x v="2"/>
    <s v="Married"/>
    <n v="2897"/>
    <n v="3"/>
    <x v="1"/>
    <n v="11"/>
    <s v="Excellent"/>
    <s v="High"/>
    <n v="6"/>
    <x v="2"/>
    <x v="1"/>
    <x v="1"/>
  </r>
  <r>
    <n v="1970"/>
    <n v="33"/>
    <x v="1"/>
    <x v="1"/>
    <x v="1"/>
    <n v="7"/>
    <x v="0"/>
    <s v="Life Sciences"/>
    <s v="Very high"/>
    <x v="1"/>
    <s v="High"/>
    <x v="4"/>
    <x v="2"/>
    <s v="Divorced"/>
    <n v="5968"/>
    <n v="1"/>
    <x v="1"/>
    <n v="20"/>
    <s v="Outstanding"/>
    <s v="High"/>
    <n v="2"/>
    <x v="1"/>
    <x v="2"/>
    <x v="0"/>
  </r>
  <r>
    <n v="1971"/>
    <n v="43"/>
    <x v="1"/>
    <x v="0"/>
    <x v="1"/>
    <n v="11"/>
    <x v="3"/>
    <s v="Life Sciences"/>
    <s v="Low"/>
    <x v="1"/>
    <s v="High"/>
    <x v="4"/>
    <x v="2"/>
    <s v="Married"/>
    <n v="7510"/>
    <n v="1"/>
    <x v="1"/>
    <n v="17"/>
    <s v="Excellent"/>
    <s v="Medium"/>
    <n v="1"/>
    <x v="1"/>
    <x v="0"/>
    <x v="0"/>
  </r>
  <r>
    <n v="1972"/>
    <n v="38"/>
    <x v="1"/>
    <x v="1"/>
    <x v="2"/>
    <n v="1"/>
    <x v="2"/>
    <s v="Other"/>
    <s v="Very high"/>
    <x v="1"/>
    <s v="High"/>
    <x v="8"/>
    <x v="1"/>
    <s v="Married"/>
    <n v="2991"/>
    <n v="0"/>
    <x v="0"/>
    <n v="11"/>
    <s v="Excellent"/>
    <s v="Medium"/>
    <n v="2"/>
    <x v="1"/>
    <x v="0"/>
    <x v="1"/>
  </r>
  <r>
    <n v="1973"/>
    <n v="55"/>
    <x v="1"/>
    <x v="0"/>
    <x v="2"/>
    <n v="26"/>
    <x v="2"/>
    <s v="Human Resources"/>
    <s v="High"/>
    <x v="1"/>
    <s v="Very high"/>
    <x v="5"/>
    <x v="1"/>
    <s v="Married"/>
    <n v="19636"/>
    <n v="4"/>
    <x v="0"/>
    <n v="18"/>
    <s v="Excellent"/>
    <s v="Low"/>
    <n v="0"/>
    <x v="1"/>
    <x v="3"/>
    <x v="3"/>
  </r>
  <r>
    <n v="1974"/>
    <n v="31"/>
    <x v="1"/>
    <x v="0"/>
    <x v="1"/>
    <n v="2"/>
    <x v="1"/>
    <s v="Medical"/>
    <s v="Very high"/>
    <x v="0"/>
    <s v="Low"/>
    <x v="2"/>
    <x v="0"/>
    <s v="Divorced"/>
    <n v="1129"/>
    <n v="1"/>
    <x v="0"/>
    <n v="11"/>
    <s v="Excellent"/>
    <s v="High"/>
    <n v="4"/>
    <x v="1"/>
    <x v="2"/>
    <x v="1"/>
  </r>
  <r>
    <n v="1975"/>
    <n v="39"/>
    <x v="1"/>
    <x v="0"/>
    <x v="0"/>
    <n v="15"/>
    <x v="2"/>
    <s v="Marketing"/>
    <s v="Medium"/>
    <x v="1"/>
    <s v="High"/>
    <x v="0"/>
    <x v="3"/>
    <s v="Single"/>
    <n v="13341"/>
    <n v="0"/>
    <x v="1"/>
    <n v="12"/>
    <s v="Excellent"/>
    <s v="Low"/>
    <n v="3"/>
    <x v="1"/>
    <x v="0"/>
    <x v="3"/>
  </r>
  <r>
    <n v="1976"/>
    <n v="42"/>
    <x v="1"/>
    <x v="2"/>
    <x v="1"/>
    <n v="23"/>
    <x v="0"/>
    <s v="Life Sciences"/>
    <s v="Very high"/>
    <x v="1"/>
    <s v="Medium"/>
    <x v="1"/>
    <x v="2"/>
    <s v="Single"/>
    <n v="4332"/>
    <n v="1"/>
    <x v="1"/>
    <n v="12"/>
    <s v="Excellent"/>
    <s v="Very high"/>
    <n v="2"/>
    <x v="1"/>
    <x v="0"/>
    <x v="2"/>
  </r>
  <r>
    <n v="1979"/>
    <n v="31"/>
    <x v="1"/>
    <x v="2"/>
    <x v="1"/>
    <n v="10"/>
    <x v="3"/>
    <s v="Medical"/>
    <s v="High"/>
    <x v="0"/>
    <s v="High"/>
    <x v="7"/>
    <x v="2"/>
    <s v="Married"/>
    <n v="11031"/>
    <n v="4"/>
    <x v="1"/>
    <n v="20"/>
    <s v="Outstanding"/>
    <s v="High"/>
    <n v="2"/>
    <x v="3"/>
    <x v="2"/>
    <x v="3"/>
  </r>
  <r>
    <n v="1980"/>
    <n v="54"/>
    <x v="1"/>
    <x v="0"/>
    <x v="1"/>
    <n v="10"/>
    <x v="3"/>
    <s v="Medical"/>
    <s v="High"/>
    <x v="0"/>
    <s v="High"/>
    <x v="3"/>
    <x v="3"/>
    <s v="Single"/>
    <n v="4440"/>
    <n v="6"/>
    <x v="0"/>
    <n v="19"/>
    <s v="Excellent"/>
    <s v="Very high"/>
    <n v="3"/>
    <x v="1"/>
    <x v="1"/>
    <x v="2"/>
  </r>
  <r>
    <n v="1981"/>
    <n v="24"/>
    <x v="1"/>
    <x v="0"/>
    <x v="1"/>
    <n v="1"/>
    <x v="0"/>
    <s v="Life Sciences"/>
    <s v="Medium"/>
    <x v="1"/>
    <s v="Medium"/>
    <x v="4"/>
    <x v="2"/>
    <s v="Single"/>
    <n v="4617"/>
    <n v="1"/>
    <x v="1"/>
    <n v="12"/>
    <s v="Excellent"/>
    <s v="Medium"/>
    <n v="2"/>
    <x v="2"/>
    <x v="4"/>
    <x v="2"/>
  </r>
  <r>
    <n v="1982"/>
    <n v="23"/>
    <x v="1"/>
    <x v="0"/>
    <x v="1"/>
    <n v="12"/>
    <x v="0"/>
    <s v="Other"/>
    <s v="Very high"/>
    <x v="1"/>
    <s v="High"/>
    <x v="2"/>
    <x v="0"/>
    <s v="Single"/>
    <n v="2647"/>
    <n v="1"/>
    <x v="1"/>
    <n v="13"/>
    <s v="Excellent"/>
    <s v="High"/>
    <n v="6"/>
    <x v="3"/>
    <x v="4"/>
    <x v="1"/>
  </r>
  <r>
    <n v="1985"/>
    <n v="40"/>
    <x v="1"/>
    <x v="1"/>
    <x v="1"/>
    <n v="11"/>
    <x v="3"/>
    <s v="Technical Degree"/>
    <s v="Very high"/>
    <x v="0"/>
    <s v="High"/>
    <x v="2"/>
    <x v="2"/>
    <s v="Married"/>
    <n v="6323"/>
    <n v="1"/>
    <x v="1"/>
    <n v="11"/>
    <s v="Excellent"/>
    <s v="Low"/>
    <n v="2"/>
    <x v="3"/>
    <x v="0"/>
    <x v="0"/>
  </r>
  <r>
    <n v="1986"/>
    <n v="40"/>
    <x v="1"/>
    <x v="0"/>
    <x v="0"/>
    <n v="2"/>
    <x v="0"/>
    <s v="Marketing"/>
    <s v="Medium"/>
    <x v="0"/>
    <s v="High"/>
    <x v="0"/>
    <x v="1"/>
    <s v="Married"/>
    <n v="5677"/>
    <n v="3"/>
    <x v="1"/>
    <n v="14"/>
    <s v="Excellent"/>
    <s v="High"/>
    <n v="4"/>
    <x v="1"/>
    <x v="0"/>
    <x v="0"/>
  </r>
  <r>
    <n v="1987"/>
    <n v="25"/>
    <x v="1"/>
    <x v="0"/>
    <x v="2"/>
    <n v="2"/>
    <x v="3"/>
    <s v="Human Resources"/>
    <s v="High"/>
    <x v="0"/>
    <s v="High"/>
    <x v="8"/>
    <x v="1"/>
    <s v="Married"/>
    <n v="2187"/>
    <n v="4"/>
    <x v="1"/>
    <n v="14"/>
    <s v="Excellent"/>
    <s v="High"/>
    <n v="3"/>
    <x v="1"/>
    <x v="2"/>
    <x v="1"/>
  </r>
  <r>
    <n v="1989"/>
    <n v="30"/>
    <x v="1"/>
    <x v="0"/>
    <x v="1"/>
    <n v="1"/>
    <x v="0"/>
    <s v="Medical"/>
    <s v="Very high"/>
    <x v="1"/>
    <s v="High"/>
    <x v="2"/>
    <x v="1"/>
    <s v="Married"/>
    <n v="3748"/>
    <n v="1"/>
    <x v="1"/>
    <n v="13"/>
    <s v="Excellent"/>
    <s v="High"/>
    <n v="6"/>
    <x v="2"/>
    <x v="2"/>
    <x v="2"/>
  </r>
  <r>
    <n v="1992"/>
    <n v="25"/>
    <x v="1"/>
    <x v="0"/>
    <x v="1"/>
    <n v="2"/>
    <x v="1"/>
    <s v="Other"/>
    <s v="Very high"/>
    <x v="1"/>
    <s v="High"/>
    <x v="2"/>
    <x v="2"/>
    <s v="Divorced"/>
    <n v="3977"/>
    <n v="6"/>
    <x v="0"/>
    <n v="19"/>
    <s v="Excellent"/>
    <s v="High"/>
    <n v="2"/>
    <x v="2"/>
    <x v="2"/>
    <x v="2"/>
  </r>
  <r>
    <n v="1993"/>
    <n v="47"/>
    <x v="1"/>
    <x v="0"/>
    <x v="1"/>
    <n v="25"/>
    <x v="3"/>
    <s v="Medical"/>
    <s v="Low"/>
    <x v="1"/>
    <s v="High"/>
    <x v="4"/>
    <x v="2"/>
    <s v="Single"/>
    <n v="8633"/>
    <n v="2"/>
    <x v="1"/>
    <n v="23"/>
    <s v="Outstanding"/>
    <s v="Medium"/>
    <n v="3"/>
    <x v="1"/>
    <x v="1"/>
    <x v="3"/>
  </r>
  <r>
    <n v="1994"/>
    <n v="33"/>
    <x v="1"/>
    <x v="2"/>
    <x v="1"/>
    <n v="1"/>
    <x v="0"/>
    <s v="Medical"/>
    <s v="Medium"/>
    <x v="1"/>
    <s v="Medium"/>
    <x v="2"/>
    <x v="2"/>
    <s v="Divorced"/>
    <n v="2008"/>
    <n v="1"/>
    <x v="1"/>
    <n v="12"/>
    <s v="Excellent"/>
    <s v="High"/>
    <n v="2"/>
    <x v="2"/>
    <x v="2"/>
    <x v="1"/>
  </r>
  <r>
    <n v="1995"/>
    <n v="38"/>
    <x v="1"/>
    <x v="0"/>
    <x v="0"/>
    <n v="1"/>
    <x v="2"/>
    <s v="Life Sciences"/>
    <s v="Very high"/>
    <x v="1"/>
    <s v="High"/>
    <x v="0"/>
    <x v="1"/>
    <s v="Married"/>
    <n v="4440"/>
    <n v="0"/>
    <x v="1"/>
    <n v="15"/>
    <s v="Excellent"/>
    <s v="Low"/>
    <n v="3"/>
    <x v="1"/>
    <x v="0"/>
    <x v="2"/>
  </r>
  <r>
    <n v="1996"/>
    <n v="31"/>
    <x v="1"/>
    <x v="0"/>
    <x v="0"/>
    <n v="2"/>
    <x v="0"/>
    <s v="Life Sciences"/>
    <s v="Low"/>
    <x v="1"/>
    <s v="High"/>
    <x v="6"/>
    <x v="2"/>
    <s v="Married"/>
    <n v="3067"/>
    <n v="0"/>
    <x v="1"/>
    <n v="19"/>
    <s v="Excellent"/>
    <s v="High"/>
    <n v="1"/>
    <x v="1"/>
    <x v="2"/>
    <x v="2"/>
  </r>
  <r>
    <n v="1997"/>
    <n v="38"/>
    <x v="1"/>
    <x v="1"/>
    <x v="1"/>
    <n v="6"/>
    <x v="2"/>
    <s v="Life Sciences"/>
    <s v="Low"/>
    <x v="1"/>
    <s v="Medium"/>
    <x v="3"/>
    <x v="2"/>
    <s v="Married"/>
    <n v="5321"/>
    <n v="2"/>
    <x v="1"/>
    <n v="11"/>
    <s v="Excellent"/>
    <s v="Very high"/>
    <n v="1"/>
    <x v="1"/>
    <x v="0"/>
    <x v="0"/>
  </r>
  <r>
    <n v="1998"/>
    <n v="42"/>
    <x v="1"/>
    <x v="0"/>
    <x v="1"/>
    <n v="18"/>
    <x v="2"/>
    <s v="Life Sciences"/>
    <s v="Very high"/>
    <x v="1"/>
    <s v="High"/>
    <x v="1"/>
    <x v="3"/>
    <s v="Divorced"/>
    <n v="5410"/>
    <n v="6"/>
    <x v="0"/>
    <n v="17"/>
    <s v="Excellent"/>
    <s v="High"/>
    <n v="3"/>
    <x v="2"/>
    <x v="0"/>
    <x v="0"/>
  </r>
  <r>
    <n v="1999"/>
    <n v="41"/>
    <x v="1"/>
    <x v="0"/>
    <x v="1"/>
    <n v="1"/>
    <x v="3"/>
    <s v="Life Sciences"/>
    <s v="Very high"/>
    <x v="1"/>
    <s v="High"/>
    <x v="1"/>
    <x v="0"/>
    <s v="Married"/>
    <n v="2782"/>
    <n v="3"/>
    <x v="1"/>
    <n v="22"/>
    <s v="Outstanding"/>
    <s v="Low"/>
    <n v="3"/>
    <x v="1"/>
    <x v="0"/>
    <x v="1"/>
  </r>
  <r>
    <n v="2000"/>
    <n v="47"/>
    <x v="1"/>
    <x v="2"/>
    <x v="1"/>
    <n v="1"/>
    <x v="1"/>
    <s v="Medical"/>
    <s v="High"/>
    <x v="0"/>
    <s v="High"/>
    <x v="7"/>
    <x v="1"/>
    <s v="Married"/>
    <n v="11957"/>
    <n v="0"/>
    <x v="1"/>
    <n v="18"/>
    <s v="Excellent"/>
    <s v="Low"/>
    <n v="3"/>
    <x v="0"/>
    <x v="1"/>
    <x v="3"/>
  </r>
  <r>
    <n v="2003"/>
    <n v="35"/>
    <x v="1"/>
    <x v="0"/>
    <x v="1"/>
    <n v="11"/>
    <x v="2"/>
    <s v="Medical"/>
    <s v="Very high"/>
    <x v="1"/>
    <s v="High"/>
    <x v="2"/>
    <x v="2"/>
    <s v="Married"/>
    <n v="2660"/>
    <n v="7"/>
    <x v="0"/>
    <n v="11"/>
    <s v="Excellent"/>
    <s v="High"/>
    <n v="3"/>
    <x v="1"/>
    <x v="0"/>
    <x v="1"/>
  </r>
  <r>
    <n v="2007"/>
    <n v="22"/>
    <x v="1"/>
    <x v="0"/>
    <x v="1"/>
    <n v="1"/>
    <x v="0"/>
    <s v="Life Sciences"/>
    <s v="Very high"/>
    <x v="1"/>
    <s v="High"/>
    <x v="1"/>
    <x v="2"/>
    <s v="Single"/>
    <n v="3375"/>
    <n v="0"/>
    <x v="1"/>
    <n v="12"/>
    <s v="Excellent"/>
    <s v="Very high"/>
    <n v="2"/>
    <x v="3"/>
    <x v="4"/>
    <x v="2"/>
  </r>
  <r>
    <n v="2008"/>
    <n v="35"/>
    <x v="1"/>
    <x v="0"/>
    <x v="1"/>
    <n v="9"/>
    <x v="2"/>
    <s v="Medical"/>
    <s v="Medium"/>
    <x v="1"/>
    <s v="High"/>
    <x v="1"/>
    <x v="2"/>
    <s v="Single"/>
    <n v="5098"/>
    <n v="1"/>
    <x v="1"/>
    <n v="19"/>
    <s v="Excellent"/>
    <s v="Medium"/>
    <n v="5"/>
    <x v="1"/>
    <x v="0"/>
    <x v="0"/>
  </r>
  <r>
    <n v="2009"/>
    <n v="33"/>
    <x v="1"/>
    <x v="0"/>
    <x v="1"/>
    <n v="15"/>
    <x v="0"/>
    <s v="Medical"/>
    <s v="Medium"/>
    <x v="0"/>
    <s v="High"/>
    <x v="4"/>
    <x v="0"/>
    <s v="Married"/>
    <n v="4878"/>
    <n v="0"/>
    <x v="0"/>
    <n v="13"/>
    <s v="Excellent"/>
    <s v="Low"/>
    <n v="6"/>
    <x v="1"/>
    <x v="2"/>
    <x v="2"/>
  </r>
  <r>
    <n v="2010"/>
    <n v="32"/>
    <x v="1"/>
    <x v="0"/>
    <x v="1"/>
    <n v="29"/>
    <x v="2"/>
    <s v="Life Sciences"/>
    <s v="High"/>
    <x v="0"/>
    <s v="Medium"/>
    <x v="2"/>
    <x v="1"/>
    <s v="Single"/>
    <n v="2837"/>
    <n v="1"/>
    <x v="1"/>
    <n v="13"/>
    <s v="Excellent"/>
    <s v="High"/>
    <n v="3"/>
    <x v="1"/>
    <x v="2"/>
    <x v="1"/>
  </r>
  <r>
    <n v="2012"/>
    <n v="40"/>
    <x v="1"/>
    <x v="0"/>
    <x v="1"/>
    <n v="1"/>
    <x v="2"/>
    <s v="Life Sciences"/>
    <s v="Low"/>
    <x v="1"/>
    <s v="High"/>
    <x v="2"/>
    <x v="0"/>
    <s v="Married"/>
    <n v="2406"/>
    <n v="8"/>
    <x v="1"/>
    <n v="19"/>
    <s v="Excellent"/>
    <s v="High"/>
    <n v="3"/>
    <x v="2"/>
    <x v="0"/>
    <x v="1"/>
  </r>
  <r>
    <n v="2013"/>
    <n v="32"/>
    <x v="1"/>
    <x v="0"/>
    <x v="0"/>
    <n v="1"/>
    <x v="2"/>
    <s v="Medical"/>
    <s v="Medium"/>
    <x v="1"/>
    <s v="Medium"/>
    <x v="6"/>
    <x v="1"/>
    <s v="Married"/>
    <n v="2269"/>
    <n v="0"/>
    <x v="1"/>
    <n v="14"/>
    <s v="Excellent"/>
    <s v="Medium"/>
    <n v="2"/>
    <x v="1"/>
    <x v="2"/>
    <x v="1"/>
  </r>
  <r>
    <n v="2014"/>
    <n v="39"/>
    <x v="1"/>
    <x v="0"/>
    <x v="1"/>
    <n v="24"/>
    <x v="1"/>
    <s v="Life Sciences"/>
    <s v="Low"/>
    <x v="1"/>
    <s v="High"/>
    <x v="1"/>
    <x v="0"/>
    <s v="Single"/>
    <n v="4108"/>
    <n v="7"/>
    <x v="1"/>
    <n v="13"/>
    <s v="Excellent"/>
    <s v="Low"/>
    <n v="2"/>
    <x v="1"/>
    <x v="0"/>
    <x v="2"/>
  </r>
  <r>
    <n v="2015"/>
    <n v="38"/>
    <x v="1"/>
    <x v="0"/>
    <x v="1"/>
    <n v="10"/>
    <x v="3"/>
    <s v="Medical"/>
    <s v="Medium"/>
    <x v="0"/>
    <s v="Low"/>
    <x v="7"/>
    <x v="2"/>
    <s v="Married"/>
    <n v="13206"/>
    <n v="3"/>
    <x v="1"/>
    <n v="12"/>
    <s v="Excellent"/>
    <s v="Low"/>
    <n v="3"/>
    <x v="1"/>
    <x v="0"/>
    <x v="3"/>
  </r>
  <r>
    <n v="2016"/>
    <n v="32"/>
    <x v="1"/>
    <x v="0"/>
    <x v="0"/>
    <n v="1"/>
    <x v="2"/>
    <s v="Marketing"/>
    <s v="High"/>
    <x v="0"/>
    <s v="High"/>
    <x v="0"/>
    <x v="0"/>
    <s v="Married"/>
    <n v="10422"/>
    <n v="1"/>
    <x v="1"/>
    <n v="19"/>
    <s v="Excellent"/>
    <s v="High"/>
    <n v="3"/>
    <x v="1"/>
    <x v="2"/>
    <x v="3"/>
  </r>
  <r>
    <n v="2017"/>
    <n v="37"/>
    <x v="1"/>
    <x v="0"/>
    <x v="1"/>
    <n v="10"/>
    <x v="3"/>
    <s v="Life Sciences"/>
    <s v="High"/>
    <x v="0"/>
    <s v="Very high"/>
    <x v="7"/>
    <x v="0"/>
    <s v="Married"/>
    <n v="13744"/>
    <n v="1"/>
    <x v="0"/>
    <n v="25"/>
    <s v="Outstanding"/>
    <s v="Low"/>
    <n v="2"/>
    <x v="1"/>
    <x v="0"/>
    <x v="3"/>
  </r>
  <r>
    <n v="2018"/>
    <n v="25"/>
    <x v="1"/>
    <x v="0"/>
    <x v="0"/>
    <n v="8"/>
    <x v="0"/>
    <s v="Other"/>
    <s v="Low"/>
    <x v="0"/>
    <s v="High"/>
    <x v="0"/>
    <x v="2"/>
    <s v="Divorced"/>
    <n v="4907"/>
    <n v="0"/>
    <x v="0"/>
    <n v="22"/>
    <s v="Outstanding"/>
    <s v="Medium"/>
    <n v="3"/>
    <x v="2"/>
    <x v="2"/>
    <x v="2"/>
  </r>
  <r>
    <n v="2019"/>
    <n v="52"/>
    <x v="1"/>
    <x v="2"/>
    <x v="0"/>
    <n v="29"/>
    <x v="2"/>
    <s v="Life Sciences"/>
    <s v="Low"/>
    <x v="1"/>
    <s v="High"/>
    <x v="6"/>
    <x v="0"/>
    <s v="Divorced"/>
    <n v="3482"/>
    <n v="2"/>
    <x v="1"/>
    <n v="15"/>
    <s v="Excellent"/>
    <s v="Medium"/>
    <n v="3"/>
    <x v="2"/>
    <x v="1"/>
    <x v="2"/>
  </r>
  <r>
    <n v="2020"/>
    <n v="44"/>
    <x v="1"/>
    <x v="0"/>
    <x v="1"/>
    <n v="1"/>
    <x v="3"/>
    <s v="Medical"/>
    <s v="Medium"/>
    <x v="1"/>
    <s v="High"/>
    <x v="1"/>
    <x v="0"/>
    <s v="Single"/>
    <n v="2436"/>
    <n v="6"/>
    <x v="0"/>
    <n v="12"/>
    <s v="Excellent"/>
    <s v="High"/>
    <n v="2"/>
    <x v="1"/>
    <x v="0"/>
    <x v="1"/>
  </r>
  <r>
    <n v="2021"/>
    <n v="21"/>
    <x v="1"/>
    <x v="0"/>
    <x v="0"/>
    <n v="5"/>
    <x v="1"/>
    <s v="Medical"/>
    <s v="High"/>
    <x v="1"/>
    <s v="High"/>
    <x v="6"/>
    <x v="3"/>
    <s v="Single"/>
    <n v="2380"/>
    <n v="1"/>
    <x v="0"/>
    <n v="11"/>
    <s v="Excellent"/>
    <s v="Very high"/>
    <n v="6"/>
    <x v="1"/>
    <x v="4"/>
    <x v="1"/>
  </r>
  <r>
    <n v="2022"/>
    <n v="39"/>
    <x v="1"/>
    <x v="2"/>
    <x v="1"/>
    <n v="9"/>
    <x v="3"/>
    <s v="Life Sciences"/>
    <s v="Very high"/>
    <x v="1"/>
    <s v="High"/>
    <x v="5"/>
    <x v="0"/>
    <s v="Single"/>
    <n v="19431"/>
    <n v="2"/>
    <x v="1"/>
    <n v="13"/>
    <s v="Excellent"/>
    <s v="High"/>
    <n v="3"/>
    <x v="2"/>
    <x v="0"/>
    <x v="3"/>
  </r>
  <r>
    <n v="2023"/>
    <n v="23"/>
    <x v="0"/>
    <x v="1"/>
    <x v="0"/>
    <n v="9"/>
    <x v="3"/>
    <s v="Marketing"/>
    <s v="Very high"/>
    <x v="1"/>
    <s v="High"/>
    <x v="6"/>
    <x v="3"/>
    <s v="Married"/>
    <n v="1790"/>
    <n v="1"/>
    <x v="1"/>
    <n v="19"/>
    <s v="Excellent"/>
    <s v="Low"/>
    <n v="3"/>
    <x v="2"/>
    <x v="4"/>
    <x v="1"/>
  </r>
  <r>
    <n v="2024"/>
    <n v="36"/>
    <x v="1"/>
    <x v="0"/>
    <x v="0"/>
    <n v="3"/>
    <x v="3"/>
    <s v="Medical"/>
    <s v="Low"/>
    <x v="0"/>
    <s v="Medium"/>
    <x v="0"/>
    <x v="0"/>
    <s v="Married"/>
    <n v="7644"/>
    <n v="0"/>
    <x v="1"/>
    <n v="19"/>
    <s v="Excellent"/>
    <s v="High"/>
    <n v="2"/>
    <x v="1"/>
    <x v="0"/>
    <x v="0"/>
  </r>
  <r>
    <n v="2025"/>
    <n v="36"/>
    <x v="1"/>
    <x v="1"/>
    <x v="1"/>
    <n v="4"/>
    <x v="0"/>
    <s v="Life Sciences"/>
    <s v="Very high"/>
    <x v="0"/>
    <s v="High"/>
    <x v="3"/>
    <x v="1"/>
    <s v="Divorced"/>
    <n v="5131"/>
    <n v="7"/>
    <x v="1"/>
    <n v="13"/>
    <s v="Excellent"/>
    <s v="Medium"/>
    <n v="3"/>
    <x v="1"/>
    <x v="0"/>
    <x v="0"/>
  </r>
  <r>
    <n v="2026"/>
    <n v="56"/>
    <x v="1"/>
    <x v="2"/>
    <x v="1"/>
    <n v="1"/>
    <x v="2"/>
    <s v="Life Sciences"/>
    <s v="High"/>
    <x v="1"/>
    <s v="High"/>
    <x v="4"/>
    <x v="2"/>
    <s v="Divorced"/>
    <n v="6306"/>
    <n v="1"/>
    <x v="1"/>
    <n v="21"/>
    <s v="Outstanding"/>
    <s v="Low"/>
    <n v="2"/>
    <x v="2"/>
    <x v="3"/>
    <x v="0"/>
  </r>
  <r>
    <n v="2027"/>
    <n v="29"/>
    <x v="0"/>
    <x v="0"/>
    <x v="1"/>
    <n v="1"/>
    <x v="2"/>
    <s v="Medical"/>
    <s v="Low"/>
    <x v="1"/>
    <s v="High"/>
    <x v="1"/>
    <x v="0"/>
    <s v="Married"/>
    <n v="4787"/>
    <n v="9"/>
    <x v="0"/>
    <n v="14"/>
    <s v="Excellent"/>
    <s v="Medium"/>
    <n v="3"/>
    <x v="3"/>
    <x v="2"/>
    <x v="2"/>
  </r>
  <r>
    <n v="2031"/>
    <n v="42"/>
    <x v="1"/>
    <x v="0"/>
    <x v="1"/>
    <n v="2"/>
    <x v="3"/>
    <s v="Life Sciences"/>
    <s v="Low"/>
    <x v="1"/>
    <s v="High"/>
    <x v="5"/>
    <x v="2"/>
    <s v="Married"/>
    <n v="18880"/>
    <n v="5"/>
    <x v="1"/>
    <n v="11"/>
    <s v="Excellent"/>
    <s v="Low"/>
    <n v="2"/>
    <x v="2"/>
    <x v="0"/>
    <x v="3"/>
  </r>
  <r>
    <n v="2032"/>
    <n v="56"/>
    <x v="0"/>
    <x v="0"/>
    <x v="1"/>
    <n v="7"/>
    <x v="0"/>
    <s v="Technical Degree"/>
    <s v="Very high"/>
    <x v="1"/>
    <s v="High"/>
    <x v="2"/>
    <x v="2"/>
    <s v="Married"/>
    <n v="2339"/>
    <n v="8"/>
    <x v="1"/>
    <n v="11"/>
    <s v="Excellent"/>
    <s v="Very high"/>
    <n v="4"/>
    <x v="0"/>
    <x v="3"/>
    <x v="1"/>
  </r>
  <r>
    <n v="2034"/>
    <n v="41"/>
    <x v="1"/>
    <x v="0"/>
    <x v="1"/>
    <n v="28"/>
    <x v="2"/>
    <s v="Life Sciences"/>
    <s v="Low"/>
    <x v="0"/>
    <s v="Medium"/>
    <x v="3"/>
    <x v="1"/>
    <s v="Married"/>
    <n v="13570"/>
    <n v="0"/>
    <x v="1"/>
    <n v="23"/>
    <s v="Outstanding"/>
    <s v="High"/>
    <n v="3"/>
    <x v="1"/>
    <x v="0"/>
    <x v="3"/>
  </r>
  <r>
    <n v="2035"/>
    <n v="34"/>
    <x v="1"/>
    <x v="0"/>
    <x v="0"/>
    <n v="28"/>
    <x v="3"/>
    <s v="Marketing"/>
    <s v="Very high"/>
    <x v="0"/>
    <s v="Medium"/>
    <x v="0"/>
    <x v="2"/>
    <s v="Married"/>
    <n v="6712"/>
    <n v="1"/>
    <x v="1"/>
    <n v="21"/>
    <s v="Outstanding"/>
    <s v="Very high"/>
    <n v="2"/>
    <x v="1"/>
    <x v="2"/>
    <x v="0"/>
  </r>
  <r>
    <n v="2036"/>
    <n v="36"/>
    <x v="1"/>
    <x v="2"/>
    <x v="0"/>
    <n v="15"/>
    <x v="2"/>
    <s v="Marketing"/>
    <s v="Very high"/>
    <x v="1"/>
    <s v="Low"/>
    <x v="0"/>
    <x v="0"/>
    <s v="Divorced"/>
    <n v="5406"/>
    <n v="1"/>
    <x v="1"/>
    <n v="24"/>
    <s v="Outstanding"/>
    <s v="Low"/>
    <n v="4"/>
    <x v="2"/>
    <x v="0"/>
    <x v="0"/>
  </r>
  <r>
    <n v="2037"/>
    <n v="41"/>
    <x v="1"/>
    <x v="0"/>
    <x v="0"/>
    <n v="3"/>
    <x v="3"/>
    <s v="Life Sciences"/>
    <s v="High"/>
    <x v="1"/>
    <s v="Medium"/>
    <x v="0"/>
    <x v="1"/>
    <s v="Divorced"/>
    <n v="8938"/>
    <n v="2"/>
    <x v="1"/>
    <n v="11"/>
    <s v="Excellent"/>
    <s v="High"/>
    <n v="5"/>
    <x v="1"/>
    <x v="0"/>
    <x v="3"/>
  </r>
  <r>
    <n v="2038"/>
    <n v="32"/>
    <x v="1"/>
    <x v="0"/>
    <x v="1"/>
    <n v="2"/>
    <x v="3"/>
    <s v="Technical Degree"/>
    <s v="Very high"/>
    <x v="1"/>
    <s v="High"/>
    <x v="1"/>
    <x v="3"/>
    <s v="Single"/>
    <n v="2439"/>
    <n v="1"/>
    <x v="1"/>
    <n v="14"/>
    <s v="Excellent"/>
    <s v="Very high"/>
    <n v="4"/>
    <x v="1"/>
    <x v="2"/>
    <x v="1"/>
  </r>
  <r>
    <n v="2040"/>
    <n v="35"/>
    <x v="1"/>
    <x v="0"/>
    <x v="2"/>
    <n v="26"/>
    <x v="2"/>
    <s v="Life Sciences"/>
    <s v="High"/>
    <x v="0"/>
    <s v="High"/>
    <x v="8"/>
    <x v="0"/>
    <s v="Single"/>
    <n v="8837"/>
    <n v="1"/>
    <x v="0"/>
    <n v="16"/>
    <s v="Excellent"/>
    <s v="High"/>
    <n v="2"/>
    <x v="1"/>
    <x v="0"/>
    <x v="3"/>
  </r>
  <r>
    <n v="2041"/>
    <n v="38"/>
    <x v="1"/>
    <x v="0"/>
    <x v="0"/>
    <n v="10"/>
    <x v="0"/>
    <s v="Life Sciences"/>
    <s v="Low"/>
    <x v="0"/>
    <s v="High"/>
    <x v="0"/>
    <x v="0"/>
    <s v="Married"/>
    <n v="5343"/>
    <n v="1"/>
    <x v="1"/>
    <n v="11"/>
    <s v="Excellent"/>
    <s v="High"/>
    <n v="1"/>
    <x v="1"/>
    <x v="0"/>
    <x v="0"/>
  </r>
  <r>
    <n v="2044"/>
    <n v="50"/>
    <x v="0"/>
    <x v="1"/>
    <x v="0"/>
    <n v="1"/>
    <x v="2"/>
    <s v="Life Sciences"/>
    <s v="Medium"/>
    <x v="1"/>
    <s v="High"/>
    <x v="0"/>
    <x v="2"/>
    <s v="Divorced"/>
    <n v="6728"/>
    <n v="7"/>
    <x v="1"/>
    <n v="12"/>
    <s v="Excellent"/>
    <s v="Very high"/>
    <n v="3"/>
    <x v="1"/>
    <x v="1"/>
    <x v="0"/>
  </r>
  <r>
    <n v="2045"/>
    <n v="36"/>
    <x v="1"/>
    <x v="0"/>
    <x v="0"/>
    <n v="11"/>
    <x v="2"/>
    <s v="Marketing"/>
    <s v="Medium"/>
    <x v="0"/>
    <s v="Medium"/>
    <x v="0"/>
    <x v="0"/>
    <s v="Married"/>
    <n v="6652"/>
    <n v="4"/>
    <x v="1"/>
    <n v="13"/>
    <s v="Excellent"/>
    <s v="Low"/>
    <n v="2"/>
    <x v="2"/>
    <x v="0"/>
    <x v="0"/>
  </r>
  <r>
    <n v="2046"/>
    <n v="45"/>
    <x v="1"/>
    <x v="0"/>
    <x v="0"/>
    <n v="20"/>
    <x v="3"/>
    <s v="Life Sciences"/>
    <s v="Very high"/>
    <x v="0"/>
    <s v="High"/>
    <x v="0"/>
    <x v="2"/>
    <s v="Single"/>
    <n v="4850"/>
    <n v="8"/>
    <x v="1"/>
    <n v="15"/>
    <s v="Excellent"/>
    <s v="High"/>
    <n v="3"/>
    <x v="1"/>
    <x v="1"/>
    <x v="2"/>
  </r>
  <r>
    <n v="2048"/>
    <n v="40"/>
    <x v="1"/>
    <x v="0"/>
    <x v="1"/>
    <n v="2"/>
    <x v="2"/>
    <s v="Life Sciences"/>
    <s v="High"/>
    <x v="1"/>
    <s v="Medium"/>
    <x v="1"/>
    <x v="2"/>
    <s v="Single"/>
    <n v="2809"/>
    <n v="2"/>
    <x v="1"/>
    <n v="14"/>
    <s v="Excellent"/>
    <s v="Very high"/>
    <n v="2"/>
    <x v="1"/>
    <x v="0"/>
    <x v="1"/>
  </r>
  <r>
    <n v="2049"/>
    <n v="35"/>
    <x v="1"/>
    <x v="1"/>
    <x v="1"/>
    <n v="18"/>
    <x v="2"/>
    <s v="Life Sciences"/>
    <s v="High"/>
    <x v="1"/>
    <s v="High"/>
    <x v="4"/>
    <x v="2"/>
    <s v="Married"/>
    <n v="5689"/>
    <n v="1"/>
    <x v="0"/>
    <n v="14"/>
    <s v="Excellent"/>
    <s v="Very high"/>
    <n v="2"/>
    <x v="3"/>
    <x v="0"/>
    <x v="0"/>
  </r>
  <r>
    <n v="2051"/>
    <n v="40"/>
    <x v="1"/>
    <x v="0"/>
    <x v="1"/>
    <n v="2"/>
    <x v="2"/>
    <s v="Medical"/>
    <s v="High"/>
    <x v="0"/>
    <s v="High"/>
    <x v="1"/>
    <x v="2"/>
    <s v="Married"/>
    <n v="2001"/>
    <n v="2"/>
    <x v="1"/>
    <n v="14"/>
    <s v="Excellent"/>
    <s v="Medium"/>
    <n v="2"/>
    <x v="1"/>
    <x v="0"/>
    <x v="1"/>
  </r>
  <r>
    <n v="2052"/>
    <n v="35"/>
    <x v="1"/>
    <x v="0"/>
    <x v="1"/>
    <n v="1"/>
    <x v="2"/>
    <s v="Life Sciences"/>
    <s v="High"/>
    <x v="0"/>
    <s v="Low"/>
    <x v="1"/>
    <x v="0"/>
    <s v="Married"/>
    <n v="2977"/>
    <n v="1"/>
    <x v="1"/>
    <n v="12"/>
    <s v="Excellent"/>
    <s v="Very high"/>
    <n v="5"/>
    <x v="1"/>
    <x v="0"/>
    <x v="1"/>
  </r>
  <r>
    <n v="2053"/>
    <n v="29"/>
    <x v="1"/>
    <x v="0"/>
    <x v="1"/>
    <n v="13"/>
    <x v="0"/>
    <s v="Other"/>
    <s v="Very high"/>
    <x v="1"/>
    <s v="Medium"/>
    <x v="2"/>
    <x v="1"/>
    <s v="Married"/>
    <n v="4025"/>
    <n v="4"/>
    <x v="0"/>
    <n v="13"/>
    <s v="Excellent"/>
    <s v="Low"/>
    <n v="2"/>
    <x v="1"/>
    <x v="2"/>
    <x v="2"/>
  </r>
  <r>
    <n v="2054"/>
    <n v="29"/>
    <x v="1"/>
    <x v="0"/>
    <x v="1"/>
    <n v="28"/>
    <x v="2"/>
    <s v="Medical"/>
    <s v="Very high"/>
    <x v="0"/>
    <s v="Medium"/>
    <x v="1"/>
    <x v="3"/>
    <s v="Single"/>
    <n v="3785"/>
    <n v="1"/>
    <x v="1"/>
    <n v="14"/>
    <s v="Excellent"/>
    <s v="Medium"/>
    <n v="3"/>
    <x v="0"/>
    <x v="2"/>
    <x v="2"/>
  </r>
  <r>
    <n v="2055"/>
    <n v="50"/>
    <x v="0"/>
    <x v="0"/>
    <x v="0"/>
    <n v="28"/>
    <x v="3"/>
    <s v="Marketing"/>
    <s v="Very high"/>
    <x v="1"/>
    <s v="Medium"/>
    <x v="0"/>
    <x v="3"/>
    <s v="Divorced"/>
    <n v="10854"/>
    <n v="4"/>
    <x v="0"/>
    <n v="13"/>
    <s v="Excellent"/>
    <s v="Medium"/>
    <n v="3"/>
    <x v="1"/>
    <x v="1"/>
    <x v="3"/>
  </r>
  <r>
    <n v="2056"/>
    <n v="39"/>
    <x v="1"/>
    <x v="0"/>
    <x v="0"/>
    <n v="24"/>
    <x v="1"/>
    <s v="Marketing"/>
    <s v="Medium"/>
    <x v="0"/>
    <s v="Medium"/>
    <x v="0"/>
    <x v="0"/>
    <s v="Married"/>
    <n v="12031"/>
    <n v="0"/>
    <x v="1"/>
    <n v="11"/>
    <s v="Excellent"/>
    <s v="Low"/>
    <n v="2"/>
    <x v="2"/>
    <x v="0"/>
    <x v="3"/>
  </r>
  <r>
    <n v="2057"/>
    <n v="31"/>
    <x v="1"/>
    <x v="2"/>
    <x v="1"/>
    <n v="5"/>
    <x v="3"/>
    <s v="Medical"/>
    <s v="Medium"/>
    <x v="1"/>
    <s v="High"/>
    <x v="3"/>
    <x v="3"/>
    <s v="Single"/>
    <n v="9936"/>
    <n v="0"/>
    <x v="1"/>
    <n v="19"/>
    <s v="Excellent"/>
    <s v="Medium"/>
    <n v="2"/>
    <x v="1"/>
    <x v="2"/>
    <x v="3"/>
  </r>
  <r>
    <n v="2060"/>
    <n v="26"/>
    <x v="1"/>
    <x v="0"/>
    <x v="0"/>
    <n v="5"/>
    <x v="3"/>
    <s v="Other"/>
    <s v="Very high"/>
    <x v="0"/>
    <s v="Medium"/>
    <x v="6"/>
    <x v="2"/>
    <s v="Single"/>
    <n v="2966"/>
    <n v="0"/>
    <x v="1"/>
    <n v="18"/>
    <s v="Excellent"/>
    <s v="Very high"/>
    <n v="2"/>
    <x v="1"/>
    <x v="2"/>
    <x v="1"/>
  </r>
  <r>
    <n v="2061"/>
    <n v="36"/>
    <x v="1"/>
    <x v="1"/>
    <x v="1"/>
    <n v="23"/>
    <x v="0"/>
    <s v="Medical"/>
    <s v="High"/>
    <x v="1"/>
    <s v="Very high"/>
    <x v="2"/>
    <x v="0"/>
    <s v="Married"/>
    <n v="2571"/>
    <n v="4"/>
    <x v="1"/>
    <n v="17"/>
    <s v="Excellent"/>
    <s v="High"/>
    <n v="3"/>
    <x v="1"/>
    <x v="0"/>
    <x v="1"/>
  </r>
  <r>
    <n v="2062"/>
    <n v="39"/>
    <x v="1"/>
    <x v="0"/>
    <x v="1"/>
    <n v="6"/>
    <x v="1"/>
    <s v="Medical"/>
    <s v="Very high"/>
    <x v="1"/>
    <s v="Medium"/>
    <x v="4"/>
    <x v="3"/>
    <s v="Married"/>
    <n v="9991"/>
    <n v="4"/>
    <x v="1"/>
    <n v="15"/>
    <s v="Excellent"/>
    <s v="Low"/>
    <n v="5"/>
    <x v="1"/>
    <x v="0"/>
    <x v="3"/>
  </r>
  <r>
    <n v="2064"/>
    <n v="27"/>
    <x v="1"/>
    <x v="0"/>
    <x v="1"/>
    <n v="4"/>
    <x v="3"/>
    <s v="Life Sciences"/>
    <s v="Medium"/>
    <x v="1"/>
    <s v="Very high"/>
    <x v="3"/>
    <x v="1"/>
    <s v="Married"/>
    <n v="6142"/>
    <n v="1"/>
    <x v="0"/>
    <n v="20"/>
    <s v="Outstanding"/>
    <s v="Medium"/>
    <n v="0"/>
    <x v="1"/>
    <x v="2"/>
    <x v="0"/>
  </r>
  <r>
    <n v="2065"/>
    <n v="49"/>
    <x v="1"/>
    <x v="1"/>
    <x v="0"/>
    <n v="2"/>
    <x v="3"/>
    <s v="Medical"/>
    <s v="Very high"/>
    <x v="1"/>
    <s v="Medium"/>
    <x v="0"/>
    <x v="1"/>
    <s v="Married"/>
    <n v="5390"/>
    <n v="2"/>
    <x v="1"/>
    <n v="14"/>
    <s v="Excellent"/>
    <s v="Very high"/>
    <n v="3"/>
    <x v="2"/>
    <x v="1"/>
    <x v="0"/>
  </r>
  <r>
    <n v="2068"/>
    <n v="34"/>
    <x v="1"/>
    <x v="0"/>
    <x v="1"/>
    <n v="8"/>
    <x v="3"/>
    <s v="Medical"/>
    <s v="Medium"/>
    <x v="1"/>
    <s v="Very high"/>
    <x v="2"/>
    <x v="2"/>
    <s v="Married"/>
    <n v="4404"/>
    <n v="2"/>
    <x v="1"/>
    <n v="12"/>
    <s v="Excellent"/>
    <s v="Low"/>
    <n v="3"/>
    <x v="3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Human Resources"/>
    <n v="0.19047619047619047"/>
  </r>
  <r>
    <s v="Research &amp; Development"/>
    <n v="0.13839750260145681"/>
  </r>
  <r>
    <s v="Sales"/>
    <n v="0.206278026905829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0B82E-0653-40B4-A778-65E554755E72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7:K34" firstHeaderRow="1" firstDataRow="1" firstDataCol="0"/>
  <pivotFields count="2">
    <pivotField showAll="0"/>
    <pivotField numFmtId="1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A9EAC-8C5D-4E29-A0D6-F259816AEE26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:M10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B8B29-BC0F-4139-A3E4-4F79F1F0B8D3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7:D73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1A3C-4C49-4620-8BDE-44C3750C4CAA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9:D65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D89C7-606A-4802-8274-57CC1B49E275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2:D57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C108C-8BDD-4C39-BDAE-54B56373A56C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3:D50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B983C-C5EF-46A1-8E28-E237EF4A74F1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2A0BD-18E8-4EFB-89E8-FF026DC4A124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5:D41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4DFD8-DDF0-4FD5-8538-7F4260C8CDCE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:D33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DF565-9372-45FF-9DDD-2FFE2037B481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D27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7B18D-EBF2-4952-A0AA-B7450BED1A0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D21" firstHeaderRow="1" firstDataRow="2" firstDataCol="1"/>
  <pivotFields count="24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FCEC8-3A8F-4B67-9BB7-A350E0AA04ED}" name="HR_Data" displayName="HR_Data" ref="A1:X1471" totalsRowShown="0">
  <autoFilter ref="A1:X1471" xr:uid="{C0EFCEC8-3A8F-4B67-9BB7-A350E0AA04ED}"/>
  <tableColumns count="24">
    <tableColumn id="1" xr3:uid="{EE80D133-4965-4E03-B71C-F395D121CCB1}" name="employee_number"/>
    <tableColumn id="2" xr3:uid="{353EAD73-EA16-4405-8A90-0CCFCA7FA2E2}" name="age"/>
    <tableColumn id="3" xr3:uid="{2905636F-842C-449A-B2FA-DA28C1779EFF}" name="attrition"/>
    <tableColumn id="4" xr3:uid="{FB349FC8-07E3-416B-B35D-9924A9E5F0B2}" name="business_travel"/>
    <tableColumn id="5" xr3:uid="{56C0079C-021A-4538-AA1D-5D6F421B43A0}" name="department"/>
    <tableColumn id="6" xr3:uid="{846EFA22-E5AA-4F46-B6FB-EE9FD392D686}" name="distance_from_home"/>
    <tableColumn id="7" xr3:uid="{C63A25C0-A006-4B94-A6CB-2A1A22AEF564}" name="education"/>
    <tableColumn id="8" xr3:uid="{FEBCC496-DA73-4054-A31F-42B01D1E8E24}" name="education_field"/>
    <tableColumn id="9" xr3:uid="{BF7197C4-349E-4B9B-A23A-E148CBD6B962}" name="environment_satisfaction"/>
    <tableColumn id="10" xr3:uid="{A0B742C4-3A1C-421A-95CF-DCE54348A332}" name="gender"/>
    <tableColumn id="11" xr3:uid="{CB08D4B8-AA86-4F9D-AC8B-0FCCF5BCFA75}" name="job_involvement"/>
    <tableColumn id="12" xr3:uid="{98A5CF03-53FE-4AAD-A315-3F9811BBDB69}" name="job_role"/>
    <tableColumn id="13" xr3:uid="{2DAB12CC-CD32-49CA-BBCB-9CFE0366A56F}" name="job_satisfaction"/>
    <tableColumn id="14" xr3:uid="{0E193A83-5691-4375-BAD5-85DBD002144C}" name="marital_status"/>
    <tableColumn id="15" xr3:uid="{93F5CE68-E325-4466-98E9-A4AD51B72270}" name="monthly_income"/>
    <tableColumn id="16" xr3:uid="{56F5532E-8017-4267-A675-DB65AD3A78B0}" name="num_companies_worked"/>
    <tableColumn id="17" xr3:uid="{8584B05B-DC82-4DC1-A38F-D1192C7E7C7A}" name="over_time"/>
    <tableColumn id="18" xr3:uid="{28F3BB3F-8B04-4591-95D0-631A3F18DC74}" name="percent_salary_hike"/>
    <tableColumn id="19" xr3:uid="{FF3DA367-F803-4F87-B1D9-F361D3C18DAD}" name="performance_rating"/>
    <tableColumn id="20" xr3:uid="{CF924DAD-2078-4C0A-B13B-794ABEB47EBE}" name="relationship_satisfaction"/>
    <tableColumn id="21" xr3:uid="{4F543AFE-A25E-4EA3-8F8C-7BCACC931620}" name="training_times_last_year"/>
    <tableColumn id="22" xr3:uid="{570EE6C9-4C1E-441B-894D-C3B67C4C64A6}" name="work_life_balance"/>
    <tableColumn id="23" xr3:uid="{F17B88CC-B571-45BF-AF1A-0398B758AC56}" name="Age_Group" dataDxfId="1">
      <calculatedColumnFormula>IF(HR_Data[[#This Row],[age]]&lt;25,"Under 25",IF(HR_Data[[#This Row],[age]]&lt;35,"25-34",IF(HR_Data[[#This Row],[age]]&lt;45,"35-44",IF(HR_Data[[#This Row],[age]]&lt;55,"45-54","55+"))))</calculatedColumnFormula>
    </tableColumn>
    <tableColumn id="24" xr3:uid="{033544AA-DE4F-4731-B505-88BA9EC595C1}" name="Income_Group" dataDxfId="0">
      <calculatedColumnFormula>IF(O2&lt;3000,"Below 3,000",IF(O2&lt;5000,"3,000-4,999",IF(O2&lt;8000,"5,000-7,999","8,000+")))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F8C8-15D7-49ED-932B-8A4A5130B28D}">
  <dimension ref="A1:N14"/>
  <sheetViews>
    <sheetView showGridLines="0" tabSelected="1" zoomScale="38" zoomScaleNormal="47" workbookViewId="0">
      <selection activeCell="AN54" sqref="AN54"/>
    </sheetView>
  </sheetViews>
  <sheetFormatPr defaultRowHeight="14.4" x14ac:dyDescent="0.3"/>
  <cols>
    <col min="14" max="14" width="12.109375" customWidth="1"/>
  </cols>
  <sheetData>
    <row r="1" spans="1:14" x14ac:dyDescent="0.3">
      <c r="A1" s="15"/>
    </row>
    <row r="2" spans="1:14" x14ac:dyDescent="0.3">
      <c r="B2" s="17" t="s">
        <v>87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x14ac:dyDescent="0.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3">
      <c r="B4" s="19" t="s">
        <v>88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6" spans="1:14" x14ac:dyDescent="0.3">
      <c r="B6" s="18" t="s">
        <v>66</v>
      </c>
      <c r="C6" s="16"/>
      <c r="D6" s="16"/>
      <c r="E6" s="18" t="s">
        <v>67</v>
      </c>
      <c r="F6" s="16"/>
      <c r="G6" s="16"/>
      <c r="H6" s="18" t="s">
        <v>68</v>
      </c>
      <c r="I6" s="16"/>
      <c r="J6" s="16"/>
      <c r="K6" s="18" t="s">
        <v>69</v>
      </c>
      <c r="L6" s="16"/>
      <c r="M6" s="18" t="s">
        <v>70</v>
      </c>
      <c r="N6" s="16"/>
    </row>
    <row r="7" spans="1:14" ht="14.4" customHeight="1" x14ac:dyDescent="0.3">
      <c r="B7" s="20">
        <f>'AnalysisHR Analytics'!B4</f>
        <v>1470</v>
      </c>
      <c r="C7" s="21"/>
      <c r="D7" s="22"/>
      <c r="E7" s="20">
        <f>'AnalysisHR Analytics'!B5</f>
        <v>237</v>
      </c>
      <c r="F7" s="21"/>
      <c r="G7" s="22"/>
      <c r="H7" s="29">
        <f>'AnalysisHR Analytics'!B6</f>
        <v>0.16122448979591836</v>
      </c>
      <c r="I7" s="30"/>
      <c r="J7" s="31"/>
      <c r="K7" s="38">
        <f>'AnalysisHR Analytics'!B7</f>
        <v>36.923809523809524</v>
      </c>
      <c r="L7" s="39"/>
      <c r="M7" s="44">
        <f>'AnalysisHR Analytics'!B8</f>
        <v>6502.931292517007</v>
      </c>
      <c r="N7" s="45"/>
    </row>
    <row r="8" spans="1:14" ht="14.4" customHeight="1" x14ac:dyDescent="0.3">
      <c r="B8" s="23"/>
      <c r="C8" s="24"/>
      <c r="D8" s="25"/>
      <c r="E8" s="23"/>
      <c r="F8" s="24"/>
      <c r="G8" s="25"/>
      <c r="H8" s="32"/>
      <c r="I8" s="33"/>
      <c r="J8" s="34"/>
      <c r="K8" s="40"/>
      <c r="L8" s="41"/>
      <c r="M8" s="46"/>
      <c r="N8" s="47"/>
    </row>
    <row r="9" spans="1:14" ht="14.4" customHeight="1" x14ac:dyDescent="0.3">
      <c r="B9" s="26"/>
      <c r="C9" s="27"/>
      <c r="D9" s="28"/>
      <c r="E9" s="26"/>
      <c r="F9" s="27"/>
      <c r="G9" s="28"/>
      <c r="H9" s="35"/>
      <c r="I9" s="36"/>
      <c r="J9" s="37"/>
      <c r="K9" s="42"/>
      <c r="L9" s="43"/>
      <c r="M9" s="48"/>
      <c r="N9" s="49"/>
    </row>
    <row r="11" spans="1:14" x14ac:dyDescent="0.3">
      <c r="B11" s="18" t="s">
        <v>89</v>
      </c>
      <c r="C11" s="16"/>
      <c r="D11" s="16"/>
    </row>
    <row r="12" spans="1:14" x14ac:dyDescent="0.3">
      <c r="B12" s="44">
        <f>'AnalysisHR Analytics'!B9</f>
        <v>2.6931972789115646</v>
      </c>
      <c r="C12" s="50"/>
      <c r="D12" s="45"/>
    </row>
    <row r="13" spans="1:14" x14ac:dyDescent="0.3">
      <c r="B13" s="46"/>
      <c r="C13" s="51"/>
      <c r="D13" s="47"/>
    </row>
    <row r="14" spans="1:14" x14ac:dyDescent="0.3">
      <c r="B14" s="48"/>
      <c r="C14" s="52"/>
      <c r="D14" s="49"/>
    </row>
  </sheetData>
  <mergeCells count="14">
    <mergeCell ref="B12:D14"/>
    <mergeCell ref="K6:L6"/>
    <mergeCell ref="K7:L9"/>
    <mergeCell ref="M6:N6"/>
    <mergeCell ref="M7:N9"/>
    <mergeCell ref="B11:D11"/>
    <mergeCell ref="B2:N3"/>
    <mergeCell ref="B4:N4"/>
    <mergeCell ref="B6:D6"/>
    <mergeCell ref="B7:D9"/>
    <mergeCell ref="E6:G6"/>
    <mergeCell ref="E7:G9"/>
    <mergeCell ref="H6:J6"/>
    <mergeCell ref="H7:J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984E-AAC1-4302-83C7-BEE356516D80}">
  <dimension ref="A3:P73"/>
  <sheetViews>
    <sheetView topLeftCell="F5" zoomScale="97" zoomScaleNormal="97" workbookViewId="0">
      <selection activeCell="F5" sqref="F4:G7"/>
    </sheetView>
  </sheetViews>
  <sheetFormatPr defaultRowHeight="14.4" x14ac:dyDescent="0.3"/>
  <cols>
    <col min="1" max="1" width="23.33203125" bestFit="1" customWidth="1"/>
    <col min="2" max="2" width="16" bestFit="1" customWidth="1"/>
    <col min="3" max="3" width="7.33203125" bestFit="1" customWidth="1"/>
    <col min="4" max="4" width="10.88671875" bestFit="1" customWidth="1"/>
    <col min="6" max="6" width="22.109375" bestFit="1" customWidth="1"/>
    <col min="10" max="10" width="15.44140625" bestFit="1" customWidth="1"/>
    <col min="11" max="11" width="16" bestFit="1" customWidth="1"/>
    <col min="12" max="12" width="7.33203125" bestFit="1" customWidth="1"/>
    <col min="13" max="13" width="10.88671875" bestFit="1" customWidth="1"/>
    <col min="15" max="15" width="12" bestFit="1" customWidth="1"/>
  </cols>
  <sheetData>
    <row r="3" spans="1:16" x14ac:dyDescent="0.3">
      <c r="A3" s="2" t="s">
        <v>74</v>
      </c>
      <c r="B3" s="2" t="s">
        <v>75</v>
      </c>
      <c r="J3" s="2" t="s">
        <v>74</v>
      </c>
      <c r="K3" s="2" t="s">
        <v>75</v>
      </c>
    </row>
    <row r="4" spans="1:16" x14ac:dyDescent="0.3">
      <c r="A4" s="2" t="s">
        <v>72</v>
      </c>
      <c r="B4" t="s">
        <v>36</v>
      </c>
      <c r="C4" t="s">
        <v>22</v>
      </c>
      <c r="D4" t="s">
        <v>73</v>
      </c>
      <c r="F4" s="5" t="s">
        <v>72</v>
      </c>
      <c r="G4" s="5" t="s">
        <v>22</v>
      </c>
      <c r="J4" s="2" t="s">
        <v>72</v>
      </c>
      <c r="K4" t="s">
        <v>36</v>
      </c>
      <c r="L4" t="s">
        <v>22</v>
      </c>
      <c r="M4" t="s">
        <v>73</v>
      </c>
      <c r="O4" s="5" t="s">
        <v>72</v>
      </c>
      <c r="P4" s="5" t="s">
        <v>22</v>
      </c>
    </row>
    <row r="5" spans="1:16" x14ac:dyDescent="0.3">
      <c r="A5" s="3" t="s">
        <v>62</v>
      </c>
      <c r="B5" s="4">
        <v>0.80952380952380953</v>
      </c>
      <c r="C5" s="4">
        <v>0.19047619047619047</v>
      </c>
      <c r="D5" s="4">
        <v>1</v>
      </c>
      <c r="F5" s="3" t="s">
        <v>62</v>
      </c>
      <c r="G5" s="4">
        <v>0.19047619047619047</v>
      </c>
      <c r="J5" s="3" t="s">
        <v>50</v>
      </c>
      <c r="K5" s="4">
        <v>0.82692307692307687</v>
      </c>
      <c r="L5" s="4">
        <v>0.17307692307692307</v>
      </c>
      <c r="M5" s="4">
        <v>1</v>
      </c>
      <c r="O5" s="3" t="s">
        <v>50</v>
      </c>
      <c r="P5" s="4">
        <v>0.17307692307692307</v>
      </c>
    </row>
    <row r="6" spans="1:16" x14ac:dyDescent="0.3">
      <c r="A6" s="3" t="s">
        <v>38</v>
      </c>
      <c r="B6" s="4">
        <v>0.86160249739854322</v>
      </c>
      <c r="C6" s="4">
        <v>0.13839750260145681</v>
      </c>
      <c r="D6" s="4">
        <v>1</v>
      </c>
      <c r="F6" s="3" t="s">
        <v>38</v>
      </c>
      <c r="G6" s="4">
        <v>0.13839750260145681</v>
      </c>
      <c r="J6" s="3" t="s">
        <v>61</v>
      </c>
      <c r="K6" s="4">
        <v>0.89583333333333337</v>
      </c>
      <c r="L6" s="4">
        <v>0.10416666666666667</v>
      </c>
      <c r="M6" s="4">
        <v>1</v>
      </c>
      <c r="O6" s="3" t="s">
        <v>61</v>
      </c>
      <c r="P6" s="4">
        <v>0.10416666666666667</v>
      </c>
    </row>
    <row r="7" spans="1:16" x14ac:dyDescent="0.3">
      <c r="A7" s="3" t="s">
        <v>24</v>
      </c>
      <c r="B7" s="4">
        <v>0.79372197309417036</v>
      </c>
      <c r="C7" s="4">
        <v>0.20627802690582961</v>
      </c>
      <c r="D7" s="4">
        <v>1</v>
      </c>
      <c r="F7" s="3" t="s">
        <v>24</v>
      </c>
      <c r="G7" s="4">
        <v>0.20627802690582961</v>
      </c>
      <c r="J7" s="3" t="s">
        <v>47</v>
      </c>
      <c r="K7" s="4">
        <v>0.85427135678391963</v>
      </c>
      <c r="L7" s="4">
        <v>0.14572864321608039</v>
      </c>
      <c r="M7" s="4">
        <v>1</v>
      </c>
      <c r="O7" s="3" t="s">
        <v>47</v>
      </c>
      <c r="P7" s="4">
        <v>0.14572864321608039</v>
      </c>
    </row>
    <row r="8" spans="1:16" x14ac:dyDescent="0.3">
      <c r="A8" s="3" t="s">
        <v>73</v>
      </c>
      <c r="B8" s="4">
        <v>0.83877551020408159</v>
      </c>
      <c r="C8" s="4">
        <v>0.16122448979591836</v>
      </c>
      <c r="D8" s="4">
        <v>1</v>
      </c>
      <c r="J8" s="3" t="s">
        <v>39</v>
      </c>
      <c r="K8" s="4">
        <v>0.81764705882352939</v>
      </c>
      <c r="L8" s="4">
        <v>0.18235294117647058</v>
      </c>
      <c r="M8" s="4">
        <v>1</v>
      </c>
      <c r="O8" s="3" t="s">
        <v>39</v>
      </c>
      <c r="P8" s="4">
        <v>0.18235294117647058</v>
      </c>
    </row>
    <row r="9" spans="1:16" x14ac:dyDescent="0.3">
      <c r="J9" s="3" t="s">
        <v>25</v>
      </c>
      <c r="K9" s="4">
        <v>0.84397163120567376</v>
      </c>
      <c r="L9" s="4">
        <v>0.15602836879432624</v>
      </c>
      <c r="M9" s="4">
        <v>1</v>
      </c>
      <c r="O9" s="3" t="s">
        <v>25</v>
      </c>
      <c r="P9" s="4">
        <v>0.15602836879432624</v>
      </c>
    </row>
    <row r="10" spans="1:16" x14ac:dyDescent="0.3">
      <c r="A10" s="2" t="s">
        <v>74</v>
      </c>
      <c r="B10" s="2" t="s">
        <v>75</v>
      </c>
      <c r="J10" s="3" t="s">
        <v>73</v>
      </c>
      <c r="K10" s="4">
        <v>0.83877551020408159</v>
      </c>
      <c r="L10" s="4">
        <v>0.16122448979591836</v>
      </c>
      <c r="M10" s="4">
        <v>1</v>
      </c>
    </row>
    <row r="11" spans="1:16" x14ac:dyDescent="0.3">
      <c r="A11" s="2" t="s">
        <v>72</v>
      </c>
      <c r="B11" t="s">
        <v>36</v>
      </c>
      <c r="C11" t="s">
        <v>22</v>
      </c>
      <c r="D11" t="s">
        <v>73</v>
      </c>
      <c r="F11" s="5" t="s">
        <v>72</v>
      </c>
      <c r="G11" s="5" t="s">
        <v>22</v>
      </c>
    </row>
    <row r="12" spans="1:16" x14ac:dyDescent="0.3">
      <c r="A12" s="3" t="s">
        <v>53</v>
      </c>
      <c r="B12" s="4">
        <v>0.93129770992366412</v>
      </c>
      <c r="C12" s="4">
        <v>6.8702290076335881E-2</v>
      </c>
      <c r="D12" s="4">
        <v>1</v>
      </c>
      <c r="F12" s="3" t="s">
        <v>53</v>
      </c>
      <c r="G12" s="4">
        <v>6.8702290076335881E-2</v>
      </c>
    </row>
    <row r="13" spans="1:16" x14ac:dyDescent="0.3">
      <c r="A13" s="3" t="s">
        <v>62</v>
      </c>
      <c r="B13" s="4">
        <v>0.76923076923076927</v>
      </c>
      <c r="C13" s="4">
        <v>0.23076923076923078</v>
      </c>
      <c r="D13" s="4">
        <v>1</v>
      </c>
      <c r="F13" s="3" t="s">
        <v>62</v>
      </c>
      <c r="G13" s="4">
        <v>0.23076923076923078</v>
      </c>
    </row>
    <row r="14" spans="1:16" x14ac:dyDescent="0.3">
      <c r="A14" s="3" t="s">
        <v>46</v>
      </c>
      <c r="B14" s="4">
        <v>0.76061776061776065</v>
      </c>
      <c r="C14" s="4">
        <v>0.23938223938223938</v>
      </c>
      <c r="D14" s="4">
        <v>1</v>
      </c>
      <c r="F14" s="3" t="s">
        <v>46</v>
      </c>
      <c r="G14" s="4">
        <v>0.23938223938223938</v>
      </c>
    </row>
    <row r="15" spans="1:16" x14ac:dyDescent="0.3">
      <c r="A15" s="3" t="s">
        <v>55</v>
      </c>
      <c r="B15" s="4">
        <v>0.9509803921568627</v>
      </c>
      <c r="C15" s="4">
        <v>4.9019607843137254E-2</v>
      </c>
      <c r="D15" s="4">
        <v>1</v>
      </c>
      <c r="F15" s="3" t="s">
        <v>55</v>
      </c>
      <c r="G15" s="4">
        <v>4.9019607843137254E-2</v>
      </c>
    </row>
    <row r="16" spans="1:16" x14ac:dyDescent="0.3">
      <c r="A16" s="3" t="s">
        <v>52</v>
      </c>
      <c r="B16" s="4">
        <v>0.93103448275862066</v>
      </c>
      <c r="C16" s="4">
        <v>6.8965517241379309E-2</v>
      </c>
      <c r="D16" s="4">
        <v>1</v>
      </c>
      <c r="F16" s="3" t="s">
        <v>52</v>
      </c>
      <c r="G16" s="4">
        <v>6.8965517241379309E-2</v>
      </c>
    </row>
    <row r="17" spans="1:11" x14ac:dyDescent="0.3">
      <c r="A17" s="3" t="s">
        <v>57</v>
      </c>
      <c r="B17" s="4">
        <v>0.97499999999999998</v>
      </c>
      <c r="C17" s="4">
        <v>2.5000000000000001E-2</v>
      </c>
      <c r="D17" s="4">
        <v>1</v>
      </c>
      <c r="F17" s="3" t="s">
        <v>57</v>
      </c>
      <c r="G17" s="4">
        <v>2.5000000000000001E-2</v>
      </c>
      <c r="I17" s="6"/>
      <c r="J17" s="7"/>
      <c r="K17" s="8"/>
    </row>
    <row r="18" spans="1:11" x14ac:dyDescent="0.3">
      <c r="A18" s="3" t="s">
        <v>41</v>
      </c>
      <c r="B18" s="4">
        <v>0.83904109589041098</v>
      </c>
      <c r="C18" s="4">
        <v>0.16095890410958905</v>
      </c>
      <c r="D18" s="4">
        <v>1</v>
      </c>
      <c r="F18" s="3" t="s">
        <v>41</v>
      </c>
      <c r="G18" s="4">
        <v>0.16095890410958905</v>
      </c>
      <c r="I18" s="9"/>
      <c r="J18" s="10"/>
      <c r="K18" s="11"/>
    </row>
    <row r="19" spans="1:11" x14ac:dyDescent="0.3">
      <c r="A19" s="3" t="s">
        <v>30</v>
      </c>
      <c r="B19" s="4">
        <v>0.82515337423312884</v>
      </c>
      <c r="C19" s="4">
        <v>0.17484662576687116</v>
      </c>
      <c r="D19" s="4">
        <v>1</v>
      </c>
      <c r="F19" s="3" t="s">
        <v>30</v>
      </c>
      <c r="G19" s="4">
        <v>0.17484662576687116</v>
      </c>
      <c r="I19" s="9"/>
      <c r="J19" s="10"/>
      <c r="K19" s="11"/>
    </row>
    <row r="20" spans="1:11" x14ac:dyDescent="0.3">
      <c r="A20" s="3" t="s">
        <v>56</v>
      </c>
      <c r="B20" s="4">
        <v>0.60240963855421692</v>
      </c>
      <c r="C20" s="4">
        <v>0.39759036144578314</v>
      </c>
      <c r="D20" s="4">
        <v>1</v>
      </c>
      <c r="F20" s="3" t="s">
        <v>56</v>
      </c>
      <c r="G20" s="4">
        <v>0.39759036144578314</v>
      </c>
      <c r="I20" s="9"/>
      <c r="J20" s="10"/>
      <c r="K20" s="11"/>
    </row>
    <row r="21" spans="1:11" x14ac:dyDescent="0.3">
      <c r="A21" s="3" t="s">
        <v>73</v>
      </c>
      <c r="B21" s="4">
        <v>0.83877551020408159</v>
      </c>
      <c r="C21" s="4">
        <v>0.16122448979591836</v>
      </c>
      <c r="D21" s="4">
        <v>1</v>
      </c>
      <c r="I21" s="9"/>
      <c r="J21" s="10"/>
      <c r="K21" s="11"/>
    </row>
    <row r="22" spans="1:11" x14ac:dyDescent="0.3">
      <c r="I22" s="9"/>
      <c r="J22" s="10"/>
      <c r="K22" s="11"/>
    </row>
    <row r="23" spans="1:11" x14ac:dyDescent="0.3">
      <c r="A23" s="2" t="s">
        <v>74</v>
      </c>
      <c r="B23" s="2" t="s">
        <v>75</v>
      </c>
      <c r="F23" s="5" t="s">
        <v>72</v>
      </c>
      <c r="G23" s="5" t="s">
        <v>22</v>
      </c>
      <c r="I23" s="9"/>
      <c r="J23" s="10"/>
      <c r="K23" s="11"/>
    </row>
    <row r="24" spans="1:11" x14ac:dyDescent="0.3">
      <c r="A24" s="2" t="s">
        <v>72</v>
      </c>
      <c r="B24" t="s">
        <v>36</v>
      </c>
      <c r="C24" t="s">
        <v>22</v>
      </c>
      <c r="D24" t="s">
        <v>73</v>
      </c>
      <c r="F24" s="3" t="s">
        <v>28</v>
      </c>
      <c r="G24" s="4">
        <v>0.14795918367346939</v>
      </c>
      <c r="I24" s="9"/>
      <c r="J24" s="10"/>
      <c r="K24" s="11"/>
    </row>
    <row r="25" spans="1:11" x14ac:dyDescent="0.3">
      <c r="A25" s="3" t="s">
        <v>28</v>
      </c>
      <c r="B25" s="4">
        <v>0.85204081632653061</v>
      </c>
      <c r="C25" s="4">
        <v>0.14795918367346939</v>
      </c>
      <c r="D25" s="4">
        <v>1</v>
      </c>
      <c r="F25" s="3" t="s">
        <v>40</v>
      </c>
      <c r="G25" s="4">
        <v>0.17006802721088435</v>
      </c>
      <c r="I25" s="9"/>
      <c r="J25" s="10"/>
      <c r="K25" s="11"/>
    </row>
    <row r="26" spans="1:11" x14ac:dyDescent="0.3">
      <c r="A26" s="3" t="s">
        <v>40</v>
      </c>
      <c r="B26" s="4">
        <v>0.82993197278911568</v>
      </c>
      <c r="C26" s="4">
        <v>0.17006802721088435</v>
      </c>
      <c r="D26" s="4">
        <v>1</v>
      </c>
      <c r="I26" s="9"/>
      <c r="J26" s="10"/>
      <c r="K26" s="11"/>
    </row>
    <row r="27" spans="1:11" x14ac:dyDescent="0.3">
      <c r="A27" s="3" t="s">
        <v>73</v>
      </c>
      <c r="B27" s="4">
        <v>0.83877551020408159</v>
      </c>
      <c r="C27" s="4">
        <v>0.16122448979591836</v>
      </c>
      <c r="D27" s="4">
        <v>1</v>
      </c>
      <c r="I27" s="9"/>
      <c r="J27" s="10"/>
      <c r="K27" s="11"/>
    </row>
    <row r="28" spans="1:11" x14ac:dyDescent="0.3">
      <c r="I28" s="9"/>
      <c r="J28" s="10"/>
      <c r="K28" s="11"/>
    </row>
    <row r="29" spans="1:11" x14ac:dyDescent="0.3">
      <c r="A29" s="2" t="s">
        <v>74</v>
      </c>
      <c r="B29" s="2" t="s">
        <v>75</v>
      </c>
      <c r="I29" s="9"/>
      <c r="J29" s="10"/>
      <c r="K29" s="11"/>
    </row>
    <row r="30" spans="1:11" x14ac:dyDescent="0.3">
      <c r="A30" s="2" t="s">
        <v>72</v>
      </c>
      <c r="B30" t="s">
        <v>36</v>
      </c>
      <c r="C30" t="s">
        <v>22</v>
      </c>
      <c r="D30" t="s">
        <v>73</v>
      </c>
      <c r="F30" s="5" t="s">
        <v>72</v>
      </c>
      <c r="G30" s="5" t="s">
        <v>22</v>
      </c>
      <c r="I30" s="9"/>
      <c r="J30" s="10"/>
      <c r="K30" s="11"/>
    </row>
    <row r="31" spans="1:11" x14ac:dyDescent="0.3">
      <c r="A31" s="3" t="s">
        <v>36</v>
      </c>
      <c r="B31" s="4">
        <v>0.89563567362428842</v>
      </c>
      <c r="C31" s="4">
        <v>0.10436432637571158</v>
      </c>
      <c r="D31" s="4">
        <v>1</v>
      </c>
      <c r="F31" s="3" t="s">
        <v>36</v>
      </c>
      <c r="G31" s="4">
        <v>0.10436432637571158</v>
      </c>
      <c r="I31" s="9"/>
      <c r="J31" s="10"/>
      <c r="K31" s="11"/>
    </row>
    <row r="32" spans="1:11" x14ac:dyDescent="0.3">
      <c r="A32" s="3" t="s">
        <v>22</v>
      </c>
      <c r="B32" s="4">
        <v>0.69471153846153844</v>
      </c>
      <c r="C32" s="4">
        <v>0.30528846153846156</v>
      </c>
      <c r="D32" s="4">
        <v>1</v>
      </c>
      <c r="F32" s="3" t="s">
        <v>22</v>
      </c>
      <c r="G32" s="4">
        <v>0.30528846153846156</v>
      </c>
      <c r="I32" s="9"/>
      <c r="J32" s="10"/>
      <c r="K32" s="11"/>
    </row>
    <row r="33" spans="1:11" x14ac:dyDescent="0.3">
      <c r="A33" s="3" t="s">
        <v>73</v>
      </c>
      <c r="B33" s="4">
        <v>0.83877551020408159</v>
      </c>
      <c r="C33" s="4">
        <v>0.16122448979591836</v>
      </c>
      <c r="D33" s="4">
        <v>1</v>
      </c>
      <c r="I33" s="9"/>
      <c r="J33" s="10"/>
      <c r="K33" s="11"/>
    </row>
    <row r="34" spans="1:11" x14ac:dyDescent="0.3">
      <c r="I34" s="12"/>
      <c r="J34" s="13"/>
      <c r="K34" s="14"/>
    </row>
    <row r="35" spans="1:11" x14ac:dyDescent="0.3">
      <c r="A35" s="2" t="s">
        <v>74</v>
      </c>
      <c r="B35" s="2" t="s">
        <v>75</v>
      </c>
      <c r="F35" s="5" t="s">
        <v>72</v>
      </c>
      <c r="G35" s="5" t="s">
        <v>22</v>
      </c>
    </row>
    <row r="36" spans="1:11" x14ac:dyDescent="0.3">
      <c r="A36" s="2" t="s">
        <v>72</v>
      </c>
      <c r="B36" t="s">
        <v>36</v>
      </c>
      <c r="C36" t="s">
        <v>22</v>
      </c>
      <c r="D36" t="s">
        <v>73</v>
      </c>
      <c r="F36" s="3" t="s">
        <v>29</v>
      </c>
      <c r="G36" s="4">
        <v>0.16515837104072398</v>
      </c>
    </row>
    <row r="37" spans="1:11" x14ac:dyDescent="0.3">
      <c r="A37" s="3" t="s">
        <v>29</v>
      </c>
      <c r="B37" s="4">
        <v>0.83484162895927605</v>
      </c>
      <c r="C37" s="4">
        <v>0.16515837104072398</v>
      </c>
      <c r="D37" s="4">
        <v>1</v>
      </c>
      <c r="F37" s="3" t="s">
        <v>34</v>
      </c>
      <c r="G37" s="4">
        <v>0.22837370242214533</v>
      </c>
    </row>
    <row r="38" spans="1:11" x14ac:dyDescent="0.3">
      <c r="A38" s="3" t="s">
        <v>34</v>
      </c>
      <c r="B38" s="4">
        <v>0.77162629757785473</v>
      </c>
      <c r="C38" s="4">
        <v>0.22837370242214533</v>
      </c>
      <c r="D38" s="4">
        <v>1</v>
      </c>
      <c r="F38" s="3" t="s">
        <v>27</v>
      </c>
      <c r="G38" s="4">
        <v>0.16428571428571428</v>
      </c>
    </row>
    <row r="39" spans="1:11" x14ac:dyDescent="0.3">
      <c r="A39" s="3" t="s">
        <v>27</v>
      </c>
      <c r="B39" s="4">
        <v>0.83571428571428574</v>
      </c>
      <c r="C39" s="4">
        <v>0.16428571428571428</v>
      </c>
      <c r="D39" s="4">
        <v>1</v>
      </c>
      <c r="F39" s="3" t="s">
        <v>31</v>
      </c>
      <c r="G39" s="4">
        <v>0.11328976034858387</v>
      </c>
    </row>
    <row r="40" spans="1:11" x14ac:dyDescent="0.3">
      <c r="A40" s="3" t="s">
        <v>31</v>
      </c>
      <c r="B40" s="4">
        <v>0.88671023965141615</v>
      </c>
      <c r="C40" s="4">
        <v>0.11328976034858387</v>
      </c>
      <c r="D40" s="4">
        <v>1</v>
      </c>
    </row>
    <row r="41" spans="1:11" x14ac:dyDescent="0.3">
      <c r="A41" s="3" t="s">
        <v>73</v>
      </c>
      <c r="B41" s="4">
        <v>0.83877551020408159</v>
      </c>
      <c r="C41" s="4">
        <v>0.16122448979591836</v>
      </c>
      <c r="D41" s="4">
        <v>1</v>
      </c>
    </row>
    <row r="43" spans="1:11" x14ac:dyDescent="0.3">
      <c r="A43" s="2" t="s">
        <v>74</v>
      </c>
      <c r="B43" s="2" t="s">
        <v>75</v>
      </c>
      <c r="F43" s="5" t="s">
        <v>72</v>
      </c>
      <c r="G43" s="5" t="s">
        <v>22</v>
      </c>
    </row>
    <row r="44" spans="1:11" x14ac:dyDescent="0.3">
      <c r="A44" s="2" t="s">
        <v>72</v>
      </c>
      <c r="B44" t="s">
        <v>36</v>
      </c>
      <c r="C44" t="s">
        <v>22</v>
      </c>
      <c r="D44" t="s">
        <v>73</v>
      </c>
      <c r="F44" s="3" t="s">
        <v>77</v>
      </c>
      <c r="G44" s="4">
        <v>0.20216606498194944</v>
      </c>
    </row>
    <row r="45" spans="1:11" x14ac:dyDescent="0.3">
      <c r="A45" s="3" t="s">
        <v>77</v>
      </c>
      <c r="B45" s="4">
        <v>0.79783393501805056</v>
      </c>
      <c r="C45" s="4">
        <v>0.20216606498194944</v>
      </c>
      <c r="D45" s="4">
        <v>1</v>
      </c>
      <c r="F45" s="3" t="s">
        <v>78</v>
      </c>
      <c r="G45" s="4">
        <v>0.100990099009901</v>
      </c>
    </row>
    <row r="46" spans="1:11" x14ac:dyDescent="0.3">
      <c r="A46" s="3" t="s">
        <v>78</v>
      </c>
      <c r="B46" s="4">
        <v>0.89900990099009903</v>
      </c>
      <c r="C46" s="4">
        <v>0.100990099009901</v>
      </c>
      <c r="D46" s="4">
        <v>1</v>
      </c>
      <c r="F46" s="3" t="s">
        <v>79</v>
      </c>
      <c r="G46" s="4">
        <v>0.10204081632653061</v>
      </c>
    </row>
    <row r="47" spans="1:11" x14ac:dyDescent="0.3">
      <c r="A47" s="3" t="s">
        <v>79</v>
      </c>
      <c r="B47" s="4">
        <v>0.89795918367346939</v>
      </c>
      <c r="C47" s="4">
        <v>0.10204081632653061</v>
      </c>
      <c r="D47" s="4">
        <v>1</v>
      </c>
      <c r="F47" s="3" t="s">
        <v>80</v>
      </c>
      <c r="G47" s="4">
        <v>0.15942028985507245</v>
      </c>
    </row>
    <row r="48" spans="1:11" x14ac:dyDescent="0.3">
      <c r="A48" s="3" t="s">
        <v>80</v>
      </c>
      <c r="B48" s="4">
        <v>0.84057971014492749</v>
      </c>
      <c r="C48" s="4">
        <v>0.15942028985507245</v>
      </c>
      <c r="D48" s="4">
        <v>1</v>
      </c>
      <c r="F48" s="3" t="s">
        <v>81</v>
      </c>
      <c r="G48" s="4">
        <v>0.39175257731958762</v>
      </c>
    </row>
    <row r="49" spans="1:7" x14ac:dyDescent="0.3">
      <c r="A49" s="3" t="s">
        <v>81</v>
      </c>
      <c r="B49" s="4">
        <v>0.60824742268041232</v>
      </c>
      <c r="C49" s="4">
        <v>0.39175257731958762</v>
      </c>
      <c r="D49" s="4">
        <v>1</v>
      </c>
    </row>
    <row r="50" spans="1:7" x14ac:dyDescent="0.3">
      <c r="A50" s="3" t="s">
        <v>73</v>
      </c>
      <c r="B50" s="4">
        <v>0.83877551020408159</v>
      </c>
      <c r="C50" s="4">
        <v>0.16122448979591836</v>
      </c>
      <c r="D50" s="4">
        <v>1</v>
      </c>
    </row>
    <row r="52" spans="1:7" x14ac:dyDescent="0.3">
      <c r="A52" s="2" t="s">
        <v>74</v>
      </c>
      <c r="B52" s="2" t="s">
        <v>75</v>
      </c>
      <c r="F52" s="5" t="s">
        <v>72</v>
      </c>
      <c r="G52" s="5" t="s">
        <v>22</v>
      </c>
    </row>
    <row r="53" spans="1:7" x14ac:dyDescent="0.3">
      <c r="A53" s="2" t="s">
        <v>72</v>
      </c>
      <c r="B53" t="s">
        <v>36</v>
      </c>
      <c r="C53" t="s">
        <v>22</v>
      </c>
      <c r="D53" t="s">
        <v>73</v>
      </c>
      <c r="F53" s="3" t="s">
        <v>54</v>
      </c>
      <c r="G53" s="4">
        <v>0.08</v>
      </c>
    </row>
    <row r="54" spans="1:7" x14ac:dyDescent="0.3">
      <c r="A54" s="3" t="s">
        <v>54</v>
      </c>
      <c r="B54" s="4">
        <v>0.92</v>
      </c>
      <c r="C54" s="4">
        <v>0.08</v>
      </c>
      <c r="D54" s="4">
        <v>1</v>
      </c>
      <c r="F54" s="3" t="s">
        <v>37</v>
      </c>
      <c r="G54" s="4">
        <v>0.24909747292418771</v>
      </c>
    </row>
    <row r="55" spans="1:7" x14ac:dyDescent="0.3">
      <c r="A55" s="3" t="s">
        <v>37</v>
      </c>
      <c r="B55" s="4">
        <v>0.75090252707581229</v>
      </c>
      <c r="C55" s="4">
        <v>0.24909747292418771</v>
      </c>
      <c r="D55" s="4">
        <v>1</v>
      </c>
      <c r="F55" s="3" t="s">
        <v>23</v>
      </c>
      <c r="G55" s="4">
        <v>0.14956855225311602</v>
      </c>
    </row>
    <row r="56" spans="1:7" x14ac:dyDescent="0.3">
      <c r="A56" s="3" t="s">
        <v>23</v>
      </c>
      <c r="B56" s="4">
        <v>0.85043144774688395</v>
      </c>
      <c r="C56" s="4">
        <v>0.14956855225311602</v>
      </c>
      <c r="D56" s="4">
        <v>1</v>
      </c>
    </row>
    <row r="57" spans="1:7" x14ac:dyDescent="0.3">
      <c r="A57" s="3" t="s">
        <v>73</v>
      </c>
      <c r="B57" s="4">
        <v>0.83877551020408159</v>
      </c>
      <c r="C57" s="4">
        <v>0.16122448979591836</v>
      </c>
      <c r="D57" s="4">
        <v>1</v>
      </c>
    </row>
    <row r="59" spans="1:7" x14ac:dyDescent="0.3">
      <c r="A59" s="2" t="s">
        <v>74</v>
      </c>
      <c r="B59" s="2" t="s">
        <v>75</v>
      </c>
      <c r="F59" s="5" t="s">
        <v>72</v>
      </c>
      <c r="G59" s="5" t="s">
        <v>22</v>
      </c>
    </row>
    <row r="60" spans="1:7" x14ac:dyDescent="0.3">
      <c r="A60" s="2" t="s">
        <v>72</v>
      </c>
      <c r="B60" t="s">
        <v>36</v>
      </c>
      <c r="C60" t="s">
        <v>22</v>
      </c>
      <c r="D60" t="s">
        <v>73</v>
      </c>
      <c r="F60" s="3" t="s">
        <v>35</v>
      </c>
      <c r="G60" s="4">
        <v>0.3125</v>
      </c>
    </row>
    <row r="61" spans="1:7" x14ac:dyDescent="0.3">
      <c r="A61" s="3" t="s">
        <v>35</v>
      </c>
      <c r="B61" s="4">
        <v>0.6875</v>
      </c>
      <c r="C61" s="4">
        <v>0.3125</v>
      </c>
      <c r="D61" s="4">
        <v>1</v>
      </c>
      <c r="F61" s="3" t="s">
        <v>59</v>
      </c>
      <c r="G61" s="4">
        <v>0.17647058823529413</v>
      </c>
    </row>
    <row r="62" spans="1:7" x14ac:dyDescent="0.3">
      <c r="A62" s="3" t="s">
        <v>59</v>
      </c>
      <c r="B62" s="4">
        <v>0.82352941176470584</v>
      </c>
      <c r="C62" s="4">
        <v>0.17647058823529413</v>
      </c>
      <c r="D62" s="4">
        <v>1</v>
      </c>
      <c r="F62" s="3" t="s">
        <v>44</v>
      </c>
      <c r="G62" s="4">
        <v>0.14221724524076149</v>
      </c>
    </row>
    <row r="63" spans="1:7" x14ac:dyDescent="0.3">
      <c r="A63" s="3" t="s">
        <v>44</v>
      </c>
      <c r="B63" s="4">
        <v>0.85778275475923849</v>
      </c>
      <c r="C63" s="4">
        <v>0.14221724524076149</v>
      </c>
      <c r="D63" s="4">
        <v>1</v>
      </c>
      <c r="F63" s="3" t="s">
        <v>49</v>
      </c>
      <c r="G63" s="4">
        <v>0.16860465116279069</v>
      </c>
    </row>
    <row r="64" spans="1:7" x14ac:dyDescent="0.3">
      <c r="A64" s="3" t="s">
        <v>49</v>
      </c>
      <c r="B64" s="4">
        <v>0.83139534883720934</v>
      </c>
      <c r="C64" s="4">
        <v>0.16860465116279069</v>
      </c>
      <c r="D64" s="4">
        <v>1</v>
      </c>
    </row>
    <row r="65" spans="1:7" x14ac:dyDescent="0.3">
      <c r="A65" s="3" t="s">
        <v>73</v>
      </c>
      <c r="B65" s="4">
        <v>0.83877551020408159</v>
      </c>
      <c r="C65" s="4">
        <v>0.16122448979591836</v>
      </c>
      <c r="D65" s="4">
        <v>1</v>
      </c>
    </row>
    <row r="67" spans="1:7" x14ac:dyDescent="0.3">
      <c r="A67" s="2" t="s">
        <v>74</v>
      </c>
      <c r="B67" s="2" t="s">
        <v>75</v>
      </c>
      <c r="F67" s="5" t="s">
        <v>72</v>
      </c>
      <c r="G67" s="5" t="s">
        <v>22</v>
      </c>
    </row>
    <row r="68" spans="1:7" x14ac:dyDescent="0.3">
      <c r="A68" s="2" t="s">
        <v>72</v>
      </c>
      <c r="B68" t="s">
        <v>36</v>
      </c>
      <c r="C68" t="s">
        <v>22</v>
      </c>
      <c r="D68" t="s">
        <v>73</v>
      </c>
      <c r="F68" s="3" t="s">
        <v>83</v>
      </c>
      <c r="G68" s="4">
        <v>0.14124293785310735</v>
      </c>
    </row>
    <row r="69" spans="1:7" x14ac:dyDescent="0.3">
      <c r="A69" s="3" t="s">
        <v>83</v>
      </c>
      <c r="B69" s="4">
        <v>0.85875706214689262</v>
      </c>
      <c r="C69" s="4">
        <v>0.14124293785310735</v>
      </c>
      <c r="D69" s="4">
        <v>1</v>
      </c>
      <c r="F69" s="3" t="s">
        <v>84</v>
      </c>
      <c r="G69" s="4">
        <v>0.1</v>
      </c>
    </row>
    <row r="70" spans="1:7" x14ac:dyDescent="0.3">
      <c r="A70" s="3" t="s">
        <v>84</v>
      </c>
      <c r="B70" s="4">
        <v>0.9</v>
      </c>
      <c r="C70" s="4">
        <v>0.1</v>
      </c>
      <c r="D70" s="4">
        <v>1</v>
      </c>
      <c r="F70" s="3" t="s">
        <v>85</v>
      </c>
      <c r="G70" s="4">
        <v>0.10498687664041995</v>
      </c>
    </row>
    <row r="71" spans="1:7" x14ac:dyDescent="0.3">
      <c r="A71" s="3" t="s">
        <v>85</v>
      </c>
      <c r="B71" s="4">
        <v>0.89501312335958005</v>
      </c>
      <c r="C71" s="4">
        <v>0.10498687664041995</v>
      </c>
      <c r="D71" s="4">
        <v>1</v>
      </c>
      <c r="F71" s="3" t="s">
        <v>86</v>
      </c>
      <c r="G71" s="4">
        <v>0.28607594936708863</v>
      </c>
    </row>
    <row r="72" spans="1:7" x14ac:dyDescent="0.3">
      <c r="A72" s="3" t="s">
        <v>86</v>
      </c>
      <c r="B72" s="4">
        <v>0.71392405063291142</v>
      </c>
      <c r="C72" s="4">
        <v>0.28607594936708863</v>
      </c>
      <c r="D72" s="4">
        <v>1</v>
      </c>
    </row>
    <row r="73" spans="1:7" x14ac:dyDescent="0.3">
      <c r="A73" s="3" t="s">
        <v>73</v>
      </c>
      <c r="B73" s="4">
        <v>0.83877551020408159</v>
      </c>
      <c r="C73" s="4">
        <v>0.16122448979591836</v>
      </c>
      <c r="D73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0566-67DE-422C-A726-644077007B8E}">
  <dimension ref="A1:X1471"/>
  <sheetViews>
    <sheetView topLeftCell="A2" workbookViewId="0">
      <selection activeCell="E9" sqref="E9"/>
    </sheetView>
  </sheetViews>
  <sheetFormatPr defaultRowHeight="14.4" x14ac:dyDescent="0.3"/>
  <cols>
    <col min="1" max="1" width="18.33203125" customWidth="1"/>
    <col min="3" max="3" width="9.6640625" customWidth="1"/>
    <col min="4" max="4" width="15.77734375" customWidth="1"/>
    <col min="5" max="5" width="21.44140625" bestFit="1" customWidth="1"/>
    <col min="6" max="6" width="20.21875" customWidth="1"/>
    <col min="7" max="7" width="11.6640625" bestFit="1" customWidth="1"/>
    <col min="8" max="8" width="15.88671875" bestFit="1" customWidth="1"/>
    <col min="9" max="9" width="23.88671875" customWidth="1"/>
    <col min="10" max="10" width="8.5546875" customWidth="1"/>
    <col min="11" max="11" width="16.5546875" customWidth="1"/>
    <col min="12" max="12" width="22.6640625" bestFit="1" customWidth="1"/>
    <col min="13" max="13" width="16.109375" customWidth="1"/>
    <col min="14" max="14" width="14.88671875" customWidth="1"/>
    <col min="15" max="15" width="16.6640625" customWidth="1"/>
    <col min="16" max="16" width="23.44140625" customWidth="1"/>
    <col min="17" max="17" width="11.109375" customWidth="1"/>
    <col min="18" max="18" width="19.44140625" customWidth="1"/>
    <col min="19" max="19" width="19.109375" customWidth="1"/>
    <col min="20" max="20" width="23.44140625" customWidth="1"/>
    <col min="21" max="21" width="23" customWidth="1"/>
    <col min="22" max="22" width="17.77734375" customWidth="1"/>
    <col min="23" max="23" width="12.109375" bestFit="1" customWidth="1"/>
    <col min="24" max="24" width="15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76</v>
      </c>
      <c r="X1" t="s">
        <v>82</v>
      </c>
    </row>
    <row r="2" spans="1:24" x14ac:dyDescent="0.3">
      <c r="A2">
        <v>1</v>
      </c>
      <c r="B2">
        <v>41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5993</v>
      </c>
      <c r="P2">
        <v>8</v>
      </c>
      <c r="Q2" t="s">
        <v>22</v>
      </c>
      <c r="R2">
        <v>11</v>
      </c>
      <c r="S2" t="s">
        <v>33</v>
      </c>
      <c r="T2" t="s">
        <v>34</v>
      </c>
      <c r="U2">
        <v>0</v>
      </c>
      <c r="V2" t="s">
        <v>35</v>
      </c>
      <c r="W2" t="str">
        <f>IF(HR_Data[[#This Row],[age]]&lt;25,"Under 25",IF(HR_Data[[#This Row],[age]]&lt;35,"25-34",IF(HR_Data[[#This Row],[age]]&lt;45,"35-44",IF(HR_Data[[#This Row],[age]]&lt;55,"45-54","55+"))))</f>
        <v>35-44</v>
      </c>
      <c r="X2" t="str">
        <f>IF(O2&lt;3000,"Below 3,000",IF(O2&lt;5000,"3,000-4,999",IF(O2&lt;8000,"5,000-7,999","8,000+")))</f>
        <v>5,000-7,999</v>
      </c>
    </row>
    <row r="3" spans="1:24" x14ac:dyDescent="0.3">
      <c r="A3">
        <v>2</v>
      </c>
      <c r="B3">
        <v>49</v>
      </c>
      <c r="C3" t="s">
        <v>36</v>
      </c>
      <c r="D3" t="s">
        <v>37</v>
      </c>
      <c r="E3" t="s">
        <v>38</v>
      </c>
      <c r="F3">
        <v>8</v>
      </c>
      <c r="G3" t="s">
        <v>39</v>
      </c>
      <c r="H3" t="s">
        <v>26</v>
      </c>
      <c r="I3" t="s">
        <v>29</v>
      </c>
      <c r="J3" t="s">
        <v>40</v>
      </c>
      <c r="K3" t="s">
        <v>27</v>
      </c>
      <c r="L3" t="s">
        <v>41</v>
      </c>
      <c r="M3" t="s">
        <v>27</v>
      </c>
      <c r="N3" t="s">
        <v>42</v>
      </c>
      <c r="O3">
        <v>5130</v>
      </c>
      <c r="P3">
        <v>1</v>
      </c>
      <c r="Q3" t="s">
        <v>36</v>
      </c>
      <c r="R3">
        <v>23</v>
      </c>
      <c r="S3" t="s">
        <v>43</v>
      </c>
      <c r="T3" t="s">
        <v>31</v>
      </c>
      <c r="U3">
        <v>3</v>
      </c>
      <c r="V3" t="s">
        <v>44</v>
      </c>
      <c r="W3" t="str">
        <f>IF(HR_Data[[#This Row],[age]]&lt;25,"Under 25",IF(HR_Data[[#This Row],[age]]&lt;35,"25-34",IF(HR_Data[[#This Row],[age]]&lt;45,"35-44",IF(HR_Data[[#This Row],[age]]&lt;55,"45-54","55+"))))</f>
        <v>45-54</v>
      </c>
      <c r="X3" t="str">
        <f t="shared" ref="X3:X66" si="0">IF(O3&lt;3000,"Below 3,000",IF(O3&lt;5000,"3,000-4,999",IF(O3&lt;8000,"5,000-7,999","8,000+")))</f>
        <v>5,000-7,999</v>
      </c>
    </row>
    <row r="4" spans="1:24" x14ac:dyDescent="0.3">
      <c r="A4">
        <v>4</v>
      </c>
      <c r="B4">
        <v>37</v>
      </c>
      <c r="C4" t="s">
        <v>22</v>
      </c>
      <c r="D4" t="s">
        <v>23</v>
      </c>
      <c r="E4" t="s">
        <v>38</v>
      </c>
      <c r="F4">
        <v>2</v>
      </c>
      <c r="G4" t="s">
        <v>25</v>
      </c>
      <c r="H4" t="s">
        <v>45</v>
      </c>
      <c r="I4" t="s">
        <v>31</v>
      </c>
      <c r="J4" t="s">
        <v>40</v>
      </c>
      <c r="K4" t="s">
        <v>27</v>
      </c>
      <c r="L4" t="s">
        <v>46</v>
      </c>
      <c r="M4" t="s">
        <v>29</v>
      </c>
      <c r="N4" t="s">
        <v>32</v>
      </c>
      <c r="O4">
        <v>2090</v>
      </c>
      <c r="P4">
        <v>6</v>
      </c>
      <c r="Q4" t="s">
        <v>22</v>
      </c>
      <c r="R4">
        <v>15</v>
      </c>
      <c r="S4" t="s">
        <v>33</v>
      </c>
      <c r="T4" t="s">
        <v>27</v>
      </c>
      <c r="U4">
        <v>3</v>
      </c>
      <c r="V4" t="s">
        <v>44</v>
      </c>
      <c r="W4" t="str">
        <f>IF(HR_Data[[#This Row],[age]]&lt;25,"Under 25",IF(HR_Data[[#This Row],[age]]&lt;35,"25-34",IF(HR_Data[[#This Row],[age]]&lt;45,"35-44",IF(HR_Data[[#This Row],[age]]&lt;55,"45-54","55+"))))</f>
        <v>35-44</v>
      </c>
      <c r="X4" t="str">
        <f t="shared" si="0"/>
        <v>Below 3,000</v>
      </c>
    </row>
    <row r="5" spans="1:24" x14ac:dyDescent="0.3">
      <c r="A5">
        <v>5</v>
      </c>
      <c r="B5">
        <v>33</v>
      </c>
      <c r="C5" t="s">
        <v>36</v>
      </c>
      <c r="D5" t="s">
        <v>37</v>
      </c>
      <c r="E5" t="s">
        <v>38</v>
      </c>
      <c r="F5">
        <v>3</v>
      </c>
      <c r="G5" t="s">
        <v>47</v>
      </c>
      <c r="H5" t="s">
        <v>26</v>
      </c>
      <c r="I5" t="s">
        <v>31</v>
      </c>
      <c r="J5" t="s">
        <v>28</v>
      </c>
      <c r="K5" t="s">
        <v>29</v>
      </c>
      <c r="L5" t="s">
        <v>41</v>
      </c>
      <c r="M5" t="s">
        <v>29</v>
      </c>
      <c r="N5" t="s">
        <v>42</v>
      </c>
      <c r="O5">
        <v>2909</v>
      </c>
      <c r="P5">
        <v>1</v>
      </c>
      <c r="Q5" t="s">
        <v>22</v>
      </c>
      <c r="R5">
        <v>11</v>
      </c>
      <c r="S5" t="s">
        <v>33</v>
      </c>
      <c r="T5" t="s">
        <v>29</v>
      </c>
      <c r="U5">
        <v>3</v>
      </c>
      <c r="V5" t="s">
        <v>44</v>
      </c>
      <c r="W5" t="str">
        <f>IF(HR_Data[[#This Row],[age]]&lt;25,"Under 25",IF(HR_Data[[#This Row],[age]]&lt;35,"25-34",IF(HR_Data[[#This Row],[age]]&lt;45,"35-44",IF(HR_Data[[#This Row],[age]]&lt;55,"45-54","55+"))))</f>
        <v>25-34</v>
      </c>
      <c r="X5" t="str">
        <f t="shared" si="0"/>
        <v>Below 3,000</v>
      </c>
    </row>
    <row r="6" spans="1:24" x14ac:dyDescent="0.3">
      <c r="A6">
        <v>7</v>
      </c>
      <c r="B6">
        <v>27</v>
      </c>
      <c r="C6" t="s">
        <v>36</v>
      </c>
      <c r="D6" t="s">
        <v>23</v>
      </c>
      <c r="E6" t="s">
        <v>38</v>
      </c>
      <c r="F6">
        <v>2</v>
      </c>
      <c r="G6" t="s">
        <v>39</v>
      </c>
      <c r="H6" t="s">
        <v>48</v>
      </c>
      <c r="I6" t="s">
        <v>34</v>
      </c>
      <c r="J6" t="s">
        <v>40</v>
      </c>
      <c r="K6" t="s">
        <v>29</v>
      </c>
      <c r="L6" t="s">
        <v>46</v>
      </c>
      <c r="M6" t="s">
        <v>27</v>
      </c>
      <c r="N6" t="s">
        <v>42</v>
      </c>
      <c r="O6">
        <v>3468</v>
      </c>
      <c r="P6">
        <v>9</v>
      </c>
      <c r="Q6" t="s">
        <v>36</v>
      </c>
      <c r="R6">
        <v>12</v>
      </c>
      <c r="S6" t="s">
        <v>33</v>
      </c>
      <c r="T6" t="s">
        <v>31</v>
      </c>
      <c r="U6">
        <v>3</v>
      </c>
      <c r="V6" t="s">
        <v>44</v>
      </c>
      <c r="W6" t="str">
        <f>IF(HR_Data[[#This Row],[age]]&lt;25,"Under 25",IF(HR_Data[[#This Row],[age]]&lt;35,"25-34",IF(HR_Data[[#This Row],[age]]&lt;45,"35-44",IF(HR_Data[[#This Row],[age]]&lt;55,"45-54","55+"))))</f>
        <v>25-34</v>
      </c>
      <c r="X6" t="str">
        <f t="shared" si="0"/>
        <v>3,000-4,999</v>
      </c>
    </row>
    <row r="7" spans="1:24" x14ac:dyDescent="0.3">
      <c r="A7">
        <v>8</v>
      </c>
      <c r="B7">
        <v>32</v>
      </c>
      <c r="C7" t="s">
        <v>36</v>
      </c>
      <c r="D7" t="s">
        <v>37</v>
      </c>
      <c r="E7" t="s">
        <v>38</v>
      </c>
      <c r="F7">
        <v>2</v>
      </c>
      <c r="G7" t="s">
        <v>25</v>
      </c>
      <c r="H7" t="s">
        <v>26</v>
      </c>
      <c r="I7" t="s">
        <v>31</v>
      </c>
      <c r="J7" t="s">
        <v>40</v>
      </c>
      <c r="K7" t="s">
        <v>29</v>
      </c>
      <c r="L7" t="s">
        <v>46</v>
      </c>
      <c r="M7" t="s">
        <v>31</v>
      </c>
      <c r="N7" t="s">
        <v>32</v>
      </c>
      <c r="O7">
        <v>3068</v>
      </c>
      <c r="P7">
        <v>0</v>
      </c>
      <c r="Q7" t="s">
        <v>36</v>
      </c>
      <c r="R7">
        <v>13</v>
      </c>
      <c r="S7" t="s">
        <v>33</v>
      </c>
      <c r="T7" t="s">
        <v>29</v>
      </c>
      <c r="U7">
        <v>2</v>
      </c>
      <c r="V7" t="s">
        <v>49</v>
      </c>
      <c r="W7" t="str">
        <f>IF(HR_Data[[#This Row],[age]]&lt;25,"Under 25",IF(HR_Data[[#This Row],[age]]&lt;35,"25-34",IF(HR_Data[[#This Row],[age]]&lt;45,"35-44",IF(HR_Data[[#This Row],[age]]&lt;55,"45-54","55+"))))</f>
        <v>25-34</v>
      </c>
      <c r="X7" t="str">
        <f t="shared" si="0"/>
        <v>3,000-4,999</v>
      </c>
    </row>
    <row r="8" spans="1:24" x14ac:dyDescent="0.3">
      <c r="A8">
        <v>10</v>
      </c>
      <c r="B8">
        <v>59</v>
      </c>
      <c r="C8" t="s">
        <v>36</v>
      </c>
      <c r="D8" t="s">
        <v>23</v>
      </c>
      <c r="E8" t="s">
        <v>38</v>
      </c>
      <c r="F8">
        <v>3</v>
      </c>
      <c r="G8" t="s">
        <v>50</v>
      </c>
      <c r="H8" t="s">
        <v>48</v>
      </c>
      <c r="I8" t="s">
        <v>29</v>
      </c>
      <c r="J8" t="s">
        <v>28</v>
      </c>
      <c r="K8" t="s">
        <v>31</v>
      </c>
      <c r="L8" t="s">
        <v>46</v>
      </c>
      <c r="M8" t="s">
        <v>34</v>
      </c>
      <c r="N8" t="s">
        <v>42</v>
      </c>
      <c r="O8">
        <v>2670</v>
      </c>
      <c r="P8">
        <v>4</v>
      </c>
      <c r="Q8" t="s">
        <v>22</v>
      </c>
      <c r="R8">
        <v>20</v>
      </c>
      <c r="S8" t="s">
        <v>43</v>
      </c>
      <c r="T8" t="s">
        <v>34</v>
      </c>
      <c r="U8">
        <v>3</v>
      </c>
      <c r="V8" t="s">
        <v>49</v>
      </c>
      <c r="W8" t="str">
        <f>IF(HR_Data[[#This Row],[age]]&lt;25,"Under 25",IF(HR_Data[[#This Row],[age]]&lt;35,"25-34",IF(HR_Data[[#This Row],[age]]&lt;45,"35-44",IF(HR_Data[[#This Row],[age]]&lt;55,"45-54","55+"))))</f>
        <v>55+</v>
      </c>
      <c r="X8" t="str">
        <f t="shared" si="0"/>
        <v>Below 3,000</v>
      </c>
    </row>
    <row r="9" spans="1:24" x14ac:dyDescent="0.3">
      <c r="A9">
        <v>11</v>
      </c>
      <c r="B9">
        <v>30</v>
      </c>
      <c r="C9" t="s">
        <v>36</v>
      </c>
      <c r="D9" t="s">
        <v>23</v>
      </c>
      <c r="E9" t="s">
        <v>38</v>
      </c>
      <c r="F9">
        <v>24</v>
      </c>
      <c r="G9" t="s">
        <v>39</v>
      </c>
      <c r="H9" t="s">
        <v>26</v>
      </c>
      <c r="I9" t="s">
        <v>31</v>
      </c>
      <c r="J9" t="s">
        <v>40</v>
      </c>
      <c r="K9" t="s">
        <v>29</v>
      </c>
      <c r="L9" t="s">
        <v>46</v>
      </c>
      <c r="M9" t="s">
        <v>29</v>
      </c>
      <c r="N9" t="s">
        <v>51</v>
      </c>
      <c r="O9">
        <v>2693</v>
      </c>
      <c r="P9">
        <v>1</v>
      </c>
      <c r="Q9" t="s">
        <v>36</v>
      </c>
      <c r="R9">
        <v>22</v>
      </c>
      <c r="S9" t="s">
        <v>43</v>
      </c>
      <c r="T9" t="s">
        <v>27</v>
      </c>
      <c r="U9">
        <v>2</v>
      </c>
      <c r="V9" t="s">
        <v>44</v>
      </c>
      <c r="W9" t="str">
        <f>IF(HR_Data[[#This Row],[age]]&lt;25,"Under 25",IF(HR_Data[[#This Row],[age]]&lt;35,"25-34",IF(HR_Data[[#This Row],[age]]&lt;45,"35-44",IF(HR_Data[[#This Row],[age]]&lt;55,"45-54","55+"))))</f>
        <v>25-34</v>
      </c>
      <c r="X9" t="str">
        <f t="shared" si="0"/>
        <v>Below 3,000</v>
      </c>
    </row>
    <row r="10" spans="1:24" x14ac:dyDescent="0.3">
      <c r="A10">
        <v>12</v>
      </c>
      <c r="B10">
        <v>38</v>
      </c>
      <c r="C10" t="s">
        <v>36</v>
      </c>
      <c r="D10" t="s">
        <v>37</v>
      </c>
      <c r="E10" t="s">
        <v>38</v>
      </c>
      <c r="F10">
        <v>23</v>
      </c>
      <c r="G10" t="s">
        <v>50</v>
      </c>
      <c r="H10" t="s">
        <v>26</v>
      </c>
      <c r="I10" t="s">
        <v>31</v>
      </c>
      <c r="J10" t="s">
        <v>40</v>
      </c>
      <c r="K10" t="s">
        <v>27</v>
      </c>
      <c r="L10" t="s">
        <v>52</v>
      </c>
      <c r="M10" t="s">
        <v>29</v>
      </c>
      <c r="N10" t="s">
        <v>32</v>
      </c>
      <c r="O10">
        <v>9526</v>
      </c>
      <c r="P10">
        <v>0</v>
      </c>
      <c r="Q10" t="s">
        <v>36</v>
      </c>
      <c r="R10">
        <v>21</v>
      </c>
      <c r="S10" t="s">
        <v>43</v>
      </c>
      <c r="T10" t="s">
        <v>27</v>
      </c>
      <c r="U10">
        <v>2</v>
      </c>
      <c r="V10" t="s">
        <v>44</v>
      </c>
      <c r="W10" t="str">
        <f>IF(HR_Data[[#This Row],[age]]&lt;25,"Under 25",IF(HR_Data[[#This Row],[age]]&lt;35,"25-34",IF(HR_Data[[#This Row],[age]]&lt;45,"35-44",IF(HR_Data[[#This Row],[age]]&lt;55,"45-54","55+"))))</f>
        <v>35-44</v>
      </c>
      <c r="X10" t="str">
        <f t="shared" si="0"/>
        <v>8,000+</v>
      </c>
    </row>
    <row r="11" spans="1:24" x14ac:dyDescent="0.3">
      <c r="A11">
        <v>13</v>
      </c>
      <c r="B11">
        <v>36</v>
      </c>
      <c r="C11" t="s">
        <v>36</v>
      </c>
      <c r="D11" t="s">
        <v>23</v>
      </c>
      <c r="E11" t="s">
        <v>38</v>
      </c>
      <c r="F11">
        <v>27</v>
      </c>
      <c r="G11" t="s">
        <v>50</v>
      </c>
      <c r="H11" t="s">
        <v>48</v>
      </c>
      <c r="I11" t="s">
        <v>29</v>
      </c>
      <c r="J11" t="s">
        <v>40</v>
      </c>
      <c r="K11" t="s">
        <v>29</v>
      </c>
      <c r="L11" t="s">
        <v>53</v>
      </c>
      <c r="M11" t="s">
        <v>29</v>
      </c>
      <c r="N11" t="s">
        <v>42</v>
      </c>
      <c r="O11">
        <v>5237</v>
      </c>
      <c r="P11">
        <v>6</v>
      </c>
      <c r="Q11" t="s">
        <v>36</v>
      </c>
      <c r="R11">
        <v>13</v>
      </c>
      <c r="S11" t="s">
        <v>33</v>
      </c>
      <c r="T11" t="s">
        <v>27</v>
      </c>
      <c r="U11">
        <v>3</v>
      </c>
      <c r="V11" t="s">
        <v>49</v>
      </c>
      <c r="W11" t="str">
        <f>IF(HR_Data[[#This Row],[age]]&lt;25,"Under 25",IF(HR_Data[[#This Row],[age]]&lt;35,"25-34",IF(HR_Data[[#This Row],[age]]&lt;45,"35-44",IF(HR_Data[[#This Row],[age]]&lt;55,"45-54","55+"))))</f>
        <v>35-44</v>
      </c>
      <c r="X11" t="str">
        <f t="shared" si="0"/>
        <v>5,000-7,999</v>
      </c>
    </row>
    <row r="12" spans="1:24" x14ac:dyDescent="0.3">
      <c r="A12">
        <v>14</v>
      </c>
      <c r="B12">
        <v>35</v>
      </c>
      <c r="C12" t="s">
        <v>36</v>
      </c>
      <c r="D12" t="s">
        <v>23</v>
      </c>
      <c r="E12" t="s">
        <v>38</v>
      </c>
      <c r="F12">
        <v>16</v>
      </c>
      <c r="G12" t="s">
        <v>50</v>
      </c>
      <c r="H12" t="s">
        <v>48</v>
      </c>
      <c r="I12" t="s">
        <v>34</v>
      </c>
      <c r="J12" t="s">
        <v>40</v>
      </c>
      <c r="K12" t="s">
        <v>31</v>
      </c>
      <c r="L12" t="s">
        <v>46</v>
      </c>
      <c r="M12" t="s">
        <v>27</v>
      </c>
      <c r="N12" t="s">
        <v>42</v>
      </c>
      <c r="O12">
        <v>2426</v>
      </c>
      <c r="P12">
        <v>0</v>
      </c>
      <c r="Q12" t="s">
        <v>36</v>
      </c>
      <c r="R12">
        <v>13</v>
      </c>
      <c r="S12" t="s">
        <v>33</v>
      </c>
      <c r="T12" t="s">
        <v>29</v>
      </c>
      <c r="U12">
        <v>5</v>
      </c>
      <c r="V12" t="s">
        <v>44</v>
      </c>
      <c r="W12" t="str">
        <f>IF(HR_Data[[#This Row],[age]]&lt;25,"Under 25",IF(HR_Data[[#This Row],[age]]&lt;35,"25-34",IF(HR_Data[[#This Row],[age]]&lt;45,"35-44",IF(HR_Data[[#This Row],[age]]&lt;55,"45-54","55+"))))</f>
        <v>35-44</v>
      </c>
      <c r="X12" t="str">
        <f t="shared" si="0"/>
        <v>Below 3,000</v>
      </c>
    </row>
    <row r="13" spans="1:24" x14ac:dyDescent="0.3">
      <c r="A13">
        <v>15</v>
      </c>
      <c r="B13">
        <v>29</v>
      </c>
      <c r="C13" t="s">
        <v>36</v>
      </c>
      <c r="D13" t="s">
        <v>23</v>
      </c>
      <c r="E13" t="s">
        <v>38</v>
      </c>
      <c r="F13">
        <v>15</v>
      </c>
      <c r="G13" t="s">
        <v>25</v>
      </c>
      <c r="H13" t="s">
        <v>26</v>
      </c>
      <c r="I13" t="s">
        <v>31</v>
      </c>
      <c r="J13" t="s">
        <v>28</v>
      </c>
      <c r="K13" t="s">
        <v>27</v>
      </c>
      <c r="L13" t="s">
        <v>46</v>
      </c>
      <c r="M13" t="s">
        <v>29</v>
      </c>
      <c r="N13" t="s">
        <v>32</v>
      </c>
      <c r="O13">
        <v>4193</v>
      </c>
      <c r="P13">
        <v>0</v>
      </c>
      <c r="Q13" t="s">
        <v>22</v>
      </c>
      <c r="R13">
        <v>12</v>
      </c>
      <c r="S13" t="s">
        <v>33</v>
      </c>
      <c r="T13" t="s">
        <v>31</v>
      </c>
      <c r="U13">
        <v>3</v>
      </c>
      <c r="V13" t="s">
        <v>44</v>
      </c>
      <c r="W13" t="str">
        <f>IF(HR_Data[[#This Row],[age]]&lt;25,"Under 25",IF(HR_Data[[#This Row],[age]]&lt;35,"25-34",IF(HR_Data[[#This Row],[age]]&lt;45,"35-44",IF(HR_Data[[#This Row],[age]]&lt;55,"45-54","55+"))))</f>
        <v>25-34</v>
      </c>
      <c r="X13" t="str">
        <f t="shared" si="0"/>
        <v>3,000-4,999</v>
      </c>
    </row>
    <row r="14" spans="1:24" x14ac:dyDescent="0.3">
      <c r="A14">
        <v>16</v>
      </c>
      <c r="B14">
        <v>31</v>
      </c>
      <c r="C14" t="s">
        <v>36</v>
      </c>
      <c r="D14" t="s">
        <v>23</v>
      </c>
      <c r="E14" t="s">
        <v>38</v>
      </c>
      <c r="F14">
        <v>26</v>
      </c>
      <c r="G14" t="s">
        <v>39</v>
      </c>
      <c r="H14" t="s">
        <v>26</v>
      </c>
      <c r="I14" t="s">
        <v>34</v>
      </c>
      <c r="J14" t="s">
        <v>40</v>
      </c>
      <c r="K14" t="s">
        <v>29</v>
      </c>
      <c r="L14" t="s">
        <v>41</v>
      </c>
      <c r="M14" t="s">
        <v>29</v>
      </c>
      <c r="N14" t="s">
        <v>51</v>
      </c>
      <c r="O14">
        <v>2911</v>
      </c>
      <c r="P14">
        <v>1</v>
      </c>
      <c r="Q14" t="s">
        <v>36</v>
      </c>
      <c r="R14">
        <v>17</v>
      </c>
      <c r="S14" t="s">
        <v>33</v>
      </c>
      <c r="T14" t="s">
        <v>31</v>
      </c>
      <c r="U14">
        <v>1</v>
      </c>
      <c r="V14" t="s">
        <v>49</v>
      </c>
      <c r="W14" t="str">
        <f>IF(HR_Data[[#This Row],[age]]&lt;25,"Under 25",IF(HR_Data[[#This Row],[age]]&lt;35,"25-34",IF(HR_Data[[#This Row],[age]]&lt;45,"35-44",IF(HR_Data[[#This Row],[age]]&lt;55,"45-54","55+"))))</f>
        <v>25-34</v>
      </c>
      <c r="X14" t="str">
        <f t="shared" si="0"/>
        <v>Below 3,000</v>
      </c>
    </row>
    <row r="15" spans="1:24" x14ac:dyDescent="0.3">
      <c r="A15">
        <v>18</v>
      </c>
      <c r="B15">
        <v>34</v>
      </c>
      <c r="C15" t="s">
        <v>36</v>
      </c>
      <c r="D15" t="s">
        <v>23</v>
      </c>
      <c r="E15" t="s">
        <v>38</v>
      </c>
      <c r="F15">
        <v>19</v>
      </c>
      <c r="G15" t="s">
        <v>25</v>
      </c>
      <c r="H15" t="s">
        <v>48</v>
      </c>
      <c r="I15" t="s">
        <v>27</v>
      </c>
      <c r="J15" t="s">
        <v>40</v>
      </c>
      <c r="K15" t="s">
        <v>29</v>
      </c>
      <c r="L15" t="s">
        <v>46</v>
      </c>
      <c r="M15" t="s">
        <v>31</v>
      </c>
      <c r="N15" t="s">
        <v>51</v>
      </c>
      <c r="O15">
        <v>2661</v>
      </c>
      <c r="P15">
        <v>0</v>
      </c>
      <c r="Q15" t="s">
        <v>36</v>
      </c>
      <c r="R15">
        <v>11</v>
      </c>
      <c r="S15" t="s">
        <v>33</v>
      </c>
      <c r="T15" t="s">
        <v>29</v>
      </c>
      <c r="U15">
        <v>2</v>
      </c>
      <c r="V15" t="s">
        <v>44</v>
      </c>
      <c r="W15" t="str">
        <f>IF(HR_Data[[#This Row],[age]]&lt;25,"Under 25",IF(HR_Data[[#This Row],[age]]&lt;35,"25-34",IF(HR_Data[[#This Row],[age]]&lt;45,"35-44",IF(HR_Data[[#This Row],[age]]&lt;55,"45-54","55+"))))</f>
        <v>25-34</v>
      </c>
      <c r="X15" t="str">
        <f t="shared" si="0"/>
        <v>Below 3,000</v>
      </c>
    </row>
    <row r="16" spans="1:24" x14ac:dyDescent="0.3">
      <c r="A16">
        <v>19</v>
      </c>
      <c r="B16">
        <v>28</v>
      </c>
      <c r="C16" t="s">
        <v>22</v>
      </c>
      <c r="D16" t="s">
        <v>23</v>
      </c>
      <c r="E16" t="s">
        <v>38</v>
      </c>
      <c r="F16">
        <v>24</v>
      </c>
      <c r="G16" t="s">
        <v>50</v>
      </c>
      <c r="H16" t="s">
        <v>26</v>
      </c>
      <c r="I16" t="s">
        <v>29</v>
      </c>
      <c r="J16" t="s">
        <v>40</v>
      </c>
      <c r="K16" t="s">
        <v>27</v>
      </c>
      <c r="L16" t="s">
        <v>46</v>
      </c>
      <c r="M16" t="s">
        <v>29</v>
      </c>
      <c r="N16" t="s">
        <v>32</v>
      </c>
      <c r="O16">
        <v>2028</v>
      </c>
      <c r="P16">
        <v>5</v>
      </c>
      <c r="Q16" t="s">
        <v>22</v>
      </c>
      <c r="R16">
        <v>14</v>
      </c>
      <c r="S16" t="s">
        <v>33</v>
      </c>
      <c r="T16" t="s">
        <v>27</v>
      </c>
      <c r="U16">
        <v>4</v>
      </c>
      <c r="V16" t="s">
        <v>44</v>
      </c>
      <c r="W16" t="str">
        <f>IF(HR_Data[[#This Row],[age]]&lt;25,"Under 25",IF(HR_Data[[#This Row],[age]]&lt;35,"25-34",IF(HR_Data[[#This Row],[age]]&lt;45,"35-44",IF(HR_Data[[#This Row],[age]]&lt;55,"45-54","55+"))))</f>
        <v>25-34</v>
      </c>
      <c r="X16" t="str">
        <f t="shared" si="0"/>
        <v>Below 3,000</v>
      </c>
    </row>
    <row r="17" spans="1:24" x14ac:dyDescent="0.3">
      <c r="A17">
        <v>20</v>
      </c>
      <c r="B17">
        <v>29</v>
      </c>
      <c r="C17" t="s">
        <v>36</v>
      </c>
      <c r="D17" t="s">
        <v>23</v>
      </c>
      <c r="E17" t="s">
        <v>38</v>
      </c>
      <c r="F17">
        <v>21</v>
      </c>
      <c r="G17" t="s">
        <v>47</v>
      </c>
      <c r="H17" t="s">
        <v>26</v>
      </c>
      <c r="I17" t="s">
        <v>27</v>
      </c>
      <c r="J17" t="s">
        <v>28</v>
      </c>
      <c r="K17" t="s">
        <v>31</v>
      </c>
      <c r="L17" t="s">
        <v>52</v>
      </c>
      <c r="M17" t="s">
        <v>34</v>
      </c>
      <c r="N17" t="s">
        <v>51</v>
      </c>
      <c r="O17">
        <v>9980</v>
      </c>
      <c r="P17">
        <v>1</v>
      </c>
      <c r="Q17" t="s">
        <v>36</v>
      </c>
      <c r="R17">
        <v>11</v>
      </c>
      <c r="S17" t="s">
        <v>33</v>
      </c>
      <c r="T17" t="s">
        <v>29</v>
      </c>
      <c r="U17">
        <v>1</v>
      </c>
      <c r="V17" t="s">
        <v>44</v>
      </c>
      <c r="W17" t="str">
        <f>IF(HR_Data[[#This Row],[age]]&lt;25,"Under 25",IF(HR_Data[[#This Row],[age]]&lt;35,"25-34",IF(HR_Data[[#This Row],[age]]&lt;45,"35-44",IF(HR_Data[[#This Row],[age]]&lt;55,"45-54","55+"))))</f>
        <v>25-34</v>
      </c>
      <c r="X17" t="str">
        <f t="shared" si="0"/>
        <v>8,000+</v>
      </c>
    </row>
    <row r="18" spans="1:24" x14ac:dyDescent="0.3">
      <c r="A18">
        <v>21</v>
      </c>
      <c r="B18">
        <v>32</v>
      </c>
      <c r="C18" t="s">
        <v>36</v>
      </c>
      <c r="D18" t="s">
        <v>23</v>
      </c>
      <c r="E18" t="s">
        <v>38</v>
      </c>
      <c r="F18">
        <v>5</v>
      </c>
      <c r="G18" t="s">
        <v>25</v>
      </c>
      <c r="H18" t="s">
        <v>26</v>
      </c>
      <c r="I18" t="s">
        <v>34</v>
      </c>
      <c r="J18" t="s">
        <v>40</v>
      </c>
      <c r="K18" t="s">
        <v>31</v>
      </c>
      <c r="L18" t="s">
        <v>41</v>
      </c>
      <c r="M18" t="s">
        <v>27</v>
      </c>
      <c r="N18" t="s">
        <v>51</v>
      </c>
      <c r="O18">
        <v>3298</v>
      </c>
      <c r="P18">
        <v>0</v>
      </c>
      <c r="Q18" t="s">
        <v>22</v>
      </c>
      <c r="R18">
        <v>12</v>
      </c>
      <c r="S18" t="s">
        <v>33</v>
      </c>
      <c r="T18" t="s">
        <v>31</v>
      </c>
      <c r="U18">
        <v>5</v>
      </c>
      <c r="V18" t="s">
        <v>49</v>
      </c>
      <c r="W18" t="str">
        <f>IF(HR_Data[[#This Row],[age]]&lt;25,"Under 25",IF(HR_Data[[#This Row],[age]]&lt;35,"25-34",IF(HR_Data[[#This Row],[age]]&lt;45,"35-44",IF(HR_Data[[#This Row],[age]]&lt;55,"45-54","55+"))))</f>
        <v>25-34</v>
      </c>
      <c r="X18" t="str">
        <f t="shared" si="0"/>
        <v>3,000-4,999</v>
      </c>
    </row>
    <row r="19" spans="1:24" x14ac:dyDescent="0.3">
      <c r="A19">
        <v>22</v>
      </c>
      <c r="B19">
        <v>22</v>
      </c>
      <c r="C19" t="s">
        <v>36</v>
      </c>
      <c r="D19" t="s">
        <v>54</v>
      </c>
      <c r="E19" t="s">
        <v>38</v>
      </c>
      <c r="F19">
        <v>16</v>
      </c>
      <c r="G19" t="s">
        <v>25</v>
      </c>
      <c r="H19" t="s">
        <v>48</v>
      </c>
      <c r="I19" t="s">
        <v>31</v>
      </c>
      <c r="J19" t="s">
        <v>40</v>
      </c>
      <c r="K19" t="s">
        <v>31</v>
      </c>
      <c r="L19" t="s">
        <v>46</v>
      </c>
      <c r="M19" t="s">
        <v>31</v>
      </c>
      <c r="N19" t="s">
        <v>51</v>
      </c>
      <c r="O19">
        <v>2935</v>
      </c>
      <c r="P19">
        <v>1</v>
      </c>
      <c r="Q19" t="s">
        <v>22</v>
      </c>
      <c r="R19">
        <v>13</v>
      </c>
      <c r="S19" t="s">
        <v>33</v>
      </c>
      <c r="T19" t="s">
        <v>27</v>
      </c>
      <c r="U19">
        <v>2</v>
      </c>
      <c r="V19" t="s">
        <v>49</v>
      </c>
      <c r="W19" t="str">
        <f>IF(HR_Data[[#This Row],[age]]&lt;25,"Under 25",IF(HR_Data[[#This Row],[age]]&lt;35,"25-34",IF(HR_Data[[#This Row],[age]]&lt;45,"35-44",IF(HR_Data[[#This Row],[age]]&lt;55,"45-54","55+"))))</f>
        <v>Under 25</v>
      </c>
      <c r="X19" t="str">
        <f t="shared" si="0"/>
        <v>Below 3,000</v>
      </c>
    </row>
    <row r="20" spans="1:24" x14ac:dyDescent="0.3">
      <c r="A20">
        <v>23</v>
      </c>
      <c r="B20">
        <v>53</v>
      </c>
      <c r="C20" t="s">
        <v>36</v>
      </c>
      <c r="D20" t="s">
        <v>23</v>
      </c>
      <c r="E20" t="s">
        <v>24</v>
      </c>
      <c r="F20">
        <v>2</v>
      </c>
      <c r="G20" t="s">
        <v>47</v>
      </c>
      <c r="H20" t="s">
        <v>26</v>
      </c>
      <c r="I20" t="s">
        <v>34</v>
      </c>
      <c r="J20" t="s">
        <v>28</v>
      </c>
      <c r="K20" t="s">
        <v>27</v>
      </c>
      <c r="L20" t="s">
        <v>55</v>
      </c>
      <c r="M20" t="s">
        <v>31</v>
      </c>
      <c r="N20" t="s">
        <v>42</v>
      </c>
      <c r="O20">
        <v>15427</v>
      </c>
      <c r="P20">
        <v>2</v>
      </c>
      <c r="Q20" t="s">
        <v>36</v>
      </c>
      <c r="R20">
        <v>16</v>
      </c>
      <c r="S20" t="s">
        <v>33</v>
      </c>
      <c r="T20" t="s">
        <v>29</v>
      </c>
      <c r="U20">
        <v>3</v>
      </c>
      <c r="V20" t="s">
        <v>44</v>
      </c>
      <c r="W20" t="str">
        <f>IF(HR_Data[[#This Row],[age]]&lt;25,"Under 25",IF(HR_Data[[#This Row],[age]]&lt;35,"25-34",IF(HR_Data[[#This Row],[age]]&lt;45,"35-44",IF(HR_Data[[#This Row],[age]]&lt;55,"45-54","55+"))))</f>
        <v>45-54</v>
      </c>
      <c r="X20" t="str">
        <f t="shared" si="0"/>
        <v>8,000+</v>
      </c>
    </row>
    <row r="21" spans="1:24" x14ac:dyDescent="0.3">
      <c r="A21">
        <v>24</v>
      </c>
      <c r="B21">
        <v>38</v>
      </c>
      <c r="C21" t="s">
        <v>36</v>
      </c>
      <c r="D21" t="s">
        <v>23</v>
      </c>
      <c r="E21" t="s">
        <v>38</v>
      </c>
      <c r="F21">
        <v>2</v>
      </c>
      <c r="G21" t="s">
        <v>50</v>
      </c>
      <c r="H21" t="s">
        <v>26</v>
      </c>
      <c r="I21" t="s">
        <v>31</v>
      </c>
      <c r="J21" t="s">
        <v>40</v>
      </c>
      <c r="K21" t="s">
        <v>29</v>
      </c>
      <c r="L21" t="s">
        <v>41</v>
      </c>
      <c r="M21" t="s">
        <v>31</v>
      </c>
      <c r="N21" t="s">
        <v>32</v>
      </c>
      <c r="O21">
        <v>3944</v>
      </c>
      <c r="P21">
        <v>5</v>
      </c>
      <c r="Q21" t="s">
        <v>22</v>
      </c>
      <c r="R21">
        <v>11</v>
      </c>
      <c r="S21" t="s">
        <v>33</v>
      </c>
      <c r="T21" t="s">
        <v>29</v>
      </c>
      <c r="U21">
        <v>3</v>
      </c>
      <c r="V21" t="s">
        <v>44</v>
      </c>
      <c r="W21" t="str">
        <f>IF(HR_Data[[#This Row],[age]]&lt;25,"Under 25",IF(HR_Data[[#This Row],[age]]&lt;35,"25-34",IF(HR_Data[[#This Row],[age]]&lt;45,"35-44",IF(HR_Data[[#This Row],[age]]&lt;55,"45-54","55+"))))</f>
        <v>35-44</v>
      </c>
      <c r="X21" t="str">
        <f t="shared" si="0"/>
        <v>3,000-4,999</v>
      </c>
    </row>
    <row r="22" spans="1:24" x14ac:dyDescent="0.3">
      <c r="A22">
        <v>26</v>
      </c>
      <c r="B22">
        <v>24</v>
      </c>
      <c r="C22" t="s">
        <v>36</v>
      </c>
      <c r="D22" t="s">
        <v>54</v>
      </c>
      <c r="E22" t="s">
        <v>38</v>
      </c>
      <c r="F22">
        <v>11</v>
      </c>
      <c r="G22" t="s">
        <v>25</v>
      </c>
      <c r="H22" t="s">
        <v>45</v>
      </c>
      <c r="I22" t="s">
        <v>34</v>
      </c>
      <c r="J22" t="s">
        <v>28</v>
      </c>
      <c r="K22" t="s">
        <v>31</v>
      </c>
      <c r="L22" t="s">
        <v>52</v>
      </c>
      <c r="M22" t="s">
        <v>29</v>
      </c>
      <c r="N22" t="s">
        <v>51</v>
      </c>
      <c r="O22">
        <v>4011</v>
      </c>
      <c r="P22">
        <v>0</v>
      </c>
      <c r="Q22" t="s">
        <v>36</v>
      </c>
      <c r="R22">
        <v>18</v>
      </c>
      <c r="S22" t="s">
        <v>33</v>
      </c>
      <c r="T22" t="s">
        <v>31</v>
      </c>
      <c r="U22">
        <v>5</v>
      </c>
      <c r="V22" t="s">
        <v>49</v>
      </c>
      <c r="W22" t="str">
        <f>IF(HR_Data[[#This Row],[age]]&lt;25,"Under 25",IF(HR_Data[[#This Row],[age]]&lt;35,"25-34",IF(HR_Data[[#This Row],[age]]&lt;45,"35-44",IF(HR_Data[[#This Row],[age]]&lt;55,"45-54","55+"))))</f>
        <v>Under 25</v>
      </c>
      <c r="X22" t="str">
        <f t="shared" si="0"/>
        <v>3,000-4,999</v>
      </c>
    </row>
    <row r="23" spans="1:24" x14ac:dyDescent="0.3">
      <c r="A23">
        <v>27</v>
      </c>
      <c r="B23">
        <v>36</v>
      </c>
      <c r="C23" t="s">
        <v>22</v>
      </c>
      <c r="D23" t="s">
        <v>23</v>
      </c>
      <c r="E23" t="s">
        <v>24</v>
      </c>
      <c r="F23">
        <v>9</v>
      </c>
      <c r="G23" t="s">
        <v>47</v>
      </c>
      <c r="H23" t="s">
        <v>26</v>
      </c>
      <c r="I23" t="s">
        <v>29</v>
      </c>
      <c r="J23" t="s">
        <v>40</v>
      </c>
      <c r="K23" t="s">
        <v>27</v>
      </c>
      <c r="L23" t="s">
        <v>56</v>
      </c>
      <c r="M23" t="s">
        <v>34</v>
      </c>
      <c r="N23" t="s">
        <v>32</v>
      </c>
      <c r="O23">
        <v>3407</v>
      </c>
      <c r="P23">
        <v>7</v>
      </c>
      <c r="Q23" t="s">
        <v>36</v>
      </c>
      <c r="R23">
        <v>23</v>
      </c>
      <c r="S23" t="s">
        <v>43</v>
      </c>
      <c r="T23" t="s">
        <v>27</v>
      </c>
      <c r="U23">
        <v>4</v>
      </c>
      <c r="V23" t="s">
        <v>44</v>
      </c>
      <c r="W23" t="str">
        <f>IF(HR_Data[[#This Row],[age]]&lt;25,"Under 25",IF(HR_Data[[#This Row],[age]]&lt;35,"25-34",IF(HR_Data[[#This Row],[age]]&lt;45,"35-44",IF(HR_Data[[#This Row],[age]]&lt;55,"45-54","55+"))))</f>
        <v>35-44</v>
      </c>
      <c r="X23" t="str">
        <f t="shared" si="0"/>
        <v>3,000-4,999</v>
      </c>
    </row>
    <row r="24" spans="1:24" x14ac:dyDescent="0.3">
      <c r="A24">
        <v>28</v>
      </c>
      <c r="B24">
        <v>34</v>
      </c>
      <c r="C24" t="s">
        <v>36</v>
      </c>
      <c r="D24" t="s">
        <v>23</v>
      </c>
      <c r="E24" t="s">
        <v>38</v>
      </c>
      <c r="F24">
        <v>7</v>
      </c>
      <c r="G24" t="s">
        <v>47</v>
      </c>
      <c r="H24" t="s">
        <v>26</v>
      </c>
      <c r="I24" t="s">
        <v>34</v>
      </c>
      <c r="J24" t="s">
        <v>28</v>
      </c>
      <c r="K24" t="s">
        <v>29</v>
      </c>
      <c r="L24" t="s">
        <v>57</v>
      </c>
      <c r="M24" t="s">
        <v>27</v>
      </c>
      <c r="N24" t="s">
        <v>32</v>
      </c>
      <c r="O24">
        <v>11994</v>
      </c>
      <c r="P24">
        <v>0</v>
      </c>
      <c r="Q24" t="s">
        <v>36</v>
      </c>
      <c r="R24">
        <v>11</v>
      </c>
      <c r="S24" t="s">
        <v>33</v>
      </c>
      <c r="T24" t="s">
        <v>29</v>
      </c>
      <c r="U24">
        <v>4</v>
      </c>
      <c r="V24" t="s">
        <v>44</v>
      </c>
      <c r="W24" t="str">
        <f>IF(HR_Data[[#This Row],[age]]&lt;25,"Under 25",IF(HR_Data[[#This Row],[age]]&lt;35,"25-34",IF(HR_Data[[#This Row],[age]]&lt;45,"35-44",IF(HR_Data[[#This Row],[age]]&lt;55,"45-54","55+"))))</f>
        <v>25-34</v>
      </c>
      <c r="X24" t="str">
        <f t="shared" si="0"/>
        <v>8,000+</v>
      </c>
    </row>
    <row r="25" spans="1:24" x14ac:dyDescent="0.3">
      <c r="A25">
        <v>30</v>
      </c>
      <c r="B25">
        <v>21</v>
      </c>
      <c r="C25" t="s">
        <v>36</v>
      </c>
      <c r="D25" t="s">
        <v>23</v>
      </c>
      <c r="E25" t="s">
        <v>38</v>
      </c>
      <c r="F25">
        <v>15</v>
      </c>
      <c r="G25" t="s">
        <v>25</v>
      </c>
      <c r="H25" t="s">
        <v>26</v>
      </c>
      <c r="I25" t="s">
        <v>29</v>
      </c>
      <c r="J25" t="s">
        <v>40</v>
      </c>
      <c r="K25" t="s">
        <v>29</v>
      </c>
      <c r="L25" t="s">
        <v>41</v>
      </c>
      <c r="M25" t="s">
        <v>31</v>
      </c>
      <c r="N25" t="s">
        <v>32</v>
      </c>
      <c r="O25">
        <v>1232</v>
      </c>
      <c r="P25">
        <v>1</v>
      </c>
      <c r="Q25" t="s">
        <v>36</v>
      </c>
      <c r="R25">
        <v>14</v>
      </c>
      <c r="S25" t="s">
        <v>33</v>
      </c>
      <c r="T25" t="s">
        <v>31</v>
      </c>
      <c r="U25">
        <v>6</v>
      </c>
      <c r="V25" t="s">
        <v>44</v>
      </c>
      <c r="W25" t="str">
        <f>IF(HR_Data[[#This Row],[age]]&lt;25,"Under 25",IF(HR_Data[[#This Row],[age]]&lt;35,"25-34",IF(HR_Data[[#This Row],[age]]&lt;45,"35-44",IF(HR_Data[[#This Row],[age]]&lt;55,"45-54","55+"))))</f>
        <v>Under 25</v>
      </c>
      <c r="X25" t="str">
        <f t="shared" si="0"/>
        <v>Below 3,000</v>
      </c>
    </row>
    <row r="26" spans="1:24" x14ac:dyDescent="0.3">
      <c r="A26">
        <v>31</v>
      </c>
      <c r="B26">
        <v>34</v>
      </c>
      <c r="C26" t="s">
        <v>22</v>
      </c>
      <c r="D26" t="s">
        <v>23</v>
      </c>
      <c r="E26" t="s">
        <v>38</v>
      </c>
      <c r="F26">
        <v>6</v>
      </c>
      <c r="G26" t="s">
        <v>39</v>
      </c>
      <c r="H26" t="s">
        <v>48</v>
      </c>
      <c r="I26" t="s">
        <v>27</v>
      </c>
      <c r="J26" t="s">
        <v>40</v>
      </c>
      <c r="K26" t="s">
        <v>29</v>
      </c>
      <c r="L26" t="s">
        <v>41</v>
      </c>
      <c r="M26" t="s">
        <v>34</v>
      </c>
      <c r="N26" t="s">
        <v>32</v>
      </c>
      <c r="O26">
        <v>2960</v>
      </c>
      <c r="P26">
        <v>2</v>
      </c>
      <c r="Q26" t="s">
        <v>36</v>
      </c>
      <c r="R26">
        <v>11</v>
      </c>
      <c r="S26" t="s">
        <v>33</v>
      </c>
      <c r="T26" t="s">
        <v>29</v>
      </c>
      <c r="U26">
        <v>2</v>
      </c>
      <c r="V26" t="s">
        <v>44</v>
      </c>
      <c r="W26" t="str">
        <f>IF(HR_Data[[#This Row],[age]]&lt;25,"Under 25",IF(HR_Data[[#This Row],[age]]&lt;35,"25-34",IF(HR_Data[[#This Row],[age]]&lt;45,"35-44",IF(HR_Data[[#This Row],[age]]&lt;55,"45-54","55+"))))</f>
        <v>25-34</v>
      </c>
      <c r="X26" t="str">
        <f t="shared" si="0"/>
        <v>Below 3,000</v>
      </c>
    </row>
    <row r="27" spans="1:24" x14ac:dyDescent="0.3">
      <c r="A27">
        <v>32</v>
      </c>
      <c r="B27">
        <v>53</v>
      </c>
      <c r="C27" t="s">
        <v>36</v>
      </c>
      <c r="D27" t="s">
        <v>23</v>
      </c>
      <c r="E27" t="s">
        <v>38</v>
      </c>
      <c r="F27">
        <v>5</v>
      </c>
      <c r="G27" t="s">
        <v>50</v>
      </c>
      <c r="H27" t="s">
        <v>45</v>
      </c>
      <c r="I27" t="s">
        <v>29</v>
      </c>
      <c r="J27" t="s">
        <v>28</v>
      </c>
      <c r="K27" t="s">
        <v>29</v>
      </c>
      <c r="L27" t="s">
        <v>55</v>
      </c>
      <c r="M27" t="s">
        <v>29</v>
      </c>
      <c r="N27" t="s">
        <v>51</v>
      </c>
      <c r="O27">
        <v>19094</v>
      </c>
      <c r="P27">
        <v>4</v>
      </c>
      <c r="Q27" t="s">
        <v>36</v>
      </c>
      <c r="R27">
        <v>11</v>
      </c>
      <c r="S27" t="s">
        <v>33</v>
      </c>
      <c r="T27" t="s">
        <v>31</v>
      </c>
      <c r="U27">
        <v>3</v>
      </c>
      <c r="V27" t="s">
        <v>49</v>
      </c>
      <c r="W27" t="str">
        <f>IF(HR_Data[[#This Row],[age]]&lt;25,"Under 25",IF(HR_Data[[#This Row],[age]]&lt;35,"25-34",IF(HR_Data[[#This Row],[age]]&lt;45,"35-44",IF(HR_Data[[#This Row],[age]]&lt;55,"45-54","55+"))))</f>
        <v>45-54</v>
      </c>
      <c r="X27" t="str">
        <f t="shared" si="0"/>
        <v>8,000+</v>
      </c>
    </row>
    <row r="28" spans="1:24" x14ac:dyDescent="0.3">
      <c r="A28">
        <v>33</v>
      </c>
      <c r="B28">
        <v>32</v>
      </c>
      <c r="C28" t="s">
        <v>22</v>
      </c>
      <c r="D28" t="s">
        <v>37</v>
      </c>
      <c r="E28" t="s">
        <v>38</v>
      </c>
      <c r="F28">
        <v>16</v>
      </c>
      <c r="G28" t="s">
        <v>39</v>
      </c>
      <c r="H28" t="s">
        <v>26</v>
      </c>
      <c r="I28" t="s">
        <v>27</v>
      </c>
      <c r="J28" t="s">
        <v>28</v>
      </c>
      <c r="K28" t="s">
        <v>34</v>
      </c>
      <c r="L28" t="s">
        <v>41</v>
      </c>
      <c r="M28" t="s">
        <v>34</v>
      </c>
      <c r="N28" t="s">
        <v>32</v>
      </c>
      <c r="O28">
        <v>3919</v>
      </c>
      <c r="P28">
        <v>1</v>
      </c>
      <c r="Q28" t="s">
        <v>22</v>
      </c>
      <c r="R28">
        <v>22</v>
      </c>
      <c r="S28" t="s">
        <v>43</v>
      </c>
      <c r="T28" t="s">
        <v>27</v>
      </c>
      <c r="U28">
        <v>5</v>
      </c>
      <c r="V28" t="s">
        <v>44</v>
      </c>
      <c r="W28" t="str">
        <f>IF(HR_Data[[#This Row],[age]]&lt;25,"Under 25",IF(HR_Data[[#This Row],[age]]&lt;35,"25-34",IF(HR_Data[[#This Row],[age]]&lt;45,"35-44",IF(HR_Data[[#This Row],[age]]&lt;55,"45-54","55+"))))</f>
        <v>25-34</v>
      </c>
      <c r="X28" t="str">
        <f t="shared" si="0"/>
        <v>3,000-4,999</v>
      </c>
    </row>
    <row r="29" spans="1:24" x14ac:dyDescent="0.3">
      <c r="A29">
        <v>35</v>
      </c>
      <c r="B29">
        <v>42</v>
      </c>
      <c r="C29" t="s">
        <v>36</v>
      </c>
      <c r="D29" t="s">
        <v>23</v>
      </c>
      <c r="E29" t="s">
        <v>24</v>
      </c>
      <c r="F29">
        <v>8</v>
      </c>
      <c r="G29" t="s">
        <v>47</v>
      </c>
      <c r="H29" t="s">
        <v>58</v>
      </c>
      <c r="I29" t="s">
        <v>29</v>
      </c>
      <c r="J29" t="s">
        <v>40</v>
      </c>
      <c r="K29" t="s">
        <v>29</v>
      </c>
      <c r="L29" t="s">
        <v>30</v>
      </c>
      <c r="M29" t="s">
        <v>27</v>
      </c>
      <c r="N29" t="s">
        <v>42</v>
      </c>
      <c r="O29">
        <v>6825</v>
      </c>
      <c r="P29">
        <v>0</v>
      </c>
      <c r="Q29" t="s">
        <v>36</v>
      </c>
      <c r="R29">
        <v>11</v>
      </c>
      <c r="S29" t="s">
        <v>33</v>
      </c>
      <c r="T29" t="s">
        <v>31</v>
      </c>
      <c r="U29">
        <v>2</v>
      </c>
      <c r="V29" t="s">
        <v>44</v>
      </c>
      <c r="W29" t="str">
        <f>IF(HR_Data[[#This Row],[age]]&lt;25,"Under 25",IF(HR_Data[[#This Row],[age]]&lt;35,"25-34",IF(HR_Data[[#This Row],[age]]&lt;45,"35-44",IF(HR_Data[[#This Row],[age]]&lt;55,"45-54","55+"))))</f>
        <v>35-44</v>
      </c>
      <c r="X29" t="str">
        <f t="shared" si="0"/>
        <v>5,000-7,999</v>
      </c>
    </row>
    <row r="30" spans="1:24" x14ac:dyDescent="0.3">
      <c r="A30">
        <v>36</v>
      </c>
      <c r="B30">
        <v>44</v>
      </c>
      <c r="C30" t="s">
        <v>36</v>
      </c>
      <c r="D30" t="s">
        <v>23</v>
      </c>
      <c r="E30" t="s">
        <v>38</v>
      </c>
      <c r="F30">
        <v>7</v>
      </c>
      <c r="G30" t="s">
        <v>47</v>
      </c>
      <c r="H30" t="s">
        <v>48</v>
      </c>
      <c r="I30" t="s">
        <v>34</v>
      </c>
      <c r="J30" t="s">
        <v>28</v>
      </c>
      <c r="K30" t="s">
        <v>27</v>
      </c>
      <c r="L30" t="s">
        <v>53</v>
      </c>
      <c r="M30" t="s">
        <v>31</v>
      </c>
      <c r="N30" t="s">
        <v>42</v>
      </c>
      <c r="O30">
        <v>10248</v>
      </c>
      <c r="P30">
        <v>3</v>
      </c>
      <c r="Q30" t="s">
        <v>36</v>
      </c>
      <c r="R30">
        <v>14</v>
      </c>
      <c r="S30" t="s">
        <v>33</v>
      </c>
      <c r="T30" t="s">
        <v>31</v>
      </c>
      <c r="U30">
        <v>4</v>
      </c>
      <c r="V30" t="s">
        <v>44</v>
      </c>
      <c r="W30" t="str">
        <f>IF(HR_Data[[#This Row],[age]]&lt;25,"Under 25",IF(HR_Data[[#This Row],[age]]&lt;35,"25-34",IF(HR_Data[[#This Row],[age]]&lt;45,"35-44",IF(HR_Data[[#This Row],[age]]&lt;55,"45-54","55+"))))</f>
        <v>35-44</v>
      </c>
      <c r="X30" t="str">
        <f t="shared" si="0"/>
        <v>8,000+</v>
      </c>
    </row>
    <row r="31" spans="1:24" x14ac:dyDescent="0.3">
      <c r="A31">
        <v>38</v>
      </c>
      <c r="B31">
        <v>46</v>
      </c>
      <c r="C31" t="s">
        <v>36</v>
      </c>
      <c r="D31" t="s">
        <v>23</v>
      </c>
      <c r="E31" t="s">
        <v>24</v>
      </c>
      <c r="F31">
        <v>2</v>
      </c>
      <c r="G31" t="s">
        <v>47</v>
      </c>
      <c r="H31" t="s">
        <v>58</v>
      </c>
      <c r="I31" t="s">
        <v>27</v>
      </c>
      <c r="J31" t="s">
        <v>28</v>
      </c>
      <c r="K31" t="s">
        <v>29</v>
      </c>
      <c r="L31" t="s">
        <v>55</v>
      </c>
      <c r="M31" t="s">
        <v>34</v>
      </c>
      <c r="N31" t="s">
        <v>32</v>
      </c>
      <c r="O31">
        <v>18947</v>
      </c>
      <c r="P31">
        <v>3</v>
      </c>
      <c r="Q31" t="s">
        <v>36</v>
      </c>
      <c r="R31">
        <v>12</v>
      </c>
      <c r="S31" t="s">
        <v>33</v>
      </c>
      <c r="T31" t="s">
        <v>31</v>
      </c>
      <c r="U31">
        <v>2</v>
      </c>
      <c r="V31" t="s">
        <v>49</v>
      </c>
      <c r="W31" t="str">
        <f>IF(HR_Data[[#This Row],[age]]&lt;25,"Under 25",IF(HR_Data[[#This Row],[age]]&lt;35,"25-34",IF(HR_Data[[#This Row],[age]]&lt;45,"35-44",IF(HR_Data[[#This Row],[age]]&lt;55,"45-54","55+"))))</f>
        <v>45-54</v>
      </c>
      <c r="X31" t="str">
        <f t="shared" si="0"/>
        <v>8,000+</v>
      </c>
    </row>
    <row r="32" spans="1:24" x14ac:dyDescent="0.3">
      <c r="A32">
        <v>39</v>
      </c>
      <c r="B32">
        <v>33</v>
      </c>
      <c r="C32" t="s">
        <v>36</v>
      </c>
      <c r="D32" t="s">
        <v>23</v>
      </c>
      <c r="E32" t="s">
        <v>38</v>
      </c>
      <c r="F32">
        <v>2</v>
      </c>
      <c r="G32" t="s">
        <v>50</v>
      </c>
      <c r="H32" t="s">
        <v>48</v>
      </c>
      <c r="I32" t="s">
        <v>29</v>
      </c>
      <c r="J32" t="s">
        <v>40</v>
      </c>
      <c r="K32" t="s">
        <v>29</v>
      </c>
      <c r="L32" t="s">
        <v>46</v>
      </c>
      <c r="M32" t="s">
        <v>31</v>
      </c>
      <c r="N32" t="s">
        <v>32</v>
      </c>
      <c r="O32">
        <v>2496</v>
      </c>
      <c r="P32">
        <v>4</v>
      </c>
      <c r="Q32" t="s">
        <v>36</v>
      </c>
      <c r="R32">
        <v>11</v>
      </c>
      <c r="S32" t="s">
        <v>33</v>
      </c>
      <c r="T32" t="s">
        <v>31</v>
      </c>
      <c r="U32">
        <v>3</v>
      </c>
      <c r="V32" t="s">
        <v>44</v>
      </c>
      <c r="W32" t="str">
        <f>IF(HR_Data[[#This Row],[age]]&lt;25,"Under 25",IF(HR_Data[[#This Row],[age]]&lt;35,"25-34",IF(HR_Data[[#This Row],[age]]&lt;45,"35-44",IF(HR_Data[[#This Row],[age]]&lt;55,"45-54","55+"))))</f>
        <v>25-34</v>
      </c>
      <c r="X32" t="str">
        <f t="shared" si="0"/>
        <v>Below 3,000</v>
      </c>
    </row>
    <row r="33" spans="1:24" x14ac:dyDescent="0.3">
      <c r="A33">
        <v>40</v>
      </c>
      <c r="B33">
        <v>44</v>
      </c>
      <c r="C33" t="s">
        <v>36</v>
      </c>
      <c r="D33" t="s">
        <v>23</v>
      </c>
      <c r="E33" t="s">
        <v>38</v>
      </c>
      <c r="F33">
        <v>10</v>
      </c>
      <c r="G33" t="s">
        <v>47</v>
      </c>
      <c r="H33" t="s">
        <v>45</v>
      </c>
      <c r="I33" t="s">
        <v>31</v>
      </c>
      <c r="J33" t="s">
        <v>40</v>
      </c>
      <c r="K33" t="s">
        <v>29</v>
      </c>
      <c r="L33" t="s">
        <v>53</v>
      </c>
      <c r="M33" t="s">
        <v>31</v>
      </c>
      <c r="N33" t="s">
        <v>42</v>
      </c>
      <c r="O33">
        <v>6465</v>
      </c>
      <c r="P33">
        <v>2</v>
      </c>
      <c r="Q33" t="s">
        <v>22</v>
      </c>
      <c r="R33">
        <v>13</v>
      </c>
      <c r="S33" t="s">
        <v>33</v>
      </c>
      <c r="T33" t="s">
        <v>31</v>
      </c>
      <c r="U33">
        <v>5</v>
      </c>
      <c r="V33" t="s">
        <v>59</v>
      </c>
      <c r="W33" t="str">
        <f>IF(HR_Data[[#This Row],[age]]&lt;25,"Under 25",IF(HR_Data[[#This Row],[age]]&lt;35,"25-34",IF(HR_Data[[#This Row],[age]]&lt;45,"35-44",IF(HR_Data[[#This Row],[age]]&lt;55,"45-54","55+"))))</f>
        <v>35-44</v>
      </c>
      <c r="X33" t="str">
        <f t="shared" si="0"/>
        <v>5,000-7,999</v>
      </c>
    </row>
    <row r="34" spans="1:24" x14ac:dyDescent="0.3">
      <c r="A34">
        <v>41</v>
      </c>
      <c r="B34">
        <v>30</v>
      </c>
      <c r="C34" t="s">
        <v>36</v>
      </c>
      <c r="D34" t="s">
        <v>23</v>
      </c>
      <c r="E34" t="s">
        <v>38</v>
      </c>
      <c r="F34">
        <v>9</v>
      </c>
      <c r="G34" t="s">
        <v>25</v>
      </c>
      <c r="H34" t="s">
        <v>48</v>
      </c>
      <c r="I34" t="s">
        <v>31</v>
      </c>
      <c r="J34" t="s">
        <v>40</v>
      </c>
      <c r="K34" t="s">
        <v>27</v>
      </c>
      <c r="L34" t="s">
        <v>46</v>
      </c>
      <c r="M34" t="s">
        <v>29</v>
      </c>
      <c r="N34" t="s">
        <v>32</v>
      </c>
      <c r="O34">
        <v>2206</v>
      </c>
      <c r="P34">
        <v>1</v>
      </c>
      <c r="Q34" t="s">
        <v>36</v>
      </c>
      <c r="R34">
        <v>13</v>
      </c>
      <c r="S34" t="s">
        <v>33</v>
      </c>
      <c r="T34" t="s">
        <v>34</v>
      </c>
      <c r="U34">
        <v>5</v>
      </c>
      <c r="V34" t="s">
        <v>44</v>
      </c>
      <c r="W34" t="str">
        <f>IF(HR_Data[[#This Row],[age]]&lt;25,"Under 25",IF(HR_Data[[#This Row],[age]]&lt;35,"25-34",IF(HR_Data[[#This Row],[age]]&lt;45,"35-44",IF(HR_Data[[#This Row],[age]]&lt;55,"45-54","55+"))))</f>
        <v>25-34</v>
      </c>
      <c r="X34" t="str">
        <f t="shared" si="0"/>
        <v>Below 3,000</v>
      </c>
    </row>
    <row r="35" spans="1:24" x14ac:dyDescent="0.3">
      <c r="A35">
        <v>42</v>
      </c>
      <c r="B35">
        <v>39</v>
      </c>
      <c r="C35" t="s">
        <v>22</v>
      </c>
      <c r="D35" t="s">
        <v>23</v>
      </c>
      <c r="E35" t="s">
        <v>24</v>
      </c>
      <c r="F35">
        <v>5</v>
      </c>
      <c r="G35" t="s">
        <v>50</v>
      </c>
      <c r="H35" t="s">
        <v>60</v>
      </c>
      <c r="I35" t="s">
        <v>31</v>
      </c>
      <c r="J35" t="s">
        <v>40</v>
      </c>
      <c r="K35" t="s">
        <v>29</v>
      </c>
      <c r="L35" t="s">
        <v>56</v>
      </c>
      <c r="M35" t="s">
        <v>31</v>
      </c>
      <c r="N35" t="s">
        <v>42</v>
      </c>
      <c r="O35">
        <v>2086</v>
      </c>
      <c r="P35">
        <v>3</v>
      </c>
      <c r="Q35" t="s">
        <v>36</v>
      </c>
      <c r="R35">
        <v>14</v>
      </c>
      <c r="S35" t="s">
        <v>33</v>
      </c>
      <c r="T35" t="s">
        <v>29</v>
      </c>
      <c r="U35">
        <v>6</v>
      </c>
      <c r="V35" t="s">
        <v>59</v>
      </c>
      <c r="W35" t="str">
        <f>IF(HR_Data[[#This Row],[age]]&lt;25,"Under 25",IF(HR_Data[[#This Row],[age]]&lt;35,"25-34",IF(HR_Data[[#This Row],[age]]&lt;45,"35-44",IF(HR_Data[[#This Row],[age]]&lt;55,"45-54","55+"))))</f>
        <v>35-44</v>
      </c>
      <c r="X35" t="str">
        <f t="shared" si="0"/>
        <v>Below 3,000</v>
      </c>
    </row>
    <row r="36" spans="1:24" x14ac:dyDescent="0.3">
      <c r="A36">
        <v>45</v>
      </c>
      <c r="B36">
        <v>24</v>
      </c>
      <c r="C36" t="s">
        <v>22</v>
      </c>
      <c r="D36" t="s">
        <v>23</v>
      </c>
      <c r="E36" t="s">
        <v>38</v>
      </c>
      <c r="F36">
        <v>1</v>
      </c>
      <c r="G36" t="s">
        <v>50</v>
      </c>
      <c r="H36" t="s">
        <v>48</v>
      </c>
      <c r="I36" t="s">
        <v>27</v>
      </c>
      <c r="J36" t="s">
        <v>40</v>
      </c>
      <c r="K36" t="s">
        <v>29</v>
      </c>
      <c r="L36" t="s">
        <v>41</v>
      </c>
      <c r="M36" t="s">
        <v>31</v>
      </c>
      <c r="N36" t="s">
        <v>42</v>
      </c>
      <c r="O36">
        <v>2293</v>
      </c>
      <c r="P36">
        <v>2</v>
      </c>
      <c r="Q36" t="s">
        <v>22</v>
      </c>
      <c r="R36">
        <v>16</v>
      </c>
      <c r="S36" t="s">
        <v>33</v>
      </c>
      <c r="T36" t="s">
        <v>34</v>
      </c>
      <c r="U36">
        <v>2</v>
      </c>
      <c r="V36" t="s">
        <v>49</v>
      </c>
      <c r="W36" t="str">
        <f>IF(HR_Data[[#This Row],[age]]&lt;25,"Under 25",IF(HR_Data[[#This Row],[age]]&lt;35,"25-34",IF(HR_Data[[#This Row],[age]]&lt;45,"35-44",IF(HR_Data[[#This Row],[age]]&lt;55,"45-54","55+"))))</f>
        <v>Under 25</v>
      </c>
      <c r="X36" t="str">
        <f t="shared" si="0"/>
        <v>Below 3,000</v>
      </c>
    </row>
    <row r="37" spans="1:24" x14ac:dyDescent="0.3">
      <c r="A37">
        <v>46</v>
      </c>
      <c r="B37">
        <v>43</v>
      </c>
      <c r="C37" t="s">
        <v>36</v>
      </c>
      <c r="D37" t="s">
        <v>23</v>
      </c>
      <c r="E37" t="s">
        <v>38</v>
      </c>
      <c r="F37">
        <v>2</v>
      </c>
      <c r="G37" t="s">
        <v>25</v>
      </c>
      <c r="H37" t="s">
        <v>48</v>
      </c>
      <c r="I37" t="s">
        <v>31</v>
      </c>
      <c r="J37" t="s">
        <v>28</v>
      </c>
      <c r="K37" t="s">
        <v>31</v>
      </c>
      <c r="L37" t="s">
        <v>41</v>
      </c>
      <c r="M37" t="s">
        <v>29</v>
      </c>
      <c r="N37" t="s">
        <v>51</v>
      </c>
      <c r="O37">
        <v>2645</v>
      </c>
      <c r="P37">
        <v>1</v>
      </c>
      <c r="Q37" t="s">
        <v>36</v>
      </c>
      <c r="R37">
        <v>12</v>
      </c>
      <c r="S37" t="s">
        <v>33</v>
      </c>
      <c r="T37" t="s">
        <v>31</v>
      </c>
      <c r="U37">
        <v>3</v>
      </c>
      <c r="V37" t="s">
        <v>49</v>
      </c>
      <c r="W37" t="str">
        <f>IF(HR_Data[[#This Row],[age]]&lt;25,"Under 25",IF(HR_Data[[#This Row],[age]]&lt;35,"25-34",IF(HR_Data[[#This Row],[age]]&lt;45,"35-44",IF(HR_Data[[#This Row],[age]]&lt;55,"45-54","55+"))))</f>
        <v>35-44</v>
      </c>
      <c r="X37" t="str">
        <f t="shared" si="0"/>
        <v>Below 3,000</v>
      </c>
    </row>
    <row r="38" spans="1:24" x14ac:dyDescent="0.3">
      <c r="A38">
        <v>47</v>
      </c>
      <c r="B38">
        <v>50</v>
      </c>
      <c r="C38" t="s">
        <v>22</v>
      </c>
      <c r="D38" t="s">
        <v>23</v>
      </c>
      <c r="E38" t="s">
        <v>24</v>
      </c>
      <c r="F38">
        <v>3</v>
      </c>
      <c r="G38" t="s">
        <v>25</v>
      </c>
      <c r="H38" t="s">
        <v>58</v>
      </c>
      <c r="I38" t="s">
        <v>34</v>
      </c>
      <c r="J38" t="s">
        <v>40</v>
      </c>
      <c r="K38" t="s">
        <v>27</v>
      </c>
      <c r="L38" t="s">
        <v>56</v>
      </c>
      <c r="M38" t="s">
        <v>29</v>
      </c>
      <c r="N38" t="s">
        <v>42</v>
      </c>
      <c r="O38">
        <v>2683</v>
      </c>
      <c r="P38">
        <v>1</v>
      </c>
      <c r="Q38" t="s">
        <v>22</v>
      </c>
      <c r="R38">
        <v>14</v>
      </c>
      <c r="S38" t="s">
        <v>33</v>
      </c>
      <c r="T38" t="s">
        <v>29</v>
      </c>
      <c r="U38">
        <v>2</v>
      </c>
      <c r="V38" t="s">
        <v>44</v>
      </c>
      <c r="W38" t="str">
        <f>IF(HR_Data[[#This Row],[age]]&lt;25,"Under 25",IF(HR_Data[[#This Row],[age]]&lt;35,"25-34",IF(HR_Data[[#This Row],[age]]&lt;45,"35-44",IF(HR_Data[[#This Row],[age]]&lt;55,"45-54","55+"))))</f>
        <v>45-54</v>
      </c>
      <c r="X38" t="str">
        <f t="shared" si="0"/>
        <v>Below 3,000</v>
      </c>
    </row>
    <row r="39" spans="1:24" x14ac:dyDescent="0.3">
      <c r="A39">
        <v>49</v>
      </c>
      <c r="B39">
        <v>35</v>
      </c>
      <c r="C39" t="s">
        <v>36</v>
      </c>
      <c r="D39" t="s">
        <v>23</v>
      </c>
      <c r="E39" t="s">
        <v>24</v>
      </c>
      <c r="F39">
        <v>2</v>
      </c>
      <c r="G39" t="s">
        <v>50</v>
      </c>
      <c r="H39" t="s">
        <v>58</v>
      </c>
      <c r="I39" t="s">
        <v>31</v>
      </c>
      <c r="J39" t="s">
        <v>28</v>
      </c>
      <c r="K39" t="s">
        <v>29</v>
      </c>
      <c r="L39" t="s">
        <v>56</v>
      </c>
      <c r="M39" t="s">
        <v>31</v>
      </c>
      <c r="N39" t="s">
        <v>42</v>
      </c>
      <c r="O39">
        <v>2014</v>
      </c>
      <c r="P39">
        <v>1</v>
      </c>
      <c r="Q39" t="s">
        <v>36</v>
      </c>
      <c r="R39">
        <v>13</v>
      </c>
      <c r="S39" t="s">
        <v>33</v>
      </c>
      <c r="T39" t="s">
        <v>34</v>
      </c>
      <c r="U39">
        <v>3</v>
      </c>
      <c r="V39" t="s">
        <v>44</v>
      </c>
      <c r="W39" t="str">
        <f>IF(HR_Data[[#This Row],[age]]&lt;25,"Under 25",IF(HR_Data[[#This Row],[age]]&lt;35,"25-34",IF(HR_Data[[#This Row],[age]]&lt;45,"35-44",IF(HR_Data[[#This Row],[age]]&lt;55,"45-54","55+"))))</f>
        <v>35-44</v>
      </c>
      <c r="X39" t="str">
        <f t="shared" si="0"/>
        <v>Below 3,000</v>
      </c>
    </row>
    <row r="40" spans="1:24" x14ac:dyDescent="0.3">
      <c r="A40">
        <v>51</v>
      </c>
      <c r="B40">
        <v>36</v>
      </c>
      <c r="C40" t="s">
        <v>36</v>
      </c>
      <c r="D40" t="s">
        <v>23</v>
      </c>
      <c r="E40" t="s">
        <v>38</v>
      </c>
      <c r="F40">
        <v>5</v>
      </c>
      <c r="G40" t="s">
        <v>47</v>
      </c>
      <c r="H40" t="s">
        <v>26</v>
      </c>
      <c r="I40" t="s">
        <v>27</v>
      </c>
      <c r="J40" t="s">
        <v>28</v>
      </c>
      <c r="K40" t="s">
        <v>27</v>
      </c>
      <c r="L40" t="s">
        <v>41</v>
      </c>
      <c r="M40" t="s">
        <v>34</v>
      </c>
      <c r="N40" t="s">
        <v>42</v>
      </c>
      <c r="O40">
        <v>3419</v>
      </c>
      <c r="P40">
        <v>9</v>
      </c>
      <c r="Q40" t="s">
        <v>22</v>
      </c>
      <c r="R40">
        <v>14</v>
      </c>
      <c r="S40" t="s">
        <v>33</v>
      </c>
      <c r="T40" t="s">
        <v>31</v>
      </c>
      <c r="U40">
        <v>3</v>
      </c>
      <c r="V40" t="s">
        <v>59</v>
      </c>
      <c r="W40" t="str">
        <f>IF(HR_Data[[#This Row],[age]]&lt;25,"Under 25",IF(HR_Data[[#This Row],[age]]&lt;35,"25-34",IF(HR_Data[[#This Row],[age]]&lt;45,"35-44",IF(HR_Data[[#This Row],[age]]&lt;55,"45-54","55+"))))</f>
        <v>35-44</v>
      </c>
      <c r="X40" t="str">
        <f t="shared" si="0"/>
        <v>3,000-4,999</v>
      </c>
    </row>
    <row r="41" spans="1:24" x14ac:dyDescent="0.3">
      <c r="A41">
        <v>52</v>
      </c>
      <c r="B41">
        <v>33</v>
      </c>
      <c r="C41" t="s">
        <v>36</v>
      </c>
      <c r="D41" t="s">
        <v>37</v>
      </c>
      <c r="E41" t="s">
        <v>24</v>
      </c>
      <c r="F41">
        <v>1</v>
      </c>
      <c r="G41" t="s">
        <v>50</v>
      </c>
      <c r="H41" t="s">
        <v>26</v>
      </c>
      <c r="I41" t="s">
        <v>29</v>
      </c>
      <c r="J41" t="s">
        <v>28</v>
      </c>
      <c r="K41" t="s">
        <v>31</v>
      </c>
      <c r="L41" t="s">
        <v>30</v>
      </c>
      <c r="M41" t="s">
        <v>34</v>
      </c>
      <c r="N41" t="s">
        <v>42</v>
      </c>
      <c r="O41">
        <v>5376</v>
      </c>
      <c r="P41">
        <v>2</v>
      </c>
      <c r="Q41" t="s">
        <v>36</v>
      </c>
      <c r="R41">
        <v>19</v>
      </c>
      <c r="S41" t="s">
        <v>33</v>
      </c>
      <c r="T41" t="s">
        <v>34</v>
      </c>
      <c r="U41">
        <v>3</v>
      </c>
      <c r="V41" t="s">
        <v>44</v>
      </c>
      <c r="W41" t="str">
        <f>IF(HR_Data[[#This Row],[age]]&lt;25,"Under 25",IF(HR_Data[[#This Row],[age]]&lt;35,"25-34",IF(HR_Data[[#This Row],[age]]&lt;45,"35-44",IF(HR_Data[[#This Row],[age]]&lt;55,"45-54","55+"))))</f>
        <v>25-34</v>
      </c>
      <c r="X41" t="str">
        <f t="shared" si="0"/>
        <v>5,000-7,999</v>
      </c>
    </row>
    <row r="42" spans="1:24" x14ac:dyDescent="0.3">
      <c r="A42">
        <v>53</v>
      </c>
      <c r="B42">
        <v>35</v>
      </c>
      <c r="C42" t="s">
        <v>36</v>
      </c>
      <c r="D42" t="s">
        <v>23</v>
      </c>
      <c r="E42" t="s">
        <v>38</v>
      </c>
      <c r="F42">
        <v>4</v>
      </c>
      <c r="G42" t="s">
        <v>25</v>
      </c>
      <c r="H42" t="s">
        <v>45</v>
      </c>
      <c r="I42" t="s">
        <v>29</v>
      </c>
      <c r="J42" t="s">
        <v>40</v>
      </c>
      <c r="K42" t="s">
        <v>29</v>
      </c>
      <c r="L42" t="s">
        <v>46</v>
      </c>
      <c r="M42" t="s">
        <v>31</v>
      </c>
      <c r="N42" t="s">
        <v>51</v>
      </c>
      <c r="O42">
        <v>1951</v>
      </c>
      <c r="P42">
        <v>1</v>
      </c>
      <c r="Q42" t="s">
        <v>36</v>
      </c>
      <c r="R42">
        <v>12</v>
      </c>
      <c r="S42" t="s">
        <v>33</v>
      </c>
      <c r="T42" t="s">
        <v>29</v>
      </c>
      <c r="U42">
        <v>3</v>
      </c>
      <c r="V42" t="s">
        <v>44</v>
      </c>
      <c r="W42" t="str">
        <f>IF(HR_Data[[#This Row],[age]]&lt;25,"Under 25",IF(HR_Data[[#This Row],[age]]&lt;35,"25-34",IF(HR_Data[[#This Row],[age]]&lt;45,"35-44",IF(HR_Data[[#This Row],[age]]&lt;55,"45-54","55+"))))</f>
        <v>35-44</v>
      </c>
      <c r="X42" t="str">
        <f t="shared" si="0"/>
        <v>Below 3,000</v>
      </c>
    </row>
    <row r="43" spans="1:24" x14ac:dyDescent="0.3">
      <c r="A43">
        <v>54</v>
      </c>
      <c r="B43">
        <v>27</v>
      </c>
      <c r="C43" t="s">
        <v>36</v>
      </c>
      <c r="D43" t="s">
        <v>23</v>
      </c>
      <c r="E43" t="s">
        <v>38</v>
      </c>
      <c r="F43">
        <v>2</v>
      </c>
      <c r="G43" t="s">
        <v>47</v>
      </c>
      <c r="H43" t="s">
        <v>26</v>
      </c>
      <c r="I43" t="s">
        <v>31</v>
      </c>
      <c r="J43" t="s">
        <v>28</v>
      </c>
      <c r="K43" t="s">
        <v>29</v>
      </c>
      <c r="L43" t="s">
        <v>46</v>
      </c>
      <c r="M43" t="s">
        <v>34</v>
      </c>
      <c r="N43" t="s">
        <v>51</v>
      </c>
      <c r="O43">
        <v>2341</v>
      </c>
      <c r="P43">
        <v>1</v>
      </c>
      <c r="Q43" t="s">
        <v>36</v>
      </c>
      <c r="R43">
        <v>13</v>
      </c>
      <c r="S43" t="s">
        <v>33</v>
      </c>
      <c r="T43" t="s">
        <v>31</v>
      </c>
      <c r="U43">
        <v>6</v>
      </c>
      <c r="V43" t="s">
        <v>44</v>
      </c>
      <c r="W43" t="str">
        <f>IF(HR_Data[[#This Row],[age]]&lt;25,"Under 25",IF(HR_Data[[#This Row],[age]]&lt;35,"25-34",IF(HR_Data[[#This Row],[age]]&lt;45,"35-44",IF(HR_Data[[#This Row],[age]]&lt;55,"45-54","55+"))))</f>
        <v>25-34</v>
      </c>
      <c r="X43" t="str">
        <f t="shared" si="0"/>
        <v>Below 3,000</v>
      </c>
    </row>
    <row r="44" spans="1:24" x14ac:dyDescent="0.3">
      <c r="A44">
        <v>55</v>
      </c>
      <c r="B44">
        <v>26</v>
      </c>
      <c r="C44" t="s">
        <v>22</v>
      </c>
      <c r="D44" t="s">
        <v>23</v>
      </c>
      <c r="E44" t="s">
        <v>38</v>
      </c>
      <c r="F44">
        <v>25</v>
      </c>
      <c r="G44" t="s">
        <v>50</v>
      </c>
      <c r="H44" t="s">
        <v>26</v>
      </c>
      <c r="I44" t="s">
        <v>34</v>
      </c>
      <c r="J44" t="s">
        <v>40</v>
      </c>
      <c r="K44" t="s">
        <v>34</v>
      </c>
      <c r="L44" t="s">
        <v>46</v>
      </c>
      <c r="M44" t="s">
        <v>29</v>
      </c>
      <c r="N44" t="s">
        <v>32</v>
      </c>
      <c r="O44">
        <v>2293</v>
      </c>
      <c r="P44">
        <v>1</v>
      </c>
      <c r="Q44" t="s">
        <v>36</v>
      </c>
      <c r="R44">
        <v>12</v>
      </c>
      <c r="S44" t="s">
        <v>33</v>
      </c>
      <c r="T44" t="s">
        <v>29</v>
      </c>
      <c r="U44">
        <v>2</v>
      </c>
      <c r="V44" t="s">
        <v>49</v>
      </c>
      <c r="W44" t="str">
        <f>IF(HR_Data[[#This Row],[age]]&lt;25,"Under 25",IF(HR_Data[[#This Row],[age]]&lt;35,"25-34",IF(HR_Data[[#This Row],[age]]&lt;45,"35-44",IF(HR_Data[[#This Row],[age]]&lt;55,"45-54","55+"))))</f>
        <v>25-34</v>
      </c>
      <c r="X44" t="str">
        <f t="shared" si="0"/>
        <v>Below 3,000</v>
      </c>
    </row>
    <row r="45" spans="1:24" x14ac:dyDescent="0.3">
      <c r="A45">
        <v>56</v>
      </c>
      <c r="B45">
        <v>27</v>
      </c>
      <c r="C45" t="s">
        <v>36</v>
      </c>
      <c r="D45" t="s">
        <v>37</v>
      </c>
      <c r="E45" t="s">
        <v>24</v>
      </c>
      <c r="F45">
        <v>8</v>
      </c>
      <c r="G45" t="s">
        <v>50</v>
      </c>
      <c r="H45" t="s">
        <v>26</v>
      </c>
      <c r="I45" t="s">
        <v>31</v>
      </c>
      <c r="J45" t="s">
        <v>40</v>
      </c>
      <c r="K45" t="s">
        <v>29</v>
      </c>
      <c r="L45" t="s">
        <v>30</v>
      </c>
      <c r="M45" t="s">
        <v>29</v>
      </c>
      <c r="N45" t="s">
        <v>32</v>
      </c>
      <c r="O45">
        <v>8726</v>
      </c>
      <c r="P45">
        <v>1</v>
      </c>
      <c r="Q45" t="s">
        <v>36</v>
      </c>
      <c r="R45">
        <v>15</v>
      </c>
      <c r="S45" t="s">
        <v>33</v>
      </c>
      <c r="T45" t="s">
        <v>31</v>
      </c>
      <c r="U45">
        <v>0</v>
      </c>
      <c r="V45" t="s">
        <v>44</v>
      </c>
      <c r="W45" t="str">
        <f>IF(HR_Data[[#This Row],[age]]&lt;25,"Under 25",IF(HR_Data[[#This Row],[age]]&lt;35,"25-34",IF(HR_Data[[#This Row],[age]]&lt;45,"35-44",IF(HR_Data[[#This Row],[age]]&lt;55,"45-54","55+"))))</f>
        <v>25-34</v>
      </c>
      <c r="X45" t="str">
        <f t="shared" si="0"/>
        <v>8,000+</v>
      </c>
    </row>
    <row r="46" spans="1:24" x14ac:dyDescent="0.3">
      <c r="A46">
        <v>57</v>
      </c>
      <c r="B46">
        <v>30</v>
      </c>
      <c r="C46" t="s">
        <v>36</v>
      </c>
      <c r="D46" t="s">
        <v>37</v>
      </c>
      <c r="E46" t="s">
        <v>38</v>
      </c>
      <c r="F46">
        <v>1</v>
      </c>
      <c r="G46" t="s">
        <v>25</v>
      </c>
      <c r="H46" t="s">
        <v>48</v>
      </c>
      <c r="I46" t="s">
        <v>29</v>
      </c>
      <c r="J46" t="s">
        <v>28</v>
      </c>
      <c r="K46" t="s">
        <v>29</v>
      </c>
      <c r="L46" t="s">
        <v>46</v>
      </c>
      <c r="M46" t="s">
        <v>31</v>
      </c>
      <c r="N46" t="s">
        <v>32</v>
      </c>
      <c r="O46">
        <v>4011</v>
      </c>
      <c r="P46">
        <v>1</v>
      </c>
      <c r="Q46" t="s">
        <v>36</v>
      </c>
      <c r="R46">
        <v>23</v>
      </c>
      <c r="S46" t="s">
        <v>43</v>
      </c>
      <c r="T46" t="s">
        <v>31</v>
      </c>
      <c r="U46">
        <v>2</v>
      </c>
      <c r="V46" t="s">
        <v>44</v>
      </c>
      <c r="W46" t="str">
        <f>IF(HR_Data[[#This Row],[age]]&lt;25,"Under 25",IF(HR_Data[[#This Row],[age]]&lt;35,"25-34",IF(HR_Data[[#This Row],[age]]&lt;45,"35-44",IF(HR_Data[[#This Row],[age]]&lt;55,"45-54","55+"))))</f>
        <v>25-34</v>
      </c>
      <c r="X46" t="str">
        <f t="shared" si="0"/>
        <v>3,000-4,999</v>
      </c>
    </row>
    <row r="47" spans="1:24" x14ac:dyDescent="0.3">
      <c r="A47">
        <v>58</v>
      </c>
      <c r="B47">
        <v>41</v>
      </c>
      <c r="C47" t="s">
        <v>22</v>
      </c>
      <c r="D47" t="s">
        <v>23</v>
      </c>
      <c r="E47" t="s">
        <v>38</v>
      </c>
      <c r="F47">
        <v>12</v>
      </c>
      <c r="G47" t="s">
        <v>50</v>
      </c>
      <c r="H47" t="s">
        <v>60</v>
      </c>
      <c r="I47" t="s">
        <v>27</v>
      </c>
      <c r="J47" t="s">
        <v>28</v>
      </c>
      <c r="K47" t="s">
        <v>29</v>
      </c>
      <c r="L47" t="s">
        <v>57</v>
      </c>
      <c r="M47" t="s">
        <v>29</v>
      </c>
      <c r="N47" t="s">
        <v>42</v>
      </c>
      <c r="O47">
        <v>19545</v>
      </c>
      <c r="P47">
        <v>1</v>
      </c>
      <c r="Q47" t="s">
        <v>36</v>
      </c>
      <c r="R47">
        <v>12</v>
      </c>
      <c r="S47" t="s">
        <v>33</v>
      </c>
      <c r="T47" t="s">
        <v>31</v>
      </c>
      <c r="U47">
        <v>0</v>
      </c>
      <c r="V47" t="s">
        <v>44</v>
      </c>
      <c r="W47" t="str">
        <f>IF(HR_Data[[#This Row],[age]]&lt;25,"Under 25",IF(HR_Data[[#This Row],[age]]&lt;35,"25-34",IF(HR_Data[[#This Row],[age]]&lt;45,"35-44",IF(HR_Data[[#This Row],[age]]&lt;55,"45-54","55+"))))</f>
        <v>35-44</v>
      </c>
      <c r="X47" t="str">
        <f t="shared" si="0"/>
        <v>8,000+</v>
      </c>
    </row>
    <row r="48" spans="1:24" x14ac:dyDescent="0.3">
      <c r="A48">
        <v>60</v>
      </c>
      <c r="B48">
        <v>34</v>
      </c>
      <c r="C48" t="s">
        <v>36</v>
      </c>
      <c r="D48" t="s">
        <v>54</v>
      </c>
      <c r="E48" t="s">
        <v>24</v>
      </c>
      <c r="F48">
        <v>23</v>
      </c>
      <c r="G48" t="s">
        <v>47</v>
      </c>
      <c r="H48" t="s">
        <v>58</v>
      </c>
      <c r="I48" t="s">
        <v>27</v>
      </c>
      <c r="J48" t="s">
        <v>40</v>
      </c>
      <c r="K48" t="s">
        <v>29</v>
      </c>
      <c r="L48" t="s">
        <v>30</v>
      </c>
      <c r="M48" t="s">
        <v>29</v>
      </c>
      <c r="N48" t="s">
        <v>32</v>
      </c>
      <c r="O48">
        <v>4568</v>
      </c>
      <c r="P48">
        <v>0</v>
      </c>
      <c r="Q48" t="s">
        <v>36</v>
      </c>
      <c r="R48">
        <v>20</v>
      </c>
      <c r="S48" t="s">
        <v>43</v>
      </c>
      <c r="T48" t="s">
        <v>29</v>
      </c>
      <c r="U48">
        <v>2</v>
      </c>
      <c r="V48" t="s">
        <v>44</v>
      </c>
      <c r="W48" t="str">
        <f>IF(HR_Data[[#This Row],[age]]&lt;25,"Under 25",IF(HR_Data[[#This Row],[age]]&lt;35,"25-34",IF(HR_Data[[#This Row],[age]]&lt;45,"35-44",IF(HR_Data[[#This Row],[age]]&lt;55,"45-54","55+"))))</f>
        <v>25-34</v>
      </c>
      <c r="X48" t="str">
        <f t="shared" si="0"/>
        <v>3,000-4,999</v>
      </c>
    </row>
    <row r="49" spans="1:24" x14ac:dyDescent="0.3">
      <c r="A49">
        <v>61</v>
      </c>
      <c r="B49">
        <v>37</v>
      </c>
      <c r="C49" t="s">
        <v>36</v>
      </c>
      <c r="D49" t="s">
        <v>23</v>
      </c>
      <c r="E49" t="s">
        <v>38</v>
      </c>
      <c r="F49">
        <v>19</v>
      </c>
      <c r="G49" t="s">
        <v>25</v>
      </c>
      <c r="H49" t="s">
        <v>26</v>
      </c>
      <c r="I49" t="s">
        <v>27</v>
      </c>
      <c r="J49" t="s">
        <v>40</v>
      </c>
      <c r="K49" t="s">
        <v>29</v>
      </c>
      <c r="L49" t="s">
        <v>41</v>
      </c>
      <c r="M49" t="s">
        <v>27</v>
      </c>
      <c r="N49" t="s">
        <v>42</v>
      </c>
      <c r="O49">
        <v>3022</v>
      </c>
      <c r="P49">
        <v>4</v>
      </c>
      <c r="Q49" t="s">
        <v>36</v>
      </c>
      <c r="R49">
        <v>21</v>
      </c>
      <c r="S49" t="s">
        <v>43</v>
      </c>
      <c r="T49" t="s">
        <v>34</v>
      </c>
      <c r="U49">
        <v>1</v>
      </c>
      <c r="V49" t="s">
        <v>44</v>
      </c>
      <c r="W49" t="str">
        <f>IF(HR_Data[[#This Row],[age]]&lt;25,"Under 25",IF(HR_Data[[#This Row],[age]]&lt;35,"25-34",IF(HR_Data[[#This Row],[age]]&lt;45,"35-44",IF(HR_Data[[#This Row],[age]]&lt;55,"45-54","55+"))))</f>
        <v>35-44</v>
      </c>
      <c r="X49" t="str">
        <f t="shared" si="0"/>
        <v>3,000-4,999</v>
      </c>
    </row>
    <row r="50" spans="1:24" x14ac:dyDescent="0.3">
      <c r="A50">
        <v>62</v>
      </c>
      <c r="B50">
        <v>46</v>
      </c>
      <c r="C50" t="s">
        <v>36</v>
      </c>
      <c r="D50" t="s">
        <v>37</v>
      </c>
      <c r="E50" t="s">
        <v>24</v>
      </c>
      <c r="F50">
        <v>5</v>
      </c>
      <c r="G50" t="s">
        <v>47</v>
      </c>
      <c r="H50" t="s">
        <v>58</v>
      </c>
      <c r="I50" t="s">
        <v>34</v>
      </c>
      <c r="J50" t="s">
        <v>40</v>
      </c>
      <c r="K50" t="s">
        <v>29</v>
      </c>
      <c r="L50" t="s">
        <v>30</v>
      </c>
      <c r="M50" t="s">
        <v>31</v>
      </c>
      <c r="N50" t="s">
        <v>32</v>
      </c>
      <c r="O50">
        <v>5772</v>
      </c>
      <c r="P50">
        <v>4</v>
      </c>
      <c r="Q50" t="s">
        <v>22</v>
      </c>
      <c r="R50">
        <v>21</v>
      </c>
      <c r="S50" t="s">
        <v>43</v>
      </c>
      <c r="T50" t="s">
        <v>29</v>
      </c>
      <c r="U50">
        <v>4</v>
      </c>
      <c r="V50" t="s">
        <v>44</v>
      </c>
      <c r="W50" t="str">
        <f>IF(HR_Data[[#This Row],[age]]&lt;25,"Under 25",IF(HR_Data[[#This Row],[age]]&lt;35,"25-34",IF(HR_Data[[#This Row],[age]]&lt;45,"35-44",IF(HR_Data[[#This Row],[age]]&lt;55,"45-54","55+"))))</f>
        <v>45-54</v>
      </c>
      <c r="X50" t="str">
        <f t="shared" si="0"/>
        <v>5,000-7,999</v>
      </c>
    </row>
    <row r="51" spans="1:24" x14ac:dyDescent="0.3">
      <c r="A51">
        <v>63</v>
      </c>
      <c r="B51">
        <v>35</v>
      </c>
      <c r="C51" t="s">
        <v>36</v>
      </c>
      <c r="D51" t="s">
        <v>23</v>
      </c>
      <c r="E51" t="s">
        <v>38</v>
      </c>
      <c r="F51">
        <v>8</v>
      </c>
      <c r="G51" t="s">
        <v>39</v>
      </c>
      <c r="H51" t="s">
        <v>26</v>
      </c>
      <c r="I51" t="s">
        <v>31</v>
      </c>
      <c r="J51" t="s">
        <v>40</v>
      </c>
      <c r="K51" t="s">
        <v>31</v>
      </c>
      <c r="L51" t="s">
        <v>46</v>
      </c>
      <c r="M51" t="s">
        <v>31</v>
      </c>
      <c r="N51" t="s">
        <v>42</v>
      </c>
      <c r="O51">
        <v>2269</v>
      </c>
      <c r="P51">
        <v>1</v>
      </c>
      <c r="Q51" t="s">
        <v>36</v>
      </c>
      <c r="R51">
        <v>19</v>
      </c>
      <c r="S51" t="s">
        <v>33</v>
      </c>
      <c r="T51" t="s">
        <v>31</v>
      </c>
      <c r="U51">
        <v>2</v>
      </c>
      <c r="V51" t="s">
        <v>44</v>
      </c>
      <c r="W51" t="str">
        <f>IF(HR_Data[[#This Row],[age]]&lt;25,"Under 25",IF(HR_Data[[#This Row],[age]]&lt;35,"25-34",IF(HR_Data[[#This Row],[age]]&lt;45,"35-44",IF(HR_Data[[#This Row],[age]]&lt;55,"45-54","55+"))))</f>
        <v>35-44</v>
      </c>
      <c r="X51" t="str">
        <f t="shared" si="0"/>
        <v>Below 3,000</v>
      </c>
    </row>
    <row r="52" spans="1:24" x14ac:dyDescent="0.3">
      <c r="A52">
        <v>64</v>
      </c>
      <c r="B52">
        <v>48</v>
      </c>
      <c r="C52" t="s">
        <v>22</v>
      </c>
      <c r="D52" t="s">
        <v>23</v>
      </c>
      <c r="E52" t="s">
        <v>38</v>
      </c>
      <c r="F52">
        <v>1</v>
      </c>
      <c r="G52" t="s">
        <v>25</v>
      </c>
      <c r="H52" t="s">
        <v>26</v>
      </c>
      <c r="I52" t="s">
        <v>34</v>
      </c>
      <c r="J52" t="s">
        <v>40</v>
      </c>
      <c r="K52" t="s">
        <v>27</v>
      </c>
      <c r="L52" t="s">
        <v>46</v>
      </c>
      <c r="M52" t="s">
        <v>29</v>
      </c>
      <c r="N52" t="s">
        <v>32</v>
      </c>
      <c r="O52">
        <v>5381</v>
      </c>
      <c r="P52">
        <v>9</v>
      </c>
      <c r="Q52" t="s">
        <v>22</v>
      </c>
      <c r="R52">
        <v>13</v>
      </c>
      <c r="S52" t="s">
        <v>33</v>
      </c>
      <c r="T52" t="s">
        <v>31</v>
      </c>
      <c r="U52">
        <v>2</v>
      </c>
      <c r="V52" t="s">
        <v>44</v>
      </c>
      <c r="W52" t="str">
        <f>IF(HR_Data[[#This Row],[age]]&lt;25,"Under 25",IF(HR_Data[[#This Row],[age]]&lt;35,"25-34",IF(HR_Data[[#This Row],[age]]&lt;45,"35-44",IF(HR_Data[[#This Row],[age]]&lt;55,"45-54","55+"))))</f>
        <v>45-54</v>
      </c>
      <c r="X52" t="str">
        <f t="shared" si="0"/>
        <v>5,000-7,999</v>
      </c>
    </row>
    <row r="53" spans="1:24" x14ac:dyDescent="0.3">
      <c r="A53">
        <v>65</v>
      </c>
      <c r="B53">
        <v>28</v>
      </c>
      <c r="C53" t="s">
        <v>22</v>
      </c>
      <c r="D53" t="s">
        <v>23</v>
      </c>
      <c r="E53" t="s">
        <v>38</v>
      </c>
      <c r="F53">
        <v>5</v>
      </c>
      <c r="G53" t="s">
        <v>47</v>
      </c>
      <c r="H53" t="s">
        <v>60</v>
      </c>
      <c r="I53" t="s">
        <v>29</v>
      </c>
      <c r="J53" t="s">
        <v>40</v>
      </c>
      <c r="K53" t="s">
        <v>29</v>
      </c>
      <c r="L53" t="s">
        <v>46</v>
      </c>
      <c r="M53" t="s">
        <v>29</v>
      </c>
      <c r="N53" t="s">
        <v>32</v>
      </c>
      <c r="O53">
        <v>3441</v>
      </c>
      <c r="P53">
        <v>1</v>
      </c>
      <c r="Q53" t="s">
        <v>22</v>
      </c>
      <c r="R53">
        <v>13</v>
      </c>
      <c r="S53" t="s">
        <v>33</v>
      </c>
      <c r="T53" t="s">
        <v>29</v>
      </c>
      <c r="U53">
        <v>3</v>
      </c>
      <c r="V53" t="s">
        <v>49</v>
      </c>
      <c r="W53" t="str">
        <f>IF(HR_Data[[#This Row],[age]]&lt;25,"Under 25",IF(HR_Data[[#This Row],[age]]&lt;35,"25-34",IF(HR_Data[[#This Row],[age]]&lt;45,"35-44",IF(HR_Data[[#This Row],[age]]&lt;55,"45-54","55+"))))</f>
        <v>25-34</v>
      </c>
      <c r="X53" t="str">
        <f t="shared" si="0"/>
        <v>3,000-4,999</v>
      </c>
    </row>
    <row r="54" spans="1:24" x14ac:dyDescent="0.3">
      <c r="A54">
        <v>68</v>
      </c>
      <c r="B54">
        <v>44</v>
      </c>
      <c r="C54" t="s">
        <v>36</v>
      </c>
      <c r="D54" t="s">
        <v>23</v>
      </c>
      <c r="E54" t="s">
        <v>24</v>
      </c>
      <c r="F54">
        <v>1</v>
      </c>
      <c r="G54" t="s">
        <v>61</v>
      </c>
      <c r="H54" t="s">
        <v>58</v>
      </c>
      <c r="I54" t="s">
        <v>27</v>
      </c>
      <c r="J54" t="s">
        <v>28</v>
      </c>
      <c r="K54" t="s">
        <v>29</v>
      </c>
      <c r="L54" t="s">
        <v>30</v>
      </c>
      <c r="M54" t="s">
        <v>34</v>
      </c>
      <c r="N54" t="s">
        <v>51</v>
      </c>
      <c r="O54">
        <v>5454</v>
      </c>
      <c r="P54">
        <v>5</v>
      </c>
      <c r="Q54" t="s">
        <v>22</v>
      </c>
      <c r="R54">
        <v>21</v>
      </c>
      <c r="S54" t="s">
        <v>43</v>
      </c>
      <c r="T54" t="s">
        <v>29</v>
      </c>
      <c r="U54">
        <v>2</v>
      </c>
      <c r="V54" t="s">
        <v>49</v>
      </c>
      <c r="W54" t="str">
        <f>IF(HR_Data[[#This Row],[age]]&lt;25,"Under 25",IF(HR_Data[[#This Row],[age]]&lt;35,"25-34",IF(HR_Data[[#This Row],[age]]&lt;45,"35-44",IF(HR_Data[[#This Row],[age]]&lt;55,"45-54","55+"))))</f>
        <v>35-44</v>
      </c>
      <c r="X54" t="str">
        <f t="shared" si="0"/>
        <v>5,000-7,999</v>
      </c>
    </row>
    <row r="55" spans="1:24" x14ac:dyDescent="0.3">
      <c r="A55">
        <v>70</v>
      </c>
      <c r="B55">
        <v>35</v>
      </c>
      <c r="C55" t="s">
        <v>36</v>
      </c>
      <c r="D55" t="s">
        <v>54</v>
      </c>
      <c r="E55" t="s">
        <v>38</v>
      </c>
      <c r="F55">
        <v>11</v>
      </c>
      <c r="G55" t="s">
        <v>25</v>
      </c>
      <c r="H55" t="s">
        <v>48</v>
      </c>
      <c r="I55" t="s">
        <v>29</v>
      </c>
      <c r="J55" t="s">
        <v>40</v>
      </c>
      <c r="K55" t="s">
        <v>27</v>
      </c>
      <c r="L55" t="s">
        <v>53</v>
      </c>
      <c r="M55" t="s">
        <v>34</v>
      </c>
      <c r="N55" t="s">
        <v>42</v>
      </c>
      <c r="O55">
        <v>9884</v>
      </c>
      <c r="P55">
        <v>2</v>
      </c>
      <c r="Q55" t="s">
        <v>22</v>
      </c>
      <c r="R55">
        <v>13</v>
      </c>
      <c r="S55" t="s">
        <v>33</v>
      </c>
      <c r="T55" t="s">
        <v>29</v>
      </c>
      <c r="U55">
        <v>3</v>
      </c>
      <c r="V55" t="s">
        <v>44</v>
      </c>
      <c r="W55" t="str">
        <f>IF(HR_Data[[#This Row],[age]]&lt;25,"Under 25",IF(HR_Data[[#This Row],[age]]&lt;35,"25-34",IF(HR_Data[[#This Row],[age]]&lt;45,"35-44",IF(HR_Data[[#This Row],[age]]&lt;55,"45-54","55+"))))</f>
        <v>35-44</v>
      </c>
      <c r="X55" t="str">
        <f t="shared" si="0"/>
        <v>8,000+</v>
      </c>
    </row>
    <row r="56" spans="1:24" x14ac:dyDescent="0.3">
      <c r="A56">
        <v>72</v>
      </c>
      <c r="B56">
        <v>26</v>
      </c>
      <c r="C56" t="s">
        <v>36</v>
      </c>
      <c r="D56" t="s">
        <v>23</v>
      </c>
      <c r="E56" t="s">
        <v>24</v>
      </c>
      <c r="F56">
        <v>23</v>
      </c>
      <c r="G56" t="s">
        <v>50</v>
      </c>
      <c r="H56" t="s">
        <v>58</v>
      </c>
      <c r="I56" t="s">
        <v>29</v>
      </c>
      <c r="J56" t="s">
        <v>28</v>
      </c>
      <c r="K56" t="s">
        <v>27</v>
      </c>
      <c r="L56" t="s">
        <v>30</v>
      </c>
      <c r="M56" t="s">
        <v>31</v>
      </c>
      <c r="N56" t="s">
        <v>42</v>
      </c>
      <c r="O56">
        <v>4157</v>
      </c>
      <c r="P56">
        <v>7</v>
      </c>
      <c r="Q56" t="s">
        <v>22</v>
      </c>
      <c r="R56">
        <v>19</v>
      </c>
      <c r="S56" t="s">
        <v>33</v>
      </c>
      <c r="T56" t="s">
        <v>29</v>
      </c>
      <c r="U56">
        <v>2</v>
      </c>
      <c r="V56" t="s">
        <v>49</v>
      </c>
      <c r="W56" t="str">
        <f>IF(HR_Data[[#This Row],[age]]&lt;25,"Under 25",IF(HR_Data[[#This Row],[age]]&lt;35,"25-34",IF(HR_Data[[#This Row],[age]]&lt;45,"35-44",IF(HR_Data[[#This Row],[age]]&lt;55,"45-54","55+"))))</f>
        <v>25-34</v>
      </c>
      <c r="X56" t="str">
        <f t="shared" si="0"/>
        <v>3,000-4,999</v>
      </c>
    </row>
    <row r="57" spans="1:24" x14ac:dyDescent="0.3">
      <c r="A57">
        <v>73</v>
      </c>
      <c r="B57">
        <v>33</v>
      </c>
      <c r="C57" t="s">
        <v>36</v>
      </c>
      <c r="D57" t="s">
        <v>37</v>
      </c>
      <c r="E57" t="s">
        <v>38</v>
      </c>
      <c r="F57">
        <v>1</v>
      </c>
      <c r="G57" t="s">
        <v>25</v>
      </c>
      <c r="H57" t="s">
        <v>26</v>
      </c>
      <c r="I57" t="s">
        <v>34</v>
      </c>
      <c r="J57" t="s">
        <v>28</v>
      </c>
      <c r="K57" t="s">
        <v>29</v>
      </c>
      <c r="L57" t="s">
        <v>57</v>
      </c>
      <c r="M57" t="s">
        <v>31</v>
      </c>
      <c r="N57" t="s">
        <v>32</v>
      </c>
      <c r="O57">
        <v>13458</v>
      </c>
      <c r="P57">
        <v>1</v>
      </c>
      <c r="Q57" t="s">
        <v>22</v>
      </c>
      <c r="R57">
        <v>12</v>
      </c>
      <c r="S57" t="s">
        <v>33</v>
      </c>
      <c r="T57" t="s">
        <v>29</v>
      </c>
      <c r="U57">
        <v>1</v>
      </c>
      <c r="V57" t="s">
        <v>44</v>
      </c>
      <c r="W57" t="str">
        <f>IF(HR_Data[[#This Row],[age]]&lt;25,"Under 25",IF(HR_Data[[#This Row],[age]]&lt;35,"25-34",IF(HR_Data[[#This Row],[age]]&lt;45,"35-44",IF(HR_Data[[#This Row],[age]]&lt;55,"45-54","55+"))))</f>
        <v>25-34</v>
      </c>
      <c r="X57" t="str">
        <f t="shared" si="0"/>
        <v>8,000+</v>
      </c>
    </row>
    <row r="58" spans="1:24" x14ac:dyDescent="0.3">
      <c r="A58">
        <v>74</v>
      </c>
      <c r="B58">
        <v>35</v>
      </c>
      <c r="C58" t="s">
        <v>36</v>
      </c>
      <c r="D58" t="s">
        <v>37</v>
      </c>
      <c r="E58" t="s">
        <v>24</v>
      </c>
      <c r="F58">
        <v>18</v>
      </c>
      <c r="G58" t="s">
        <v>61</v>
      </c>
      <c r="H58" t="s">
        <v>26</v>
      </c>
      <c r="I58" t="s">
        <v>27</v>
      </c>
      <c r="J58" t="s">
        <v>40</v>
      </c>
      <c r="K58" t="s">
        <v>29</v>
      </c>
      <c r="L58" t="s">
        <v>30</v>
      </c>
      <c r="M58" t="s">
        <v>34</v>
      </c>
      <c r="N58" t="s">
        <v>42</v>
      </c>
      <c r="O58">
        <v>9069</v>
      </c>
      <c r="P58">
        <v>1</v>
      </c>
      <c r="Q58" t="s">
        <v>36</v>
      </c>
      <c r="R58">
        <v>22</v>
      </c>
      <c r="S58" t="s">
        <v>43</v>
      </c>
      <c r="T58" t="s">
        <v>31</v>
      </c>
      <c r="U58">
        <v>3</v>
      </c>
      <c r="V58" t="s">
        <v>49</v>
      </c>
      <c r="W58" t="str">
        <f>IF(HR_Data[[#This Row],[age]]&lt;25,"Under 25",IF(HR_Data[[#This Row],[age]]&lt;35,"25-34",IF(HR_Data[[#This Row],[age]]&lt;45,"35-44",IF(HR_Data[[#This Row],[age]]&lt;55,"45-54","55+"))))</f>
        <v>35-44</v>
      </c>
      <c r="X58" t="str">
        <f t="shared" si="0"/>
        <v>8,000+</v>
      </c>
    </row>
    <row r="59" spans="1:24" x14ac:dyDescent="0.3">
      <c r="A59">
        <v>75</v>
      </c>
      <c r="B59">
        <v>35</v>
      </c>
      <c r="C59" t="s">
        <v>36</v>
      </c>
      <c r="D59" t="s">
        <v>23</v>
      </c>
      <c r="E59" t="s">
        <v>38</v>
      </c>
      <c r="F59">
        <v>23</v>
      </c>
      <c r="G59" t="s">
        <v>47</v>
      </c>
      <c r="H59" t="s">
        <v>48</v>
      </c>
      <c r="I59" t="s">
        <v>29</v>
      </c>
      <c r="J59" t="s">
        <v>28</v>
      </c>
      <c r="K59" t="s">
        <v>29</v>
      </c>
      <c r="L59" t="s">
        <v>46</v>
      </c>
      <c r="M59" t="s">
        <v>34</v>
      </c>
      <c r="N59" t="s">
        <v>42</v>
      </c>
      <c r="O59">
        <v>4014</v>
      </c>
      <c r="P59">
        <v>3</v>
      </c>
      <c r="Q59" t="s">
        <v>22</v>
      </c>
      <c r="R59">
        <v>15</v>
      </c>
      <c r="S59" t="s">
        <v>33</v>
      </c>
      <c r="T59" t="s">
        <v>29</v>
      </c>
      <c r="U59">
        <v>3</v>
      </c>
      <c r="V59" t="s">
        <v>44</v>
      </c>
      <c r="W59" t="str">
        <f>IF(HR_Data[[#This Row],[age]]&lt;25,"Under 25",IF(HR_Data[[#This Row],[age]]&lt;35,"25-34",IF(HR_Data[[#This Row],[age]]&lt;45,"35-44",IF(HR_Data[[#This Row],[age]]&lt;55,"45-54","55+"))))</f>
        <v>35-44</v>
      </c>
      <c r="X59" t="str">
        <f t="shared" si="0"/>
        <v>3,000-4,999</v>
      </c>
    </row>
    <row r="60" spans="1:24" x14ac:dyDescent="0.3">
      <c r="A60">
        <v>76</v>
      </c>
      <c r="B60">
        <v>31</v>
      </c>
      <c r="C60" t="s">
        <v>36</v>
      </c>
      <c r="D60" t="s">
        <v>23</v>
      </c>
      <c r="E60" t="s">
        <v>38</v>
      </c>
      <c r="F60">
        <v>7</v>
      </c>
      <c r="G60" t="s">
        <v>47</v>
      </c>
      <c r="H60" t="s">
        <v>26</v>
      </c>
      <c r="I60" t="s">
        <v>31</v>
      </c>
      <c r="J60" t="s">
        <v>40</v>
      </c>
      <c r="K60" t="s">
        <v>29</v>
      </c>
      <c r="L60" t="s">
        <v>46</v>
      </c>
      <c r="M60" t="s">
        <v>31</v>
      </c>
      <c r="N60" t="s">
        <v>51</v>
      </c>
      <c r="O60">
        <v>5915</v>
      </c>
      <c r="P60">
        <v>3</v>
      </c>
      <c r="Q60" t="s">
        <v>36</v>
      </c>
      <c r="R60">
        <v>22</v>
      </c>
      <c r="S60" t="s">
        <v>43</v>
      </c>
      <c r="T60" t="s">
        <v>31</v>
      </c>
      <c r="U60">
        <v>3</v>
      </c>
      <c r="V60" t="s">
        <v>49</v>
      </c>
      <c r="W60" t="str">
        <f>IF(HR_Data[[#This Row],[age]]&lt;25,"Under 25",IF(HR_Data[[#This Row],[age]]&lt;35,"25-34",IF(HR_Data[[#This Row],[age]]&lt;45,"35-44",IF(HR_Data[[#This Row],[age]]&lt;55,"45-54","55+"))))</f>
        <v>25-34</v>
      </c>
      <c r="X60" t="str">
        <f t="shared" si="0"/>
        <v>5,000-7,999</v>
      </c>
    </row>
    <row r="61" spans="1:24" x14ac:dyDescent="0.3">
      <c r="A61">
        <v>77</v>
      </c>
      <c r="B61">
        <v>37</v>
      </c>
      <c r="C61" t="s">
        <v>36</v>
      </c>
      <c r="D61" t="s">
        <v>23</v>
      </c>
      <c r="E61" t="s">
        <v>38</v>
      </c>
      <c r="F61">
        <v>1</v>
      </c>
      <c r="G61" t="s">
        <v>47</v>
      </c>
      <c r="H61" t="s">
        <v>26</v>
      </c>
      <c r="I61" t="s">
        <v>34</v>
      </c>
      <c r="J61" t="s">
        <v>40</v>
      </c>
      <c r="K61" t="s">
        <v>27</v>
      </c>
      <c r="L61" t="s">
        <v>52</v>
      </c>
      <c r="M61" t="s">
        <v>29</v>
      </c>
      <c r="N61" t="s">
        <v>51</v>
      </c>
      <c r="O61">
        <v>5993</v>
      </c>
      <c r="P61">
        <v>1</v>
      </c>
      <c r="Q61" t="s">
        <v>36</v>
      </c>
      <c r="R61">
        <v>18</v>
      </c>
      <c r="S61" t="s">
        <v>33</v>
      </c>
      <c r="T61" t="s">
        <v>29</v>
      </c>
      <c r="U61">
        <v>2</v>
      </c>
      <c r="V61" t="s">
        <v>59</v>
      </c>
      <c r="W61" t="str">
        <f>IF(HR_Data[[#This Row],[age]]&lt;25,"Under 25",IF(HR_Data[[#This Row],[age]]&lt;35,"25-34",IF(HR_Data[[#This Row],[age]]&lt;45,"35-44",IF(HR_Data[[#This Row],[age]]&lt;55,"45-54","55+"))))</f>
        <v>35-44</v>
      </c>
      <c r="X61" t="str">
        <f t="shared" si="0"/>
        <v>5,000-7,999</v>
      </c>
    </row>
    <row r="62" spans="1:24" x14ac:dyDescent="0.3">
      <c r="A62">
        <v>78</v>
      </c>
      <c r="B62">
        <v>32</v>
      </c>
      <c r="C62" t="s">
        <v>36</v>
      </c>
      <c r="D62" t="s">
        <v>23</v>
      </c>
      <c r="E62" t="s">
        <v>38</v>
      </c>
      <c r="F62">
        <v>1</v>
      </c>
      <c r="G62" t="s">
        <v>50</v>
      </c>
      <c r="H62" t="s">
        <v>48</v>
      </c>
      <c r="I62" t="s">
        <v>34</v>
      </c>
      <c r="J62" t="s">
        <v>40</v>
      </c>
      <c r="K62" t="s">
        <v>29</v>
      </c>
      <c r="L62" t="s">
        <v>52</v>
      </c>
      <c r="M62" t="s">
        <v>31</v>
      </c>
      <c r="N62" t="s">
        <v>42</v>
      </c>
      <c r="O62">
        <v>6162</v>
      </c>
      <c r="P62">
        <v>1</v>
      </c>
      <c r="Q62" t="s">
        <v>22</v>
      </c>
      <c r="R62">
        <v>22</v>
      </c>
      <c r="S62" t="s">
        <v>43</v>
      </c>
      <c r="T62" t="s">
        <v>27</v>
      </c>
      <c r="U62">
        <v>3</v>
      </c>
      <c r="V62" t="s">
        <v>44</v>
      </c>
      <c r="W62" t="str">
        <f>IF(HR_Data[[#This Row],[age]]&lt;25,"Under 25",IF(HR_Data[[#This Row],[age]]&lt;35,"25-34",IF(HR_Data[[#This Row],[age]]&lt;45,"35-44",IF(HR_Data[[#This Row],[age]]&lt;55,"45-54","55+"))))</f>
        <v>25-34</v>
      </c>
      <c r="X62" t="str">
        <f t="shared" si="0"/>
        <v>5,000-7,999</v>
      </c>
    </row>
    <row r="63" spans="1:24" x14ac:dyDescent="0.3">
      <c r="A63">
        <v>79</v>
      </c>
      <c r="B63">
        <v>38</v>
      </c>
      <c r="C63" t="s">
        <v>36</v>
      </c>
      <c r="D63" t="s">
        <v>37</v>
      </c>
      <c r="E63" t="s">
        <v>38</v>
      </c>
      <c r="F63">
        <v>29</v>
      </c>
      <c r="G63" t="s">
        <v>61</v>
      </c>
      <c r="H63" t="s">
        <v>26</v>
      </c>
      <c r="I63" t="s">
        <v>31</v>
      </c>
      <c r="J63" t="s">
        <v>28</v>
      </c>
      <c r="K63" t="s">
        <v>29</v>
      </c>
      <c r="L63" t="s">
        <v>46</v>
      </c>
      <c r="M63" t="s">
        <v>31</v>
      </c>
      <c r="N63" t="s">
        <v>32</v>
      </c>
      <c r="O63">
        <v>2406</v>
      </c>
      <c r="P63">
        <v>1</v>
      </c>
      <c r="Q63" t="s">
        <v>36</v>
      </c>
      <c r="R63">
        <v>11</v>
      </c>
      <c r="S63" t="s">
        <v>33</v>
      </c>
      <c r="T63" t="s">
        <v>31</v>
      </c>
      <c r="U63">
        <v>2</v>
      </c>
      <c r="V63" t="s">
        <v>44</v>
      </c>
      <c r="W63" t="str">
        <f>IF(HR_Data[[#This Row],[age]]&lt;25,"Under 25",IF(HR_Data[[#This Row],[age]]&lt;35,"25-34",IF(HR_Data[[#This Row],[age]]&lt;45,"35-44",IF(HR_Data[[#This Row],[age]]&lt;55,"45-54","55+"))))</f>
        <v>35-44</v>
      </c>
      <c r="X63" t="str">
        <f t="shared" si="0"/>
        <v>Below 3,000</v>
      </c>
    </row>
    <row r="64" spans="1:24" x14ac:dyDescent="0.3">
      <c r="A64">
        <v>80</v>
      </c>
      <c r="B64">
        <v>50</v>
      </c>
      <c r="C64" t="s">
        <v>36</v>
      </c>
      <c r="D64" t="s">
        <v>23</v>
      </c>
      <c r="E64" t="s">
        <v>38</v>
      </c>
      <c r="F64">
        <v>7</v>
      </c>
      <c r="G64" t="s">
        <v>25</v>
      </c>
      <c r="H64" t="s">
        <v>48</v>
      </c>
      <c r="I64" t="s">
        <v>27</v>
      </c>
      <c r="J64" t="s">
        <v>28</v>
      </c>
      <c r="K64" t="s">
        <v>27</v>
      </c>
      <c r="L64" t="s">
        <v>57</v>
      </c>
      <c r="M64" t="s">
        <v>29</v>
      </c>
      <c r="N64" t="s">
        <v>51</v>
      </c>
      <c r="O64">
        <v>18740</v>
      </c>
      <c r="P64">
        <v>5</v>
      </c>
      <c r="Q64" t="s">
        <v>22</v>
      </c>
      <c r="R64">
        <v>12</v>
      </c>
      <c r="S64" t="s">
        <v>33</v>
      </c>
      <c r="T64" t="s">
        <v>31</v>
      </c>
      <c r="U64">
        <v>2</v>
      </c>
      <c r="V64" t="s">
        <v>49</v>
      </c>
      <c r="W64" t="str">
        <f>IF(HR_Data[[#This Row],[age]]&lt;25,"Under 25",IF(HR_Data[[#This Row],[age]]&lt;35,"25-34",IF(HR_Data[[#This Row],[age]]&lt;45,"35-44",IF(HR_Data[[#This Row],[age]]&lt;55,"45-54","55+"))))</f>
        <v>45-54</v>
      </c>
      <c r="X64" t="str">
        <f t="shared" si="0"/>
        <v>8,000+</v>
      </c>
    </row>
    <row r="65" spans="1:24" x14ac:dyDescent="0.3">
      <c r="A65">
        <v>81</v>
      </c>
      <c r="B65">
        <v>59</v>
      </c>
      <c r="C65" t="s">
        <v>36</v>
      </c>
      <c r="D65" t="s">
        <v>23</v>
      </c>
      <c r="E65" t="s">
        <v>24</v>
      </c>
      <c r="F65">
        <v>25</v>
      </c>
      <c r="G65" t="s">
        <v>50</v>
      </c>
      <c r="H65" t="s">
        <v>26</v>
      </c>
      <c r="I65" t="s">
        <v>34</v>
      </c>
      <c r="J65" t="s">
        <v>28</v>
      </c>
      <c r="K65" t="s">
        <v>29</v>
      </c>
      <c r="L65" t="s">
        <v>30</v>
      </c>
      <c r="M65" t="s">
        <v>34</v>
      </c>
      <c r="N65" t="s">
        <v>32</v>
      </c>
      <c r="O65">
        <v>7637</v>
      </c>
      <c r="P65">
        <v>7</v>
      </c>
      <c r="Q65" t="s">
        <v>36</v>
      </c>
      <c r="R65">
        <v>11</v>
      </c>
      <c r="S65" t="s">
        <v>33</v>
      </c>
      <c r="T65" t="s">
        <v>31</v>
      </c>
      <c r="U65">
        <v>3</v>
      </c>
      <c r="V65" t="s">
        <v>49</v>
      </c>
      <c r="W65" t="str">
        <f>IF(HR_Data[[#This Row],[age]]&lt;25,"Under 25",IF(HR_Data[[#This Row],[age]]&lt;35,"25-34",IF(HR_Data[[#This Row],[age]]&lt;45,"35-44",IF(HR_Data[[#This Row],[age]]&lt;55,"45-54","55+"))))</f>
        <v>55+</v>
      </c>
      <c r="X65" t="str">
        <f t="shared" si="0"/>
        <v>5,000-7,999</v>
      </c>
    </row>
    <row r="66" spans="1:24" x14ac:dyDescent="0.3">
      <c r="A66">
        <v>83</v>
      </c>
      <c r="B66">
        <v>36</v>
      </c>
      <c r="C66" t="s">
        <v>36</v>
      </c>
      <c r="D66" t="s">
        <v>23</v>
      </c>
      <c r="E66" t="s">
        <v>38</v>
      </c>
      <c r="F66">
        <v>8</v>
      </c>
      <c r="G66" t="s">
        <v>50</v>
      </c>
      <c r="H66" t="s">
        <v>60</v>
      </c>
      <c r="I66" t="s">
        <v>29</v>
      </c>
      <c r="J66" t="s">
        <v>28</v>
      </c>
      <c r="K66" t="s">
        <v>29</v>
      </c>
      <c r="L66" t="s">
        <v>53</v>
      </c>
      <c r="M66" t="s">
        <v>29</v>
      </c>
      <c r="N66" t="s">
        <v>51</v>
      </c>
      <c r="O66">
        <v>10096</v>
      </c>
      <c r="P66">
        <v>1</v>
      </c>
      <c r="Q66" t="s">
        <v>36</v>
      </c>
      <c r="R66">
        <v>13</v>
      </c>
      <c r="S66" t="s">
        <v>33</v>
      </c>
      <c r="T66" t="s">
        <v>27</v>
      </c>
      <c r="U66">
        <v>2</v>
      </c>
      <c r="V66" t="s">
        <v>44</v>
      </c>
      <c r="W66" t="str">
        <f>IF(HR_Data[[#This Row],[age]]&lt;25,"Under 25",IF(HR_Data[[#This Row],[age]]&lt;35,"25-34",IF(HR_Data[[#This Row],[age]]&lt;45,"35-44",IF(HR_Data[[#This Row],[age]]&lt;55,"45-54","55+"))))</f>
        <v>35-44</v>
      </c>
      <c r="X66" t="str">
        <f t="shared" si="0"/>
        <v>8,000+</v>
      </c>
    </row>
    <row r="67" spans="1:24" x14ac:dyDescent="0.3">
      <c r="A67">
        <v>84</v>
      </c>
      <c r="B67">
        <v>55</v>
      </c>
      <c r="C67" t="s">
        <v>36</v>
      </c>
      <c r="D67" t="s">
        <v>23</v>
      </c>
      <c r="E67" t="s">
        <v>38</v>
      </c>
      <c r="F67">
        <v>8</v>
      </c>
      <c r="G67" t="s">
        <v>50</v>
      </c>
      <c r="H67" t="s">
        <v>48</v>
      </c>
      <c r="I67" t="s">
        <v>31</v>
      </c>
      <c r="J67" t="s">
        <v>28</v>
      </c>
      <c r="K67" t="s">
        <v>29</v>
      </c>
      <c r="L67" t="s">
        <v>55</v>
      </c>
      <c r="M67" t="s">
        <v>29</v>
      </c>
      <c r="N67" t="s">
        <v>51</v>
      </c>
      <c r="O67">
        <v>14756</v>
      </c>
      <c r="P67">
        <v>2</v>
      </c>
      <c r="Q67" t="s">
        <v>22</v>
      </c>
      <c r="R67">
        <v>14</v>
      </c>
      <c r="S67" t="s">
        <v>33</v>
      </c>
      <c r="T67" t="s">
        <v>29</v>
      </c>
      <c r="U67">
        <v>2</v>
      </c>
      <c r="V67" t="s">
        <v>44</v>
      </c>
      <c r="W67" t="str">
        <f>IF(HR_Data[[#This Row],[age]]&lt;25,"Under 25",IF(HR_Data[[#This Row],[age]]&lt;35,"25-34",IF(HR_Data[[#This Row],[age]]&lt;45,"35-44",IF(HR_Data[[#This Row],[age]]&lt;55,"45-54","55+"))))</f>
        <v>55+</v>
      </c>
      <c r="X67" t="str">
        <f t="shared" ref="X67:X130" si="1">IF(O67&lt;3000,"Below 3,000",IF(O67&lt;5000,"3,000-4,999",IF(O67&lt;8000,"5,000-7,999","8,000+")))</f>
        <v>8,000+</v>
      </c>
    </row>
    <row r="68" spans="1:24" x14ac:dyDescent="0.3">
      <c r="A68">
        <v>85</v>
      </c>
      <c r="B68">
        <v>36</v>
      </c>
      <c r="C68" t="s">
        <v>36</v>
      </c>
      <c r="D68" t="s">
        <v>37</v>
      </c>
      <c r="E68" t="s">
        <v>38</v>
      </c>
      <c r="F68">
        <v>11</v>
      </c>
      <c r="G68" t="s">
        <v>50</v>
      </c>
      <c r="H68" t="s">
        <v>26</v>
      </c>
      <c r="I68" t="s">
        <v>27</v>
      </c>
      <c r="J68" t="s">
        <v>40</v>
      </c>
      <c r="K68" t="s">
        <v>27</v>
      </c>
      <c r="L68" t="s">
        <v>52</v>
      </c>
      <c r="M68" t="s">
        <v>27</v>
      </c>
      <c r="N68" t="s">
        <v>32</v>
      </c>
      <c r="O68">
        <v>6499</v>
      </c>
      <c r="P68">
        <v>1</v>
      </c>
      <c r="Q68" t="s">
        <v>36</v>
      </c>
      <c r="R68">
        <v>13</v>
      </c>
      <c r="S68" t="s">
        <v>33</v>
      </c>
      <c r="T68" t="s">
        <v>29</v>
      </c>
      <c r="U68">
        <v>3</v>
      </c>
      <c r="V68" t="s">
        <v>44</v>
      </c>
      <c r="W68" t="str">
        <f>IF(HR_Data[[#This Row],[age]]&lt;25,"Under 25",IF(HR_Data[[#This Row],[age]]&lt;35,"25-34",IF(HR_Data[[#This Row],[age]]&lt;45,"35-44",IF(HR_Data[[#This Row],[age]]&lt;55,"45-54","55+"))))</f>
        <v>35-44</v>
      </c>
      <c r="X68" t="str">
        <f t="shared" si="1"/>
        <v>5,000-7,999</v>
      </c>
    </row>
    <row r="69" spans="1:24" x14ac:dyDescent="0.3">
      <c r="A69">
        <v>86</v>
      </c>
      <c r="B69">
        <v>45</v>
      </c>
      <c r="C69" t="s">
        <v>36</v>
      </c>
      <c r="D69" t="s">
        <v>23</v>
      </c>
      <c r="E69" t="s">
        <v>38</v>
      </c>
      <c r="F69">
        <v>7</v>
      </c>
      <c r="G69" t="s">
        <v>50</v>
      </c>
      <c r="H69" t="s">
        <v>26</v>
      </c>
      <c r="I69" t="s">
        <v>27</v>
      </c>
      <c r="J69" t="s">
        <v>40</v>
      </c>
      <c r="K69" t="s">
        <v>29</v>
      </c>
      <c r="L69" t="s">
        <v>41</v>
      </c>
      <c r="M69" t="s">
        <v>34</v>
      </c>
      <c r="N69" t="s">
        <v>51</v>
      </c>
      <c r="O69">
        <v>9724</v>
      </c>
      <c r="P69">
        <v>2</v>
      </c>
      <c r="Q69" t="s">
        <v>36</v>
      </c>
      <c r="R69">
        <v>17</v>
      </c>
      <c r="S69" t="s">
        <v>33</v>
      </c>
      <c r="T69" t="s">
        <v>29</v>
      </c>
      <c r="U69">
        <v>2</v>
      </c>
      <c r="V69" t="s">
        <v>44</v>
      </c>
      <c r="W69" t="str">
        <f>IF(HR_Data[[#This Row],[age]]&lt;25,"Under 25",IF(HR_Data[[#This Row],[age]]&lt;35,"25-34",IF(HR_Data[[#This Row],[age]]&lt;45,"35-44",IF(HR_Data[[#This Row],[age]]&lt;55,"45-54","55+"))))</f>
        <v>45-54</v>
      </c>
      <c r="X69" t="str">
        <f t="shared" si="1"/>
        <v>8,000+</v>
      </c>
    </row>
    <row r="70" spans="1:24" x14ac:dyDescent="0.3">
      <c r="A70">
        <v>88</v>
      </c>
      <c r="B70">
        <v>35</v>
      </c>
      <c r="C70" t="s">
        <v>36</v>
      </c>
      <c r="D70" t="s">
        <v>37</v>
      </c>
      <c r="E70" t="s">
        <v>38</v>
      </c>
      <c r="F70">
        <v>1</v>
      </c>
      <c r="G70" t="s">
        <v>50</v>
      </c>
      <c r="H70" t="s">
        <v>48</v>
      </c>
      <c r="I70" t="s">
        <v>27</v>
      </c>
      <c r="J70" t="s">
        <v>40</v>
      </c>
      <c r="K70" t="s">
        <v>29</v>
      </c>
      <c r="L70" t="s">
        <v>41</v>
      </c>
      <c r="M70" t="s">
        <v>34</v>
      </c>
      <c r="N70" t="s">
        <v>42</v>
      </c>
      <c r="O70">
        <v>2194</v>
      </c>
      <c r="P70">
        <v>4</v>
      </c>
      <c r="Q70" t="s">
        <v>36</v>
      </c>
      <c r="R70">
        <v>13</v>
      </c>
      <c r="S70" t="s">
        <v>33</v>
      </c>
      <c r="T70" t="s">
        <v>31</v>
      </c>
      <c r="U70">
        <v>2</v>
      </c>
      <c r="V70" t="s">
        <v>49</v>
      </c>
      <c r="W70" t="str">
        <f>IF(HR_Data[[#This Row],[age]]&lt;25,"Under 25",IF(HR_Data[[#This Row],[age]]&lt;35,"25-34",IF(HR_Data[[#This Row],[age]]&lt;45,"35-44",IF(HR_Data[[#This Row],[age]]&lt;55,"45-54","55+"))))</f>
        <v>35-44</v>
      </c>
      <c r="X70" t="str">
        <f t="shared" si="1"/>
        <v>Below 3,000</v>
      </c>
    </row>
    <row r="71" spans="1:24" x14ac:dyDescent="0.3">
      <c r="A71">
        <v>90</v>
      </c>
      <c r="B71">
        <v>36</v>
      </c>
      <c r="C71" t="s">
        <v>22</v>
      </c>
      <c r="D71" t="s">
        <v>23</v>
      </c>
      <c r="E71" t="s">
        <v>38</v>
      </c>
      <c r="F71">
        <v>9</v>
      </c>
      <c r="G71" t="s">
        <v>50</v>
      </c>
      <c r="H71" t="s">
        <v>48</v>
      </c>
      <c r="I71" t="s">
        <v>31</v>
      </c>
      <c r="J71" t="s">
        <v>40</v>
      </c>
      <c r="K71" t="s">
        <v>27</v>
      </c>
      <c r="L71" t="s">
        <v>41</v>
      </c>
      <c r="M71" t="s">
        <v>29</v>
      </c>
      <c r="N71" t="s">
        <v>42</v>
      </c>
      <c r="O71">
        <v>3388</v>
      </c>
      <c r="P71">
        <v>0</v>
      </c>
      <c r="Q71" t="s">
        <v>22</v>
      </c>
      <c r="R71">
        <v>17</v>
      </c>
      <c r="S71" t="s">
        <v>33</v>
      </c>
      <c r="T71" t="s">
        <v>34</v>
      </c>
      <c r="U71">
        <v>0</v>
      </c>
      <c r="V71" t="s">
        <v>49</v>
      </c>
      <c r="W71" t="str">
        <f>IF(HR_Data[[#This Row],[age]]&lt;25,"Under 25",IF(HR_Data[[#This Row],[age]]&lt;35,"25-34",IF(HR_Data[[#This Row],[age]]&lt;45,"35-44",IF(HR_Data[[#This Row],[age]]&lt;55,"45-54","55+"))))</f>
        <v>35-44</v>
      </c>
      <c r="X71" t="str">
        <f t="shared" si="1"/>
        <v>3,000-4,999</v>
      </c>
    </row>
    <row r="72" spans="1:24" x14ac:dyDescent="0.3">
      <c r="A72">
        <v>91</v>
      </c>
      <c r="B72">
        <v>59</v>
      </c>
      <c r="C72" t="s">
        <v>36</v>
      </c>
      <c r="D72" t="s">
        <v>37</v>
      </c>
      <c r="E72" t="s">
        <v>24</v>
      </c>
      <c r="F72">
        <v>1</v>
      </c>
      <c r="G72" t="s">
        <v>39</v>
      </c>
      <c r="H72" t="s">
        <v>26</v>
      </c>
      <c r="I72" t="s">
        <v>34</v>
      </c>
      <c r="J72" t="s">
        <v>28</v>
      </c>
      <c r="K72" t="s">
        <v>27</v>
      </c>
      <c r="L72" t="s">
        <v>30</v>
      </c>
      <c r="M72" t="s">
        <v>29</v>
      </c>
      <c r="N72" t="s">
        <v>32</v>
      </c>
      <c r="O72">
        <v>5473</v>
      </c>
      <c r="P72">
        <v>7</v>
      </c>
      <c r="Q72" t="s">
        <v>36</v>
      </c>
      <c r="R72">
        <v>11</v>
      </c>
      <c r="S72" t="s">
        <v>33</v>
      </c>
      <c r="T72" t="s">
        <v>31</v>
      </c>
      <c r="U72">
        <v>2</v>
      </c>
      <c r="V72" t="s">
        <v>49</v>
      </c>
      <c r="W72" t="str">
        <f>IF(HR_Data[[#This Row],[age]]&lt;25,"Under 25",IF(HR_Data[[#This Row],[age]]&lt;35,"25-34",IF(HR_Data[[#This Row],[age]]&lt;45,"35-44",IF(HR_Data[[#This Row],[age]]&lt;55,"45-54","55+"))))</f>
        <v>55+</v>
      </c>
      <c r="X72" t="str">
        <f t="shared" si="1"/>
        <v>5,000-7,999</v>
      </c>
    </row>
    <row r="73" spans="1:24" x14ac:dyDescent="0.3">
      <c r="A73">
        <v>94</v>
      </c>
      <c r="B73">
        <v>29</v>
      </c>
      <c r="C73" t="s">
        <v>36</v>
      </c>
      <c r="D73" t="s">
        <v>23</v>
      </c>
      <c r="E73" t="s">
        <v>38</v>
      </c>
      <c r="F73">
        <v>2</v>
      </c>
      <c r="G73" t="s">
        <v>50</v>
      </c>
      <c r="H73" t="s">
        <v>26</v>
      </c>
      <c r="I73" t="s">
        <v>29</v>
      </c>
      <c r="J73" t="s">
        <v>40</v>
      </c>
      <c r="K73" t="s">
        <v>29</v>
      </c>
      <c r="L73" t="s">
        <v>41</v>
      </c>
      <c r="M73" t="s">
        <v>27</v>
      </c>
      <c r="N73" t="s">
        <v>42</v>
      </c>
      <c r="O73">
        <v>2703</v>
      </c>
      <c r="P73">
        <v>0</v>
      </c>
      <c r="Q73" t="s">
        <v>36</v>
      </c>
      <c r="R73">
        <v>23</v>
      </c>
      <c r="S73" t="s">
        <v>43</v>
      </c>
      <c r="T73" t="s">
        <v>31</v>
      </c>
      <c r="U73">
        <v>3</v>
      </c>
      <c r="V73" t="s">
        <v>44</v>
      </c>
      <c r="W73" t="str">
        <f>IF(HR_Data[[#This Row],[age]]&lt;25,"Under 25",IF(HR_Data[[#This Row],[age]]&lt;35,"25-34",IF(HR_Data[[#This Row],[age]]&lt;45,"35-44",IF(HR_Data[[#This Row],[age]]&lt;55,"45-54","55+"))))</f>
        <v>25-34</v>
      </c>
      <c r="X73" t="str">
        <f t="shared" si="1"/>
        <v>Below 3,000</v>
      </c>
    </row>
    <row r="74" spans="1:24" x14ac:dyDescent="0.3">
      <c r="A74">
        <v>95</v>
      </c>
      <c r="B74">
        <v>31</v>
      </c>
      <c r="C74" t="s">
        <v>36</v>
      </c>
      <c r="D74" t="s">
        <v>23</v>
      </c>
      <c r="E74" t="s">
        <v>38</v>
      </c>
      <c r="F74">
        <v>1</v>
      </c>
      <c r="G74" t="s">
        <v>47</v>
      </c>
      <c r="H74" t="s">
        <v>48</v>
      </c>
      <c r="I74" t="s">
        <v>29</v>
      </c>
      <c r="J74" t="s">
        <v>40</v>
      </c>
      <c r="K74" t="s">
        <v>29</v>
      </c>
      <c r="L74" t="s">
        <v>41</v>
      </c>
      <c r="M74" t="s">
        <v>27</v>
      </c>
      <c r="N74" t="s">
        <v>32</v>
      </c>
      <c r="O74">
        <v>2501</v>
      </c>
      <c r="P74">
        <v>1</v>
      </c>
      <c r="Q74" t="s">
        <v>36</v>
      </c>
      <c r="R74">
        <v>17</v>
      </c>
      <c r="S74" t="s">
        <v>33</v>
      </c>
      <c r="T74" t="s">
        <v>27</v>
      </c>
      <c r="U74">
        <v>4</v>
      </c>
      <c r="V74" t="s">
        <v>44</v>
      </c>
      <c r="W74" t="str">
        <f>IF(HR_Data[[#This Row],[age]]&lt;25,"Under 25",IF(HR_Data[[#This Row],[age]]&lt;35,"25-34",IF(HR_Data[[#This Row],[age]]&lt;45,"35-44",IF(HR_Data[[#This Row],[age]]&lt;55,"45-54","55+"))))</f>
        <v>25-34</v>
      </c>
      <c r="X74" t="str">
        <f t="shared" si="1"/>
        <v>Below 3,000</v>
      </c>
    </row>
    <row r="75" spans="1:24" x14ac:dyDescent="0.3">
      <c r="A75">
        <v>96</v>
      </c>
      <c r="B75">
        <v>32</v>
      </c>
      <c r="C75" t="s">
        <v>36</v>
      </c>
      <c r="D75" t="s">
        <v>23</v>
      </c>
      <c r="E75" t="s">
        <v>38</v>
      </c>
      <c r="F75">
        <v>1</v>
      </c>
      <c r="G75" t="s">
        <v>50</v>
      </c>
      <c r="H75" t="s">
        <v>26</v>
      </c>
      <c r="I75" t="s">
        <v>27</v>
      </c>
      <c r="J75" t="s">
        <v>40</v>
      </c>
      <c r="K75" t="s">
        <v>29</v>
      </c>
      <c r="L75" t="s">
        <v>41</v>
      </c>
      <c r="M75" t="s">
        <v>27</v>
      </c>
      <c r="N75" t="s">
        <v>42</v>
      </c>
      <c r="O75">
        <v>6220</v>
      </c>
      <c r="P75">
        <v>1</v>
      </c>
      <c r="Q75" t="s">
        <v>36</v>
      </c>
      <c r="R75">
        <v>17</v>
      </c>
      <c r="S75" t="s">
        <v>33</v>
      </c>
      <c r="T75" t="s">
        <v>27</v>
      </c>
      <c r="U75">
        <v>3</v>
      </c>
      <c r="V75" t="s">
        <v>44</v>
      </c>
      <c r="W75" t="str">
        <f>IF(HR_Data[[#This Row],[age]]&lt;25,"Under 25",IF(HR_Data[[#This Row],[age]]&lt;35,"25-34",IF(HR_Data[[#This Row],[age]]&lt;45,"35-44",IF(HR_Data[[#This Row],[age]]&lt;55,"45-54","55+"))))</f>
        <v>25-34</v>
      </c>
      <c r="X75" t="str">
        <f t="shared" si="1"/>
        <v>5,000-7,999</v>
      </c>
    </row>
    <row r="76" spans="1:24" x14ac:dyDescent="0.3">
      <c r="A76">
        <v>97</v>
      </c>
      <c r="B76">
        <v>36</v>
      </c>
      <c r="C76" t="s">
        <v>36</v>
      </c>
      <c r="D76" t="s">
        <v>23</v>
      </c>
      <c r="E76" t="s">
        <v>38</v>
      </c>
      <c r="F76">
        <v>6</v>
      </c>
      <c r="G76" t="s">
        <v>50</v>
      </c>
      <c r="H76" t="s">
        <v>26</v>
      </c>
      <c r="I76" t="s">
        <v>27</v>
      </c>
      <c r="J76" t="s">
        <v>28</v>
      </c>
      <c r="K76" t="s">
        <v>31</v>
      </c>
      <c r="L76" t="s">
        <v>46</v>
      </c>
      <c r="M76" t="s">
        <v>31</v>
      </c>
      <c r="N76" t="s">
        <v>42</v>
      </c>
      <c r="O76">
        <v>3038</v>
      </c>
      <c r="P76">
        <v>3</v>
      </c>
      <c r="Q76" t="s">
        <v>36</v>
      </c>
      <c r="R76">
        <v>12</v>
      </c>
      <c r="S76" t="s">
        <v>33</v>
      </c>
      <c r="T76" t="s">
        <v>27</v>
      </c>
      <c r="U76">
        <v>3</v>
      </c>
      <c r="V76" t="s">
        <v>44</v>
      </c>
      <c r="W76" t="str">
        <f>IF(HR_Data[[#This Row],[age]]&lt;25,"Under 25",IF(HR_Data[[#This Row],[age]]&lt;35,"25-34",IF(HR_Data[[#This Row],[age]]&lt;45,"35-44",IF(HR_Data[[#This Row],[age]]&lt;55,"45-54","55+"))))</f>
        <v>35-44</v>
      </c>
      <c r="X76" t="str">
        <f t="shared" si="1"/>
        <v>3,000-4,999</v>
      </c>
    </row>
    <row r="77" spans="1:24" x14ac:dyDescent="0.3">
      <c r="A77">
        <v>98</v>
      </c>
      <c r="B77">
        <v>31</v>
      </c>
      <c r="C77" t="s">
        <v>36</v>
      </c>
      <c r="D77" t="s">
        <v>23</v>
      </c>
      <c r="E77" t="s">
        <v>38</v>
      </c>
      <c r="F77">
        <v>8</v>
      </c>
      <c r="G77" t="s">
        <v>47</v>
      </c>
      <c r="H77" t="s">
        <v>26</v>
      </c>
      <c r="I77" t="s">
        <v>29</v>
      </c>
      <c r="J77" t="s">
        <v>28</v>
      </c>
      <c r="K77" t="s">
        <v>29</v>
      </c>
      <c r="L77" t="s">
        <v>52</v>
      </c>
      <c r="M77" t="s">
        <v>31</v>
      </c>
      <c r="N77" t="s">
        <v>32</v>
      </c>
      <c r="O77">
        <v>4424</v>
      </c>
      <c r="P77">
        <v>1</v>
      </c>
      <c r="Q77" t="s">
        <v>36</v>
      </c>
      <c r="R77">
        <v>23</v>
      </c>
      <c r="S77" t="s">
        <v>43</v>
      </c>
      <c r="T77" t="s">
        <v>31</v>
      </c>
      <c r="U77">
        <v>2</v>
      </c>
      <c r="V77" t="s">
        <v>44</v>
      </c>
      <c r="W77" t="str">
        <f>IF(HR_Data[[#This Row],[age]]&lt;25,"Under 25",IF(HR_Data[[#This Row],[age]]&lt;35,"25-34",IF(HR_Data[[#This Row],[age]]&lt;45,"35-44",IF(HR_Data[[#This Row],[age]]&lt;55,"45-54","55+"))))</f>
        <v>25-34</v>
      </c>
      <c r="X77" t="str">
        <f t="shared" si="1"/>
        <v>3,000-4,999</v>
      </c>
    </row>
    <row r="78" spans="1:24" x14ac:dyDescent="0.3">
      <c r="A78">
        <v>100</v>
      </c>
      <c r="B78">
        <v>35</v>
      </c>
      <c r="C78" t="s">
        <v>36</v>
      </c>
      <c r="D78" t="s">
        <v>23</v>
      </c>
      <c r="E78" t="s">
        <v>24</v>
      </c>
      <c r="F78">
        <v>1</v>
      </c>
      <c r="G78" t="s">
        <v>47</v>
      </c>
      <c r="H78" t="s">
        <v>58</v>
      </c>
      <c r="I78" t="s">
        <v>29</v>
      </c>
      <c r="J78" t="s">
        <v>40</v>
      </c>
      <c r="K78" t="s">
        <v>27</v>
      </c>
      <c r="L78" t="s">
        <v>30</v>
      </c>
      <c r="M78" t="s">
        <v>34</v>
      </c>
      <c r="N78" t="s">
        <v>32</v>
      </c>
      <c r="O78">
        <v>4312</v>
      </c>
      <c r="P78">
        <v>0</v>
      </c>
      <c r="Q78" t="s">
        <v>36</v>
      </c>
      <c r="R78">
        <v>14</v>
      </c>
      <c r="S78" t="s">
        <v>33</v>
      </c>
      <c r="T78" t="s">
        <v>27</v>
      </c>
      <c r="U78">
        <v>2</v>
      </c>
      <c r="V78" t="s">
        <v>44</v>
      </c>
      <c r="W78" t="str">
        <f>IF(HR_Data[[#This Row],[age]]&lt;25,"Under 25",IF(HR_Data[[#This Row],[age]]&lt;35,"25-34",IF(HR_Data[[#This Row],[age]]&lt;45,"35-44",IF(HR_Data[[#This Row],[age]]&lt;55,"45-54","55+"))))</f>
        <v>35-44</v>
      </c>
      <c r="X78" t="str">
        <f t="shared" si="1"/>
        <v>3,000-4,999</v>
      </c>
    </row>
    <row r="79" spans="1:24" x14ac:dyDescent="0.3">
      <c r="A79">
        <v>101</v>
      </c>
      <c r="B79">
        <v>45</v>
      </c>
      <c r="C79" t="s">
        <v>36</v>
      </c>
      <c r="D79" t="s">
        <v>23</v>
      </c>
      <c r="E79" t="s">
        <v>38</v>
      </c>
      <c r="F79">
        <v>6</v>
      </c>
      <c r="G79" t="s">
        <v>47</v>
      </c>
      <c r="H79" t="s">
        <v>45</v>
      </c>
      <c r="I79" t="s">
        <v>31</v>
      </c>
      <c r="J79" t="s">
        <v>40</v>
      </c>
      <c r="K79" t="s">
        <v>29</v>
      </c>
      <c r="L79" t="s">
        <v>57</v>
      </c>
      <c r="M79" t="s">
        <v>34</v>
      </c>
      <c r="N79" t="s">
        <v>42</v>
      </c>
      <c r="O79">
        <v>13245</v>
      </c>
      <c r="P79">
        <v>4</v>
      </c>
      <c r="Q79" t="s">
        <v>22</v>
      </c>
      <c r="R79">
        <v>14</v>
      </c>
      <c r="S79" t="s">
        <v>33</v>
      </c>
      <c r="T79" t="s">
        <v>27</v>
      </c>
      <c r="U79">
        <v>3</v>
      </c>
      <c r="V79" t="s">
        <v>59</v>
      </c>
      <c r="W79" t="str">
        <f>IF(HR_Data[[#This Row],[age]]&lt;25,"Under 25",IF(HR_Data[[#This Row],[age]]&lt;35,"25-34",IF(HR_Data[[#This Row],[age]]&lt;45,"35-44",IF(HR_Data[[#This Row],[age]]&lt;55,"45-54","55+"))))</f>
        <v>45-54</v>
      </c>
      <c r="X79" t="str">
        <f t="shared" si="1"/>
        <v>8,000+</v>
      </c>
    </row>
    <row r="80" spans="1:24" x14ac:dyDescent="0.3">
      <c r="A80">
        <v>102</v>
      </c>
      <c r="B80">
        <v>37</v>
      </c>
      <c r="C80" t="s">
        <v>36</v>
      </c>
      <c r="D80" t="s">
        <v>23</v>
      </c>
      <c r="E80" t="s">
        <v>38</v>
      </c>
      <c r="F80">
        <v>7</v>
      </c>
      <c r="G80" t="s">
        <v>47</v>
      </c>
      <c r="H80" t="s">
        <v>48</v>
      </c>
      <c r="I80" t="s">
        <v>34</v>
      </c>
      <c r="J80" t="s">
        <v>40</v>
      </c>
      <c r="K80" t="s">
        <v>29</v>
      </c>
      <c r="L80" t="s">
        <v>57</v>
      </c>
      <c r="M80" t="s">
        <v>29</v>
      </c>
      <c r="N80" t="s">
        <v>32</v>
      </c>
      <c r="O80">
        <v>13664</v>
      </c>
      <c r="P80">
        <v>4</v>
      </c>
      <c r="Q80" t="s">
        <v>36</v>
      </c>
      <c r="R80">
        <v>13</v>
      </c>
      <c r="S80" t="s">
        <v>33</v>
      </c>
      <c r="T80" t="s">
        <v>34</v>
      </c>
      <c r="U80">
        <v>3</v>
      </c>
      <c r="V80" t="s">
        <v>59</v>
      </c>
      <c r="W80" t="str">
        <f>IF(HR_Data[[#This Row],[age]]&lt;25,"Under 25",IF(HR_Data[[#This Row],[age]]&lt;35,"25-34",IF(HR_Data[[#This Row],[age]]&lt;45,"35-44",IF(HR_Data[[#This Row],[age]]&lt;55,"45-54","55+"))))</f>
        <v>35-44</v>
      </c>
      <c r="X80" t="str">
        <f t="shared" si="1"/>
        <v>8,000+</v>
      </c>
    </row>
    <row r="81" spans="1:24" x14ac:dyDescent="0.3">
      <c r="A81">
        <v>103</v>
      </c>
      <c r="B81">
        <v>46</v>
      </c>
      <c r="C81" t="s">
        <v>36</v>
      </c>
      <c r="D81" t="s">
        <v>23</v>
      </c>
      <c r="E81" t="s">
        <v>62</v>
      </c>
      <c r="F81">
        <v>5</v>
      </c>
      <c r="G81" t="s">
        <v>25</v>
      </c>
      <c r="H81" t="s">
        <v>48</v>
      </c>
      <c r="I81" t="s">
        <v>27</v>
      </c>
      <c r="J81" t="s">
        <v>40</v>
      </c>
      <c r="K81" t="s">
        <v>29</v>
      </c>
      <c r="L81" t="s">
        <v>62</v>
      </c>
      <c r="M81" t="s">
        <v>27</v>
      </c>
      <c r="N81" t="s">
        <v>51</v>
      </c>
      <c r="O81">
        <v>5021</v>
      </c>
      <c r="P81">
        <v>8</v>
      </c>
      <c r="Q81" t="s">
        <v>22</v>
      </c>
      <c r="R81">
        <v>22</v>
      </c>
      <c r="S81" t="s">
        <v>43</v>
      </c>
      <c r="T81" t="s">
        <v>31</v>
      </c>
      <c r="U81">
        <v>2</v>
      </c>
      <c r="V81" t="s">
        <v>44</v>
      </c>
      <c r="W81" t="str">
        <f>IF(HR_Data[[#This Row],[age]]&lt;25,"Under 25",IF(HR_Data[[#This Row],[age]]&lt;35,"25-34",IF(HR_Data[[#This Row],[age]]&lt;45,"35-44",IF(HR_Data[[#This Row],[age]]&lt;55,"45-54","55+"))))</f>
        <v>45-54</v>
      </c>
      <c r="X81" t="str">
        <f t="shared" si="1"/>
        <v>5,000-7,999</v>
      </c>
    </row>
    <row r="82" spans="1:24" x14ac:dyDescent="0.3">
      <c r="A82">
        <v>104</v>
      </c>
      <c r="B82">
        <v>30</v>
      </c>
      <c r="C82" t="s">
        <v>36</v>
      </c>
      <c r="D82" t="s">
        <v>23</v>
      </c>
      <c r="E82" t="s">
        <v>38</v>
      </c>
      <c r="F82">
        <v>1</v>
      </c>
      <c r="G82" t="s">
        <v>39</v>
      </c>
      <c r="H82" t="s">
        <v>26</v>
      </c>
      <c r="I82" t="s">
        <v>31</v>
      </c>
      <c r="J82" t="s">
        <v>40</v>
      </c>
      <c r="K82" t="s">
        <v>27</v>
      </c>
      <c r="L82" t="s">
        <v>46</v>
      </c>
      <c r="M82" t="s">
        <v>31</v>
      </c>
      <c r="N82" t="s">
        <v>42</v>
      </c>
      <c r="O82">
        <v>5126</v>
      </c>
      <c r="P82">
        <v>1</v>
      </c>
      <c r="Q82" t="s">
        <v>22</v>
      </c>
      <c r="R82">
        <v>12</v>
      </c>
      <c r="S82" t="s">
        <v>33</v>
      </c>
      <c r="T82" t="s">
        <v>29</v>
      </c>
      <c r="U82">
        <v>1</v>
      </c>
      <c r="V82" t="s">
        <v>49</v>
      </c>
      <c r="W82" t="str">
        <f>IF(HR_Data[[#This Row],[age]]&lt;25,"Under 25",IF(HR_Data[[#This Row],[age]]&lt;35,"25-34",IF(HR_Data[[#This Row],[age]]&lt;45,"35-44",IF(HR_Data[[#This Row],[age]]&lt;55,"45-54","55+"))))</f>
        <v>25-34</v>
      </c>
      <c r="X82" t="str">
        <f t="shared" si="1"/>
        <v>5,000-7,999</v>
      </c>
    </row>
    <row r="83" spans="1:24" x14ac:dyDescent="0.3">
      <c r="A83">
        <v>105</v>
      </c>
      <c r="B83">
        <v>35</v>
      </c>
      <c r="C83" t="s">
        <v>36</v>
      </c>
      <c r="D83" t="s">
        <v>23</v>
      </c>
      <c r="E83" t="s">
        <v>38</v>
      </c>
      <c r="F83">
        <v>1</v>
      </c>
      <c r="G83" t="s">
        <v>50</v>
      </c>
      <c r="H83" t="s">
        <v>48</v>
      </c>
      <c r="I83" t="s">
        <v>27</v>
      </c>
      <c r="J83" t="s">
        <v>40</v>
      </c>
      <c r="K83" t="s">
        <v>27</v>
      </c>
      <c r="L83" t="s">
        <v>41</v>
      </c>
      <c r="M83" t="s">
        <v>29</v>
      </c>
      <c r="N83" t="s">
        <v>32</v>
      </c>
      <c r="O83">
        <v>2859</v>
      </c>
      <c r="P83">
        <v>1</v>
      </c>
      <c r="Q83" t="s">
        <v>36</v>
      </c>
      <c r="R83">
        <v>18</v>
      </c>
      <c r="S83" t="s">
        <v>33</v>
      </c>
      <c r="T83" t="s">
        <v>34</v>
      </c>
      <c r="U83">
        <v>3</v>
      </c>
      <c r="V83" t="s">
        <v>44</v>
      </c>
      <c r="W83" t="str">
        <f>IF(HR_Data[[#This Row],[age]]&lt;25,"Under 25",IF(HR_Data[[#This Row],[age]]&lt;35,"25-34",IF(HR_Data[[#This Row],[age]]&lt;45,"35-44",IF(HR_Data[[#This Row],[age]]&lt;55,"45-54","55+"))))</f>
        <v>35-44</v>
      </c>
      <c r="X83" t="str">
        <f t="shared" si="1"/>
        <v>Below 3,000</v>
      </c>
    </row>
    <row r="84" spans="1:24" x14ac:dyDescent="0.3">
      <c r="A84">
        <v>106</v>
      </c>
      <c r="B84">
        <v>55</v>
      </c>
      <c r="C84" t="s">
        <v>36</v>
      </c>
      <c r="D84" t="s">
        <v>23</v>
      </c>
      <c r="E84" t="s">
        <v>24</v>
      </c>
      <c r="F84">
        <v>1</v>
      </c>
      <c r="G84" t="s">
        <v>25</v>
      </c>
      <c r="H84" t="s">
        <v>26</v>
      </c>
      <c r="I84" t="s">
        <v>34</v>
      </c>
      <c r="J84" t="s">
        <v>40</v>
      </c>
      <c r="K84" t="s">
        <v>29</v>
      </c>
      <c r="L84" t="s">
        <v>30</v>
      </c>
      <c r="M84" t="s">
        <v>31</v>
      </c>
      <c r="N84" t="s">
        <v>42</v>
      </c>
      <c r="O84">
        <v>10239</v>
      </c>
      <c r="P84">
        <v>3</v>
      </c>
      <c r="Q84" t="s">
        <v>36</v>
      </c>
      <c r="R84">
        <v>14</v>
      </c>
      <c r="S84" t="s">
        <v>33</v>
      </c>
      <c r="T84" t="s">
        <v>31</v>
      </c>
      <c r="U84">
        <v>4</v>
      </c>
      <c r="V84" t="s">
        <v>44</v>
      </c>
      <c r="W84" t="str">
        <f>IF(HR_Data[[#This Row],[age]]&lt;25,"Under 25",IF(HR_Data[[#This Row],[age]]&lt;35,"25-34",IF(HR_Data[[#This Row],[age]]&lt;45,"35-44",IF(HR_Data[[#This Row],[age]]&lt;55,"45-54","55+"))))</f>
        <v>55+</v>
      </c>
      <c r="X84" t="str">
        <f t="shared" si="1"/>
        <v>8,000+</v>
      </c>
    </row>
    <row r="85" spans="1:24" x14ac:dyDescent="0.3">
      <c r="A85">
        <v>107</v>
      </c>
      <c r="B85">
        <v>38</v>
      </c>
      <c r="C85" t="s">
        <v>36</v>
      </c>
      <c r="D85" t="s">
        <v>54</v>
      </c>
      <c r="E85" t="s">
        <v>38</v>
      </c>
      <c r="F85">
        <v>6</v>
      </c>
      <c r="G85" t="s">
        <v>50</v>
      </c>
      <c r="H85" t="s">
        <v>48</v>
      </c>
      <c r="I85" t="s">
        <v>27</v>
      </c>
      <c r="J85" t="s">
        <v>28</v>
      </c>
      <c r="K85" t="s">
        <v>34</v>
      </c>
      <c r="L85" t="s">
        <v>41</v>
      </c>
      <c r="M85" t="s">
        <v>31</v>
      </c>
      <c r="N85" t="s">
        <v>51</v>
      </c>
      <c r="O85">
        <v>5329</v>
      </c>
      <c r="P85">
        <v>7</v>
      </c>
      <c r="Q85" t="s">
        <v>22</v>
      </c>
      <c r="R85">
        <v>12</v>
      </c>
      <c r="S85" t="s">
        <v>33</v>
      </c>
      <c r="T85" t="s">
        <v>31</v>
      </c>
      <c r="U85">
        <v>3</v>
      </c>
      <c r="V85" t="s">
        <v>44</v>
      </c>
      <c r="W85" t="str">
        <f>IF(HR_Data[[#This Row],[age]]&lt;25,"Under 25",IF(HR_Data[[#This Row],[age]]&lt;35,"25-34",IF(HR_Data[[#This Row],[age]]&lt;45,"35-44",IF(HR_Data[[#This Row],[age]]&lt;55,"45-54","55+"))))</f>
        <v>35-44</v>
      </c>
      <c r="X85" t="str">
        <f t="shared" si="1"/>
        <v>5,000-7,999</v>
      </c>
    </row>
    <row r="86" spans="1:24" x14ac:dyDescent="0.3">
      <c r="A86">
        <v>110</v>
      </c>
      <c r="B86">
        <v>34</v>
      </c>
      <c r="C86" t="s">
        <v>36</v>
      </c>
      <c r="D86" t="s">
        <v>23</v>
      </c>
      <c r="E86" t="s">
        <v>38</v>
      </c>
      <c r="F86">
        <v>1</v>
      </c>
      <c r="G86" t="s">
        <v>25</v>
      </c>
      <c r="H86" t="s">
        <v>48</v>
      </c>
      <c r="I86" t="s">
        <v>34</v>
      </c>
      <c r="J86" t="s">
        <v>40</v>
      </c>
      <c r="K86" t="s">
        <v>29</v>
      </c>
      <c r="L86" t="s">
        <v>52</v>
      </c>
      <c r="M86" t="s">
        <v>27</v>
      </c>
      <c r="N86" t="s">
        <v>42</v>
      </c>
      <c r="O86">
        <v>4325</v>
      </c>
      <c r="P86">
        <v>1</v>
      </c>
      <c r="Q86" t="s">
        <v>36</v>
      </c>
      <c r="R86">
        <v>15</v>
      </c>
      <c r="S86" t="s">
        <v>33</v>
      </c>
      <c r="T86" t="s">
        <v>29</v>
      </c>
      <c r="U86">
        <v>2</v>
      </c>
      <c r="V86" t="s">
        <v>44</v>
      </c>
      <c r="W86" t="str">
        <f>IF(HR_Data[[#This Row],[age]]&lt;25,"Under 25",IF(HR_Data[[#This Row],[age]]&lt;35,"25-34",IF(HR_Data[[#This Row],[age]]&lt;45,"35-44",IF(HR_Data[[#This Row],[age]]&lt;55,"45-54","55+"))))</f>
        <v>25-34</v>
      </c>
      <c r="X86" t="str">
        <f t="shared" si="1"/>
        <v>3,000-4,999</v>
      </c>
    </row>
    <row r="87" spans="1:24" x14ac:dyDescent="0.3">
      <c r="A87">
        <v>112</v>
      </c>
      <c r="B87">
        <v>56</v>
      </c>
      <c r="C87" t="s">
        <v>36</v>
      </c>
      <c r="D87" t="s">
        <v>23</v>
      </c>
      <c r="E87" t="s">
        <v>38</v>
      </c>
      <c r="F87">
        <v>7</v>
      </c>
      <c r="G87" t="s">
        <v>50</v>
      </c>
      <c r="H87" t="s">
        <v>26</v>
      </c>
      <c r="I87" t="s">
        <v>31</v>
      </c>
      <c r="J87" t="s">
        <v>40</v>
      </c>
      <c r="K87" t="s">
        <v>34</v>
      </c>
      <c r="L87" t="s">
        <v>52</v>
      </c>
      <c r="M87" t="s">
        <v>31</v>
      </c>
      <c r="N87" t="s">
        <v>32</v>
      </c>
      <c r="O87">
        <v>7260</v>
      </c>
      <c r="P87">
        <v>4</v>
      </c>
      <c r="Q87" t="s">
        <v>36</v>
      </c>
      <c r="R87">
        <v>11</v>
      </c>
      <c r="S87" t="s">
        <v>33</v>
      </c>
      <c r="T87" t="s">
        <v>34</v>
      </c>
      <c r="U87">
        <v>3</v>
      </c>
      <c r="V87" t="s">
        <v>49</v>
      </c>
      <c r="W87" t="str">
        <f>IF(HR_Data[[#This Row],[age]]&lt;25,"Under 25",IF(HR_Data[[#This Row],[age]]&lt;35,"25-34",IF(HR_Data[[#This Row],[age]]&lt;45,"35-44",IF(HR_Data[[#This Row],[age]]&lt;55,"45-54","55+"))))</f>
        <v>55+</v>
      </c>
      <c r="X87" t="str">
        <f t="shared" si="1"/>
        <v>5,000-7,999</v>
      </c>
    </row>
    <row r="88" spans="1:24" x14ac:dyDescent="0.3">
      <c r="A88">
        <v>113</v>
      </c>
      <c r="B88">
        <v>23</v>
      </c>
      <c r="C88" t="s">
        <v>36</v>
      </c>
      <c r="D88" t="s">
        <v>23</v>
      </c>
      <c r="E88" t="s">
        <v>24</v>
      </c>
      <c r="F88">
        <v>2</v>
      </c>
      <c r="G88" t="s">
        <v>39</v>
      </c>
      <c r="H88" t="s">
        <v>60</v>
      </c>
      <c r="I88" t="s">
        <v>29</v>
      </c>
      <c r="J88" t="s">
        <v>40</v>
      </c>
      <c r="K88" t="s">
        <v>29</v>
      </c>
      <c r="L88" t="s">
        <v>56</v>
      </c>
      <c r="M88" t="s">
        <v>34</v>
      </c>
      <c r="N88" t="s">
        <v>51</v>
      </c>
      <c r="O88">
        <v>2322</v>
      </c>
      <c r="P88">
        <v>3</v>
      </c>
      <c r="Q88" t="s">
        <v>36</v>
      </c>
      <c r="R88">
        <v>13</v>
      </c>
      <c r="S88" t="s">
        <v>33</v>
      </c>
      <c r="T88" t="s">
        <v>29</v>
      </c>
      <c r="U88">
        <v>3</v>
      </c>
      <c r="V88" t="s">
        <v>44</v>
      </c>
      <c r="W88" t="str">
        <f>IF(HR_Data[[#This Row],[age]]&lt;25,"Under 25",IF(HR_Data[[#This Row],[age]]&lt;35,"25-34",IF(HR_Data[[#This Row],[age]]&lt;45,"35-44",IF(HR_Data[[#This Row],[age]]&lt;55,"45-54","55+"))))</f>
        <v>Under 25</v>
      </c>
      <c r="X88" t="str">
        <f t="shared" si="1"/>
        <v>Below 3,000</v>
      </c>
    </row>
    <row r="89" spans="1:24" x14ac:dyDescent="0.3">
      <c r="A89">
        <v>116</v>
      </c>
      <c r="B89">
        <v>51</v>
      </c>
      <c r="C89" t="s">
        <v>36</v>
      </c>
      <c r="D89" t="s">
        <v>23</v>
      </c>
      <c r="E89" t="s">
        <v>38</v>
      </c>
      <c r="F89">
        <v>9</v>
      </c>
      <c r="G89" t="s">
        <v>47</v>
      </c>
      <c r="H89" t="s">
        <v>26</v>
      </c>
      <c r="I89" t="s">
        <v>31</v>
      </c>
      <c r="J89" t="s">
        <v>40</v>
      </c>
      <c r="K89" t="s">
        <v>29</v>
      </c>
      <c r="L89" t="s">
        <v>46</v>
      </c>
      <c r="M89" t="s">
        <v>31</v>
      </c>
      <c r="N89" t="s">
        <v>42</v>
      </c>
      <c r="O89">
        <v>2075</v>
      </c>
      <c r="P89">
        <v>3</v>
      </c>
      <c r="Q89" t="s">
        <v>36</v>
      </c>
      <c r="R89">
        <v>23</v>
      </c>
      <c r="S89" t="s">
        <v>43</v>
      </c>
      <c r="T89" t="s">
        <v>27</v>
      </c>
      <c r="U89">
        <v>4</v>
      </c>
      <c r="V89" t="s">
        <v>44</v>
      </c>
      <c r="W89" t="str">
        <f>IF(HR_Data[[#This Row],[age]]&lt;25,"Under 25",IF(HR_Data[[#This Row],[age]]&lt;35,"25-34",IF(HR_Data[[#This Row],[age]]&lt;45,"35-44",IF(HR_Data[[#This Row],[age]]&lt;55,"45-54","55+"))))</f>
        <v>45-54</v>
      </c>
      <c r="X89" t="str">
        <f t="shared" si="1"/>
        <v>Below 3,000</v>
      </c>
    </row>
    <row r="90" spans="1:24" x14ac:dyDescent="0.3">
      <c r="A90">
        <v>117</v>
      </c>
      <c r="B90">
        <v>30</v>
      </c>
      <c r="C90" t="s">
        <v>36</v>
      </c>
      <c r="D90" t="s">
        <v>23</v>
      </c>
      <c r="E90" t="s">
        <v>38</v>
      </c>
      <c r="F90">
        <v>2</v>
      </c>
      <c r="G90" t="s">
        <v>50</v>
      </c>
      <c r="H90" t="s">
        <v>26</v>
      </c>
      <c r="I90" t="s">
        <v>29</v>
      </c>
      <c r="J90" t="s">
        <v>40</v>
      </c>
      <c r="K90" t="s">
        <v>27</v>
      </c>
      <c r="L90" t="s">
        <v>53</v>
      </c>
      <c r="M90" t="s">
        <v>31</v>
      </c>
      <c r="N90" t="s">
        <v>42</v>
      </c>
      <c r="O90">
        <v>4152</v>
      </c>
      <c r="P90">
        <v>1</v>
      </c>
      <c r="Q90" t="s">
        <v>36</v>
      </c>
      <c r="R90">
        <v>19</v>
      </c>
      <c r="S90" t="s">
        <v>33</v>
      </c>
      <c r="T90" t="s">
        <v>34</v>
      </c>
      <c r="U90">
        <v>3</v>
      </c>
      <c r="V90" t="s">
        <v>44</v>
      </c>
      <c r="W90" t="str">
        <f>IF(HR_Data[[#This Row],[age]]&lt;25,"Under 25",IF(HR_Data[[#This Row],[age]]&lt;35,"25-34",IF(HR_Data[[#This Row],[age]]&lt;45,"35-44",IF(HR_Data[[#This Row],[age]]&lt;55,"45-54","55+"))))</f>
        <v>25-34</v>
      </c>
      <c r="X90" t="str">
        <f t="shared" si="1"/>
        <v>3,000-4,999</v>
      </c>
    </row>
    <row r="91" spans="1:24" x14ac:dyDescent="0.3">
      <c r="A91">
        <v>118</v>
      </c>
      <c r="B91">
        <v>46</v>
      </c>
      <c r="C91" t="s">
        <v>22</v>
      </c>
      <c r="D91" t="s">
        <v>23</v>
      </c>
      <c r="E91" t="s">
        <v>24</v>
      </c>
      <c r="F91">
        <v>9</v>
      </c>
      <c r="G91" t="s">
        <v>25</v>
      </c>
      <c r="H91" t="s">
        <v>48</v>
      </c>
      <c r="I91" t="s">
        <v>29</v>
      </c>
      <c r="J91" t="s">
        <v>40</v>
      </c>
      <c r="K91" t="s">
        <v>27</v>
      </c>
      <c r="L91" t="s">
        <v>30</v>
      </c>
      <c r="M91" t="s">
        <v>31</v>
      </c>
      <c r="N91" t="s">
        <v>32</v>
      </c>
      <c r="O91">
        <v>9619</v>
      </c>
      <c r="P91">
        <v>1</v>
      </c>
      <c r="Q91" t="s">
        <v>36</v>
      </c>
      <c r="R91">
        <v>16</v>
      </c>
      <c r="S91" t="s">
        <v>33</v>
      </c>
      <c r="T91" t="s">
        <v>31</v>
      </c>
      <c r="U91">
        <v>3</v>
      </c>
      <c r="V91" t="s">
        <v>44</v>
      </c>
      <c r="W91" t="str">
        <f>IF(HR_Data[[#This Row],[age]]&lt;25,"Under 25",IF(HR_Data[[#This Row],[age]]&lt;35,"25-34",IF(HR_Data[[#This Row],[age]]&lt;45,"35-44",IF(HR_Data[[#This Row],[age]]&lt;55,"45-54","55+"))))</f>
        <v>45-54</v>
      </c>
      <c r="X91" t="str">
        <f t="shared" si="1"/>
        <v>8,000+</v>
      </c>
    </row>
    <row r="92" spans="1:24" x14ac:dyDescent="0.3">
      <c r="A92">
        <v>119</v>
      </c>
      <c r="B92">
        <v>40</v>
      </c>
      <c r="C92" t="s">
        <v>36</v>
      </c>
      <c r="D92" t="s">
        <v>37</v>
      </c>
      <c r="E92" t="s">
        <v>38</v>
      </c>
      <c r="F92">
        <v>1</v>
      </c>
      <c r="G92" t="s">
        <v>47</v>
      </c>
      <c r="H92" t="s">
        <v>26</v>
      </c>
      <c r="I92" t="s">
        <v>29</v>
      </c>
      <c r="J92" t="s">
        <v>40</v>
      </c>
      <c r="K92" t="s">
        <v>27</v>
      </c>
      <c r="L92" t="s">
        <v>53</v>
      </c>
      <c r="M92" t="s">
        <v>27</v>
      </c>
      <c r="N92" t="s">
        <v>42</v>
      </c>
      <c r="O92">
        <v>13503</v>
      </c>
      <c r="P92">
        <v>1</v>
      </c>
      <c r="Q92" t="s">
        <v>36</v>
      </c>
      <c r="R92">
        <v>22</v>
      </c>
      <c r="S92" t="s">
        <v>43</v>
      </c>
      <c r="T92" t="s">
        <v>31</v>
      </c>
      <c r="U92">
        <v>3</v>
      </c>
      <c r="V92" t="s">
        <v>49</v>
      </c>
      <c r="W92" t="str">
        <f>IF(HR_Data[[#This Row],[age]]&lt;25,"Under 25",IF(HR_Data[[#This Row],[age]]&lt;35,"25-34",IF(HR_Data[[#This Row],[age]]&lt;45,"35-44",IF(HR_Data[[#This Row],[age]]&lt;55,"45-54","55+"))))</f>
        <v>35-44</v>
      </c>
      <c r="X92" t="str">
        <f t="shared" si="1"/>
        <v>8,000+</v>
      </c>
    </row>
    <row r="93" spans="1:24" x14ac:dyDescent="0.3">
      <c r="A93">
        <v>120</v>
      </c>
      <c r="B93">
        <v>51</v>
      </c>
      <c r="C93" t="s">
        <v>36</v>
      </c>
      <c r="D93" t="s">
        <v>23</v>
      </c>
      <c r="E93" t="s">
        <v>24</v>
      </c>
      <c r="F93">
        <v>21</v>
      </c>
      <c r="G93" t="s">
        <v>47</v>
      </c>
      <c r="H93" t="s">
        <v>58</v>
      </c>
      <c r="I93" t="s">
        <v>29</v>
      </c>
      <c r="J93" t="s">
        <v>40</v>
      </c>
      <c r="K93" t="s">
        <v>29</v>
      </c>
      <c r="L93" t="s">
        <v>30</v>
      </c>
      <c r="M93" t="s">
        <v>31</v>
      </c>
      <c r="N93" t="s">
        <v>32</v>
      </c>
      <c r="O93">
        <v>5441</v>
      </c>
      <c r="P93">
        <v>0</v>
      </c>
      <c r="Q93" t="s">
        <v>22</v>
      </c>
      <c r="R93">
        <v>22</v>
      </c>
      <c r="S93" t="s">
        <v>43</v>
      </c>
      <c r="T93" t="s">
        <v>31</v>
      </c>
      <c r="U93">
        <v>2</v>
      </c>
      <c r="V93" t="s">
        <v>35</v>
      </c>
      <c r="W93" t="str">
        <f>IF(HR_Data[[#This Row],[age]]&lt;25,"Under 25",IF(HR_Data[[#This Row],[age]]&lt;35,"25-34",IF(HR_Data[[#This Row],[age]]&lt;45,"35-44",IF(HR_Data[[#This Row],[age]]&lt;55,"45-54","55+"))))</f>
        <v>45-54</v>
      </c>
      <c r="X93" t="str">
        <f t="shared" si="1"/>
        <v>5,000-7,999</v>
      </c>
    </row>
    <row r="94" spans="1:24" x14ac:dyDescent="0.3">
      <c r="A94">
        <v>121</v>
      </c>
      <c r="B94">
        <v>30</v>
      </c>
      <c r="C94" t="s">
        <v>36</v>
      </c>
      <c r="D94" t="s">
        <v>23</v>
      </c>
      <c r="E94" t="s">
        <v>24</v>
      </c>
      <c r="F94">
        <v>4</v>
      </c>
      <c r="G94" t="s">
        <v>25</v>
      </c>
      <c r="H94" t="s">
        <v>48</v>
      </c>
      <c r="I94" t="s">
        <v>29</v>
      </c>
      <c r="J94" t="s">
        <v>28</v>
      </c>
      <c r="K94" t="s">
        <v>27</v>
      </c>
      <c r="L94" t="s">
        <v>30</v>
      </c>
      <c r="M94" t="s">
        <v>27</v>
      </c>
      <c r="N94" t="s">
        <v>51</v>
      </c>
      <c r="O94">
        <v>5209</v>
      </c>
      <c r="P94">
        <v>1</v>
      </c>
      <c r="Q94" t="s">
        <v>22</v>
      </c>
      <c r="R94">
        <v>12</v>
      </c>
      <c r="S94" t="s">
        <v>33</v>
      </c>
      <c r="T94" t="s">
        <v>27</v>
      </c>
      <c r="U94">
        <v>4</v>
      </c>
      <c r="V94" t="s">
        <v>49</v>
      </c>
      <c r="W94" t="str">
        <f>IF(HR_Data[[#This Row],[age]]&lt;25,"Under 25",IF(HR_Data[[#This Row],[age]]&lt;35,"25-34",IF(HR_Data[[#This Row],[age]]&lt;45,"35-44",IF(HR_Data[[#This Row],[age]]&lt;55,"45-54","55+"))))</f>
        <v>25-34</v>
      </c>
      <c r="X94" t="str">
        <f t="shared" si="1"/>
        <v>5,000-7,999</v>
      </c>
    </row>
    <row r="95" spans="1:24" x14ac:dyDescent="0.3">
      <c r="A95">
        <v>124</v>
      </c>
      <c r="B95">
        <v>46</v>
      </c>
      <c r="C95" t="s">
        <v>36</v>
      </c>
      <c r="D95" t="s">
        <v>37</v>
      </c>
      <c r="E95" t="s">
        <v>38</v>
      </c>
      <c r="F95">
        <v>1</v>
      </c>
      <c r="G95" t="s">
        <v>50</v>
      </c>
      <c r="H95" t="s">
        <v>48</v>
      </c>
      <c r="I95" t="s">
        <v>29</v>
      </c>
      <c r="J95" t="s">
        <v>40</v>
      </c>
      <c r="K95" t="s">
        <v>27</v>
      </c>
      <c r="L95" t="s">
        <v>53</v>
      </c>
      <c r="M95" t="s">
        <v>34</v>
      </c>
      <c r="N95" t="s">
        <v>42</v>
      </c>
      <c r="O95">
        <v>10673</v>
      </c>
      <c r="P95">
        <v>2</v>
      </c>
      <c r="Q95" t="s">
        <v>22</v>
      </c>
      <c r="R95">
        <v>13</v>
      </c>
      <c r="S95" t="s">
        <v>33</v>
      </c>
      <c r="T95" t="s">
        <v>29</v>
      </c>
      <c r="U95">
        <v>5</v>
      </c>
      <c r="V95" t="s">
        <v>49</v>
      </c>
      <c r="W95" t="str">
        <f>IF(HR_Data[[#This Row],[age]]&lt;25,"Under 25",IF(HR_Data[[#This Row],[age]]&lt;35,"25-34",IF(HR_Data[[#This Row],[age]]&lt;45,"35-44",IF(HR_Data[[#This Row],[age]]&lt;55,"45-54","55+"))))</f>
        <v>45-54</v>
      </c>
      <c r="X95" t="str">
        <f t="shared" si="1"/>
        <v>8,000+</v>
      </c>
    </row>
    <row r="96" spans="1:24" x14ac:dyDescent="0.3">
      <c r="A96">
        <v>125</v>
      </c>
      <c r="B96">
        <v>32</v>
      </c>
      <c r="C96" t="s">
        <v>36</v>
      </c>
      <c r="D96" t="s">
        <v>23</v>
      </c>
      <c r="E96" t="s">
        <v>24</v>
      </c>
      <c r="F96">
        <v>6</v>
      </c>
      <c r="G96" t="s">
        <v>47</v>
      </c>
      <c r="H96" t="s">
        <v>48</v>
      </c>
      <c r="I96" t="s">
        <v>27</v>
      </c>
      <c r="J96" t="s">
        <v>40</v>
      </c>
      <c r="K96" t="s">
        <v>29</v>
      </c>
      <c r="L96" t="s">
        <v>30</v>
      </c>
      <c r="M96" t="s">
        <v>29</v>
      </c>
      <c r="N96" t="s">
        <v>32</v>
      </c>
      <c r="O96">
        <v>5010</v>
      </c>
      <c r="P96">
        <v>1</v>
      </c>
      <c r="Q96" t="s">
        <v>36</v>
      </c>
      <c r="R96">
        <v>16</v>
      </c>
      <c r="S96" t="s">
        <v>33</v>
      </c>
      <c r="T96" t="s">
        <v>34</v>
      </c>
      <c r="U96">
        <v>0</v>
      </c>
      <c r="V96" t="s">
        <v>44</v>
      </c>
      <c r="W96" t="str">
        <f>IF(HR_Data[[#This Row],[age]]&lt;25,"Under 25",IF(HR_Data[[#This Row],[age]]&lt;35,"25-34",IF(HR_Data[[#This Row],[age]]&lt;45,"35-44",IF(HR_Data[[#This Row],[age]]&lt;55,"45-54","55+"))))</f>
        <v>25-34</v>
      </c>
      <c r="X96" t="str">
        <f t="shared" si="1"/>
        <v>5,000-7,999</v>
      </c>
    </row>
    <row r="97" spans="1:24" x14ac:dyDescent="0.3">
      <c r="A97">
        <v>126</v>
      </c>
      <c r="B97">
        <v>54</v>
      </c>
      <c r="C97" t="s">
        <v>36</v>
      </c>
      <c r="D97" t="s">
        <v>23</v>
      </c>
      <c r="E97" t="s">
        <v>38</v>
      </c>
      <c r="F97">
        <v>2</v>
      </c>
      <c r="G97" t="s">
        <v>47</v>
      </c>
      <c r="H97" t="s">
        <v>60</v>
      </c>
      <c r="I97" t="s">
        <v>34</v>
      </c>
      <c r="J97" t="s">
        <v>28</v>
      </c>
      <c r="K97" t="s">
        <v>29</v>
      </c>
      <c r="L97" t="s">
        <v>57</v>
      </c>
      <c r="M97" t="s">
        <v>29</v>
      </c>
      <c r="N97" t="s">
        <v>42</v>
      </c>
      <c r="O97">
        <v>13549</v>
      </c>
      <c r="P97">
        <v>9</v>
      </c>
      <c r="Q97" t="s">
        <v>36</v>
      </c>
      <c r="R97">
        <v>12</v>
      </c>
      <c r="S97" t="s">
        <v>33</v>
      </c>
      <c r="T97" t="s">
        <v>34</v>
      </c>
      <c r="U97">
        <v>5</v>
      </c>
      <c r="V97" t="s">
        <v>35</v>
      </c>
      <c r="W97" t="str">
        <f>IF(HR_Data[[#This Row],[age]]&lt;25,"Under 25",IF(HR_Data[[#This Row],[age]]&lt;35,"25-34",IF(HR_Data[[#This Row],[age]]&lt;45,"35-44",IF(HR_Data[[#This Row],[age]]&lt;55,"45-54","55+"))))</f>
        <v>45-54</v>
      </c>
      <c r="X97" t="str">
        <f t="shared" si="1"/>
        <v>8,000+</v>
      </c>
    </row>
    <row r="98" spans="1:24" x14ac:dyDescent="0.3">
      <c r="A98">
        <v>128</v>
      </c>
      <c r="B98">
        <v>24</v>
      </c>
      <c r="C98" t="s">
        <v>36</v>
      </c>
      <c r="D98" t="s">
        <v>23</v>
      </c>
      <c r="E98" t="s">
        <v>24</v>
      </c>
      <c r="F98">
        <v>3</v>
      </c>
      <c r="G98" t="s">
        <v>25</v>
      </c>
      <c r="H98" t="s">
        <v>45</v>
      </c>
      <c r="I98" t="s">
        <v>34</v>
      </c>
      <c r="J98" t="s">
        <v>28</v>
      </c>
      <c r="K98" t="s">
        <v>29</v>
      </c>
      <c r="L98" t="s">
        <v>30</v>
      </c>
      <c r="M98" t="s">
        <v>29</v>
      </c>
      <c r="N98" t="s">
        <v>42</v>
      </c>
      <c r="O98">
        <v>4999</v>
      </c>
      <c r="P98">
        <v>0</v>
      </c>
      <c r="Q98" t="s">
        <v>36</v>
      </c>
      <c r="R98">
        <v>21</v>
      </c>
      <c r="S98" t="s">
        <v>43</v>
      </c>
      <c r="T98" t="s">
        <v>34</v>
      </c>
      <c r="U98">
        <v>2</v>
      </c>
      <c r="V98" t="s">
        <v>49</v>
      </c>
      <c r="W98" t="str">
        <f>IF(HR_Data[[#This Row],[age]]&lt;25,"Under 25",IF(HR_Data[[#This Row],[age]]&lt;35,"25-34",IF(HR_Data[[#This Row],[age]]&lt;45,"35-44",IF(HR_Data[[#This Row],[age]]&lt;55,"45-54","55+"))))</f>
        <v>Under 25</v>
      </c>
      <c r="X98" t="str">
        <f t="shared" si="1"/>
        <v>3,000-4,999</v>
      </c>
    </row>
    <row r="99" spans="1:24" x14ac:dyDescent="0.3">
      <c r="A99">
        <v>129</v>
      </c>
      <c r="B99">
        <v>28</v>
      </c>
      <c r="C99" t="s">
        <v>36</v>
      </c>
      <c r="D99" t="s">
        <v>54</v>
      </c>
      <c r="E99" t="s">
        <v>24</v>
      </c>
      <c r="F99">
        <v>4</v>
      </c>
      <c r="G99" t="s">
        <v>50</v>
      </c>
      <c r="H99" t="s">
        <v>48</v>
      </c>
      <c r="I99" t="s">
        <v>27</v>
      </c>
      <c r="J99" t="s">
        <v>40</v>
      </c>
      <c r="K99" t="s">
        <v>29</v>
      </c>
      <c r="L99" t="s">
        <v>30</v>
      </c>
      <c r="M99" t="s">
        <v>29</v>
      </c>
      <c r="N99" t="s">
        <v>42</v>
      </c>
      <c r="O99">
        <v>4221</v>
      </c>
      <c r="P99">
        <v>1</v>
      </c>
      <c r="Q99" t="s">
        <v>36</v>
      </c>
      <c r="R99">
        <v>15</v>
      </c>
      <c r="S99" t="s">
        <v>33</v>
      </c>
      <c r="T99" t="s">
        <v>27</v>
      </c>
      <c r="U99">
        <v>3</v>
      </c>
      <c r="V99" t="s">
        <v>59</v>
      </c>
      <c r="W99" t="str">
        <f>IF(HR_Data[[#This Row],[age]]&lt;25,"Under 25",IF(HR_Data[[#This Row],[age]]&lt;35,"25-34",IF(HR_Data[[#This Row],[age]]&lt;45,"35-44",IF(HR_Data[[#This Row],[age]]&lt;55,"45-54","55+"))))</f>
        <v>25-34</v>
      </c>
      <c r="X99" t="str">
        <f t="shared" si="1"/>
        <v>3,000-4,999</v>
      </c>
    </row>
    <row r="100" spans="1:24" x14ac:dyDescent="0.3">
      <c r="A100">
        <v>131</v>
      </c>
      <c r="B100">
        <v>58</v>
      </c>
      <c r="C100" t="s">
        <v>36</v>
      </c>
      <c r="D100" t="s">
        <v>23</v>
      </c>
      <c r="E100" t="s">
        <v>24</v>
      </c>
      <c r="F100">
        <v>10</v>
      </c>
      <c r="G100" t="s">
        <v>47</v>
      </c>
      <c r="H100" t="s">
        <v>48</v>
      </c>
      <c r="I100" t="s">
        <v>31</v>
      </c>
      <c r="J100" t="s">
        <v>40</v>
      </c>
      <c r="K100" t="s">
        <v>29</v>
      </c>
      <c r="L100" t="s">
        <v>30</v>
      </c>
      <c r="M100" t="s">
        <v>29</v>
      </c>
      <c r="N100" t="s">
        <v>32</v>
      </c>
      <c r="O100">
        <v>13872</v>
      </c>
      <c r="P100">
        <v>0</v>
      </c>
      <c r="Q100" t="s">
        <v>36</v>
      </c>
      <c r="R100">
        <v>13</v>
      </c>
      <c r="S100" t="s">
        <v>33</v>
      </c>
      <c r="T100" t="s">
        <v>29</v>
      </c>
      <c r="U100">
        <v>1</v>
      </c>
      <c r="V100" t="s">
        <v>49</v>
      </c>
      <c r="W100" t="str">
        <f>IF(HR_Data[[#This Row],[age]]&lt;25,"Under 25",IF(HR_Data[[#This Row],[age]]&lt;35,"25-34",IF(HR_Data[[#This Row],[age]]&lt;45,"35-44",IF(HR_Data[[#This Row],[age]]&lt;55,"45-54","55+"))))</f>
        <v>55+</v>
      </c>
      <c r="X100" t="str">
        <f t="shared" si="1"/>
        <v>8,000+</v>
      </c>
    </row>
    <row r="101" spans="1:24" x14ac:dyDescent="0.3">
      <c r="A101">
        <v>132</v>
      </c>
      <c r="B101">
        <v>44</v>
      </c>
      <c r="C101" t="s">
        <v>36</v>
      </c>
      <c r="D101" t="s">
        <v>54</v>
      </c>
      <c r="E101" t="s">
        <v>38</v>
      </c>
      <c r="F101">
        <v>23</v>
      </c>
      <c r="G101" t="s">
        <v>50</v>
      </c>
      <c r="H101" t="s">
        <v>48</v>
      </c>
      <c r="I101" t="s">
        <v>27</v>
      </c>
      <c r="J101" t="s">
        <v>40</v>
      </c>
      <c r="K101" t="s">
        <v>29</v>
      </c>
      <c r="L101" t="s">
        <v>46</v>
      </c>
      <c r="M101" t="s">
        <v>27</v>
      </c>
      <c r="N101" t="s">
        <v>42</v>
      </c>
      <c r="O101">
        <v>2042</v>
      </c>
      <c r="P101">
        <v>4</v>
      </c>
      <c r="Q101" t="s">
        <v>36</v>
      </c>
      <c r="R101">
        <v>12</v>
      </c>
      <c r="S101" t="s">
        <v>33</v>
      </c>
      <c r="T101" t="s">
        <v>29</v>
      </c>
      <c r="U101">
        <v>3</v>
      </c>
      <c r="V101" t="s">
        <v>59</v>
      </c>
      <c r="W101" t="str">
        <f>IF(HR_Data[[#This Row],[age]]&lt;25,"Under 25",IF(HR_Data[[#This Row],[age]]&lt;35,"25-34",IF(HR_Data[[#This Row],[age]]&lt;45,"35-44",IF(HR_Data[[#This Row],[age]]&lt;55,"45-54","55+"))))</f>
        <v>35-44</v>
      </c>
      <c r="X101" t="str">
        <f t="shared" si="1"/>
        <v>Below 3,000</v>
      </c>
    </row>
    <row r="102" spans="1:24" x14ac:dyDescent="0.3">
      <c r="A102">
        <v>133</v>
      </c>
      <c r="B102">
        <v>37</v>
      </c>
      <c r="C102" t="s">
        <v>22</v>
      </c>
      <c r="D102" t="s">
        <v>23</v>
      </c>
      <c r="E102" t="s">
        <v>62</v>
      </c>
      <c r="F102">
        <v>6</v>
      </c>
      <c r="G102" t="s">
        <v>47</v>
      </c>
      <c r="H102" t="s">
        <v>62</v>
      </c>
      <c r="I102" t="s">
        <v>29</v>
      </c>
      <c r="J102" t="s">
        <v>40</v>
      </c>
      <c r="K102" t="s">
        <v>29</v>
      </c>
      <c r="L102" t="s">
        <v>62</v>
      </c>
      <c r="M102" t="s">
        <v>34</v>
      </c>
      <c r="N102" t="s">
        <v>51</v>
      </c>
      <c r="O102">
        <v>2073</v>
      </c>
      <c r="P102">
        <v>4</v>
      </c>
      <c r="Q102" t="s">
        <v>22</v>
      </c>
      <c r="R102">
        <v>22</v>
      </c>
      <c r="S102" t="s">
        <v>43</v>
      </c>
      <c r="T102" t="s">
        <v>31</v>
      </c>
      <c r="U102">
        <v>3</v>
      </c>
      <c r="V102" t="s">
        <v>44</v>
      </c>
      <c r="W102" t="str">
        <f>IF(HR_Data[[#This Row],[age]]&lt;25,"Under 25",IF(HR_Data[[#This Row],[age]]&lt;35,"25-34",IF(HR_Data[[#This Row],[age]]&lt;45,"35-44",IF(HR_Data[[#This Row],[age]]&lt;55,"45-54","55+"))))</f>
        <v>35-44</v>
      </c>
      <c r="X102" t="str">
        <f t="shared" si="1"/>
        <v>Below 3,000</v>
      </c>
    </row>
    <row r="103" spans="1:24" x14ac:dyDescent="0.3">
      <c r="A103">
        <v>134</v>
      </c>
      <c r="B103">
        <v>32</v>
      </c>
      <c r="C103" t="s">
        <v>36</v>
      </c>
      <c r="D103" t="s">
        <v>23</v>
      </c>
      <c r="E103" t="s">
        <v>38</v>
      </c>
      <c r="F103">
        <v>1</v>
      </c>
      <c r="G103" t="s">
        <v>39</v>
      </c>
      <c r="H103" t="s">
        <v>26</v>
      </c>
      <c r="I103" t="s">
        <v>31</v>
      </c>
      <c r="J103" t="s">
        <v>40</v>
      </c>
      <c r="K103" t="s">
        <v>29</v>
      </c>
      <c r="L103" t="s">
        <v>41</v>
      </c>
      <c r="M103" t="s">
        <v>34</v>
      </c>
      <c r="N103" t="s">
        <v>32</v>
      </c>
      <c r="O103">
        <v>2956</v>
      </c>
      <c r="P103">
        <v>1</v>
      </c>
      <c r="Q103" t="s">
        <v>36</v>
      </c>
      <c r="R103">
        <v>13</v>
      </c>
      <c r="S103" t="s">
        <v>33</v>
      </c>
      <c r="T103" t="s">
        <v>31</v>
      </c>
      <c r="U103">
        <v>2</v>
      </c>
      <c r="V103" t="s">
        <v>44</v>
      </c>
      <c r="W103" t="str">
        <f>IF(HR_Data[[#This Row],[age]]&lt;25,"Under 25",IF(HR_Data[[#This Row],[age]]&lt;35,"25-34",IF(HR_Data[[#This Row],[age]]&lt;45,"35-44",IF(HR_Data[[#This Row],[age]]&lt;55,"45-54","55+"))))</f>
        <v>25-34</v>
      </c>
      <c r="X103" t="str">
        <f t="shared" si="1"/>
        <v>Below 3,000</v>
      </c>
    </row>
    <row r="104" spans="1:24" x14ac:dyDescent="0.3">
      <c r="A104">
        <v>137</v>
      </c>
      <c r="B104">
        <v>20</v>
      </c>
      <c r="C104" t="s">
        <v>22</v>
      </c>
      <c r="D104" t="s">
        <v>37</v>
      </c>
      <c r="E104" t="s">
        <v>38</v>
      </c>
      <c r="F104">
        <v>6</v>
      </c>
      <c r="G104" t="s">
        <v>50</v>
      </c>
      <c r="H104" t="s">
        <v>26</v>
      </c>
      <c r="I104" t="s">
        <v>31</v>
      </c>
      <c r="J104" t="s">
        <v>28</v>
      </c>
      <c r="K104" t="s">
        <v>27</v>
      </c>
      <c r="L104" t="s">
        <v>46</v>
      </c>
      <c r="M104" t="s">
        <v>31</v>
      </c>
      <c r="N104" t="s">
        <v>32</v>
      </c>
      <c r="O104">
        <v>2926</v>
      </c>
      <c r="P104">
        <v>1</v>
      </c>
      <c r="Q104" t="s">
        <v>22</v>
      </c>
      <c r="R104">
        <v>18</v>
      </c>
      <c r="S104" t="s">
        <v>33</v>
      </c>
      <c r="T104" t="s">
        <v>27</v>
      </c>
      <c r="U104">
        <v>5</v>
      </c>
      <c r="V104" t="s">
        <v>44</v>
      </c>
      <c r="W104" t="str">
        <f>IF(HR_Data[[#This Row],[age]]&lt;25,"Under 25",IF(HR_Data[[#This Row],[age]]&lt;35,"25-34",IF(HR_Data[[#This Row],[age]]&lt;45,"35-44",IF(HR_Data[[#This Row],[age]]&lt;55,"45-54","55+"))))</f>
        <v>Under 25</v>
      </c>
      <c r="X104" t="str">
        <f t="shared" si="1"/>
        <v>Below 3,000</v>
      </c>
    </row>
    <row r="105" spans="1:24" x14ac:dyDescent="0.3">
      <c r="A105">
        <v>138</v>
      </c>
      <c r="B105">
        <v>34</v>
      </c>
      <c r="C105" t="s">
        <v>36</v>
      </c>
      <c r="D105" t="s">
        <v>23</v>
      </c>
      <c r="E105" t="s">
        <v>38</v>
      </c>
      <c r="F105">
        <v>6</v>
      </c>
      <c r="G105" t="s">
        <v>47</v>
      </c>
      <c r="H105" t="s">
        <v>45</v>
      </c>
      <c r="I105" t="s">
        <v>34</v>
      </c>
      <c r="J105" t="s">
        <v>28</v>
      </c>
      <c r="K105" t="s">
        <v>29</v>
      </c>
      <c r="L105" t="s">
        <v>41</v>
      </c>
      <c r="M105" t="s">
        <v>29</v>
      </c>
      <c r="N105" t="s">
        <v>32</v>
      </c>
      <c r="O105">
        <v>4809</v>
      </c>
      <c r="P105">
        <v>1</v>
      </c>
      <c r="Q105" t="s">
        <v>36</v>
      </c>
      <c r="R105">
        <v>14</v>
      </c>
      <c r="S105" t="s">
        <v>33</v>
      </c>
      <c r="T105" t="s">
        <v>29</v>
      </c>
      <c r="U105">
        <v>3</v>
      </c>
      <c r="V105" t="s">
        <v>44</v>
      </c>
      <c r="W105" t="str">
        <f>IF(HR_Data[[#This Row],[age]]&lt;25,"Under 25",IF(HR_Data[[#This Row],[age]]&lt;35,"25-34",IF(HR_Data[[#This Row],[age]]&lt;45,"35-44",IF(HR_Data[[#This Row],[age]]&lt;55,"45-54","55+"))))</f>
        <v>25-34</v>
      </c>
      <c r="X105" t="str">
        <f t="shared" si="1"/>
        <v>3,000-4,999</v>
      </c>
    </row>
    <row r="106" spans="1:24" x14ac:dyDescent="0.3">
      <c r="A106">
        <v>139</v>
      </c>
      <c r="B106">
        <v>37</v>
      </c>
      <c r="C106" t="s">
        <v>36</v>
      </c>
      <c r="D106" t="s">
        <v>54</v>
      </c>
      <c r="E106" t="s">
        <v>38</v>
      </c>
      <c r="F106">
        <v>2</v>
      </c>
      <c r="G106" t="s">
        <v>25</v>
      </c>
      <c r="H106" t="s">
        <v>26</v>
      </c>
      <c r="I106" t="s">
        <v>29</v>
      </c>
      <c r="J106" t="s">
        <v>40</v>
      </c>
      <c r="K106" t="s">
        <v>27</v>
      </c>
      <c r="L106" t="s">
        <v>53</v>
      </c>
      <c r="M106" t="s">
        <v>31</v>
      </c>
      <c r="N106" t="s">
        <v>51</v>
      </c>
      <c r="O106">
        <v>5163</v>
      </c>
      <c r="P106">
        <v>5</v>
      </c>
      <c r="Q106" t="s">
        <v>36</v>
      </c>
      <c r="R106">
        <v>14</v>
      </c>
      <c r="S106" t="s">
        <v>33</v>
      </c>
      <c r="T106" t="s">
        <v>31</v>
      </c>
      <c r="U106">
        <v>2</v>
      </c>
      <c r="V106" t="s">
        <v>59</v>
      </c>
      <c r="W106" t="str">
        <f>IF(HR_Data[[#This Row],[age]]&lt;25,"Under 25",IF(HR_Data[[#This Row],[age]]&lt;35,"25-34",IF(HR_Data[[#This Row],[age]]&lt;45,"35-44",IF(HR_Data[[#This Row],[age]]&lt;55,"45-54","55+"))))</f>
        <v>35-44</v>
      </c>
      <c r="X106" t="str">
        <f t="shared" si="1"/>
        <v>5,000-7,999</v>
      </c>
    </row>
    <row r="107" spans="1:24" x14ac:dyDescent="0.3">
      <c r="A107">
        <v>140</v>
      </c>
      <c r="B107">
        <v>59</v>
      </c>
      <c r="C107" t="s">
        <v>36</v>
      </c>
      <c r="D107" t="s">
        <v>54</v>
      </c>
      <c r="E107" t="s">
        <v>62</v>
      </c>
      <c r="F107">
        <v>2</v>
      </c>
      <c r="G107" t="s">
        <v>47</v>
      </c>
      <c r="H107" t="s">
        <v>62</v>
      </c>
      <c r="I107" t="s">
        <v>29</v>
      </c>
      <c r="J107" t="s">
        <v>28</v>
      </c>
      <c r="K107" t="s">
        <v>27</v>
      </c>
      <c r="L107" t="s">
        <v>55</v>
      </c>
      <c r="M107" t="s">
        <v>31</v>
      </c>
      <c r="N107" t="s">
        <v>42</v>
      </c>
      <c r="O107">
        <v>18844</v>
      </c>
      <c r="P107">
        <v>9</v>
      </c>
      <c r="Q107" t="s">
        <v>36</v>
      </c>
      <c r="R107">
        <v>21</v>
      </c>
      <c r="S107" t="s">
        <v>43</v>
      </c>
      <c r="T107" t="s">
        <v>31</v>
      </c>
      <c r="U107">
        <v>3</v>
      </c>
      <c r="V107" t="s">
        <v>44</v>
      </c>
      <c r="W107" t="str">
        <f>IF(HR_Data[[#This Row],[age]]&lt;25,"Under 25",IF(HR_Data[[#This Row],[age]]&lt;35,"25-34",IF(HR_Data[[#This Row],[age]]&lt;45,"35-44",IF(HR_Data[[#This Row],[age]]&lt;55,"45-54","55+"))))</f>
        <v>55+</v>
      </c>
      <c r="X107" t="str">
        <f t="shared" si="1"/>
        <v>8,000+</v>
      </c>
    </row>
    <row r="108" spans="1:24" x14ac:dyDescent="0.3">
      <c r="A108">
        <v>141</v>
      </c>
      <c r="B108">
        <v>50</v>
      </c>
      <c r="C108" t="s">
        <v>36</v>
      </c>
      <c r="D108" t="s">
        <v>37</v>
      </c>
      <c r="E108" t="s">
        <v>38</v>
      </c>
      <c r="F108">
        <v>1</v>
      </c>
      <c r="G108" t="s">
        <v>50</v>
      </c>
      <c r="H108" t="s">
        <v>26</v>
      </c>
      <c r="I108" t="s">
        <v>34</v>
      </c>
      <c r="J108" t="s">
        <v>28</v>
      </c>
      <c r="K108" t="s">
        <v>29</v>
      </c>
      <c r="L108" t="s">
        <v>57</v>
      </c>
      <c r="M108" t="s">
        <v>27</v>
      </c>
      <c r="N108" t="s">
        <v>42</v>
      </c>
      <c r="O108">
        <v>18172</v>
      </c>
      <c r="P108">
        <v>3</v>
      </c>
      <c r="Q108" t="s">
        <v>22</v>
      </c>
      <c r="R108">
        <v>19</v>
      </c>
      <c r="S108" t="s">
        <v>33</v>
      </c>
      <c r="T108" t="s">
        <v>34</v>
      </c>
      <c r="U108">
        <v>1</v>
      </c>
      <c r="V108" t="s">
        <v>49</v>
      </c>
      <c r="W108" t="str">
        <f>IF(HR_Data[[#This Row],[age]]&lt;25,"Under 25",IF(HR_Data[[#This Row],[age]]&lt;35,"25-34",IF(HR_Data[[#This Row],[age]]&lt;45,"35-44",IF(HR_Data[[#This Row],[age]]&lt;55,"45-54","55+"))))</f>
        <v>45-54</v>
      </c>
      <c r="X108" t="str">
        <f t="shared" si="1"/>
        <v>8,000+</v>
      </c>
    </row>
    <row r="109" spans="1:24" x14ac:dyDescent="0.3">
      <c r="A109">
        <v>142</v>
      </c>
      <c r="B109">
        <v>25</v>
      </c>
      <c r="C109" t="s">
        <v>22</v>
      </c>
      <c r="D109" t="s">
        <v>23</v>
      </c>
      <c r="E109" t="s">
        <v>24</v>
      </c>
      <c r="F109">
        <v>5</v>
      </c>
      <c r="G109" t="s">
        <v>50</v>
      </c>
      <c r="H109" t="s">
        <v>58</v>
      </c>
      <c r="I109" t="s">
        <v>29</v>
      </c>
      <c r="J109" t="s">
        <v>40</v>
      </c>
      <c r="K109" t="s">
        <v>27</v>
      </c>
      <c r="L109" t="s">
        <v>30</v>
      </c>
      <c r="M109" t="s">
        <v>29</v>
      </c>
      <c r="N109" t="s">
        <v>32</v>
      </c>
      <c r="O109">
        <v>5744</v>
      </c>
      <c r="P109">
        <v>1</v>
      </c>
      <c r="Q109" t="s">
        <v>22</v>
      </c>
      <c r="R109">
        <v>11</v>
      </c>
      <c r="S109" t="s">
        <v>33</v>
      </c>
      <c r="T109" t="s">
        <v>31</v>
      </c>
      <c r="U109">
        <v>1</v>
      </c>
      <c r="V109" t="s">
        <v>44</v>
      </c>
      <c r="W109" t="str">
        <f>IF(HR_Data[[#This Row],[age]]&lt;25,"Under 25",IF(HR_Data[[#This Row],[age]]&lt;35,"25-34",IF(HR_Data[[#This Row],[age]]&lt;45,"35-44",IF(HR_Data[[#This Row],[age]]&lt;55,"45-54","55+"))))</f>
        <v>25-34</v>
      </c>
      <c r="X109" t="str">
        <f t="shared" si="1"/>
        <v>5,000-7,999</v>
      </c>
    </row>
    <row r="110" spans="1:24" x14ac:dyDescent="0.3">
      <c r="A110">
        <v>143</v>
      </c>
      <c r="B110">
        <v>25</v>
      </c>
      <c r="C110" t="s">
        <v>36</v>
      </c>
      <c r="D110" t="s">
        <v>23</v>
      </c>
      <c r="E110" t="s">
        <v>38</v>
      </c>
      <c r="F110">
        <v>7</v>
      </c>
      <c r="G110" t="s">
        <v>39</v>
      </c>
      <c r="H110" t="s">
        <v>48</v>
      </c>
      <c r="I110" t="s">
        <v>31</v>
      </c>
      <c r="J110" t="s">
        <v>40</v>
      </c>
      <c r="K110" t="s">
        <v>27</v>
      </c>
      <c r="L110" t="s">
        <v>41</v>
      </c>
      <c r="M110" t="s">
        <v>31</v>
      </c>
      <c r="N110" t="s">
        <v>42</v>
      </c>
      <c r="O110">
        <v>2889</v>
      </c>
      <c r="P110">
        <v>1</v>
      </c>
      <c r="Q110" t="s">
        <v>36</v>
      </c>
      <c r="R110">
        <v>11</v>
      </c>
      <c r="S110" t="s">
        <v>33</v>
      </c>
      <c r="T110" t="s">
        <v>29</v>
      </c>
      <c r="U110">
        <v>2</v>
      </c>
      <c r="V110" t="s">
        <v>44</v>
      </c>
      <c r="W110" t="str">
        <f>IF(HR_Data[[#This Row],[age]]&lt;25,"Under 25",IF(HR_Data[[#This Row],[age]]&lt;35,"25-34",IF(HR_Data[[#This Row],[age]]&lt;45,"35-44",IF(HR_Data[[#This Row],[age]]&lt;55,"45-54","55+"))))</f>
        <v>25-34</v>
      </c>
      <c r="X110" t="str">
        <f t="shared" si="1"/>
        <v>Below 3,000</v>
      </c>
    </row>
    <row r="111" spans="1:24" x14ac:dyDescent="0.3">
      <c r="A111">
        <v>144</v>
      </c>
      <c r="B111">
        <v>22</v>
      </c>
      <c r="C111" t="s">
        <v>36</v>
      </c>
      <c r="D111" t="s">
        <v>23</v>
      </c>
      <c r="E111" t="s">
        <v>38</v>
      </c>
      <c r="F111">
        <v>15</v>
      </c>
      <c r="G111" t="s">
        <v>50</v>
      </c>
      <c r="H111" t="s">
        <v>48</v>
      </c>
      <c r="I111" t="s">
        <v>27</v>
      </c>
      <c r="J111" t="s">
        <v>28</v>
      </c>
      <c r="K111" t="s">
        <v>29</v>
      </c>
      <c r="L111" t="s">
        <v>46</v>
      </c>
      <c r="M111" t="s">
        <v>31</v>
      </c>
      <c r="N111" t="s">
        <v>32</v>
      </c>
      <c r="O111">
        <v>2871</v>
      </c>
      <c r="P111">
        <v>1</v>
      </c>
      <c r="Q111" t="s">
        <v>36</v>
      </c>
      <c r="R111">
        <v>15</v>
      </c>
      <c r="S111" t="s">
        <v>33</v>
      </c>
      <c r="T111" t="s">
        <v>29</v>
      </c>
      <c r="U111">
        <v>5</v>
      </c>
      <c r="V111" t="s">
        <v>44</v>
      </c>
      <c r="W111" t="str">
        <f>IF(HR_Data[[#This Row],[age]]&lt;25,"Under 25",IF(HR_Data[[#This Row],[age]]&lt;35,"25-34",IF(HR_Data[[#This Row],[age]]&lt;45,"35-44",IF(HR_Data[[#This Row],[age]]&lt;55,"45-54","55+"))))</f>
        <v>Under 25</v>
      </c>
      <c r="X111" t="str">
        <f t="shared" si="1"/>
        <v>Below 3,000</v>
      </c>
    </row>
    <row r="112" spans="1:24" x14ac:dyDescent="0.3">
      <c r="A112">
        <v>145</v>
      </c>
      <c r="B112">
        <v>51</v>
      </c>
      <c r="C112" t="s">
        <v>36</v>
      </c>
      <c r="D112" t="s">
        <v>37</v>
      </c>
      <c r="E112" t="s">
        <v>38</v>
      </c>
      <c r="F112">
        <v>1</v>
      </c>
      <c r="G112" t="s">
        <v>47</v>
      </c>
      <c r="H112" t="s">
        <v>48</v>
      </c>
      <c r="I112" t="s">
        <v>34</v>
      </c>
      <c r="J112" t="s">
        <v>28</v>
      </c>
      <c r="K112" t="s">
        <v>27</v>
      </c>
      <c r="L112" t="s">
        <v>53</v>
      </c>
      <c r="M112" t="s">
        <v>34</v>
      </c>
      <c r="N112" t="s">
        <v>32</v>
      </c>
      <c r="O112">
        <v>7484</v>
      </c>
      <c r="P112">
        <v>3</v>
      </c>
      <c r="Q112" t="s">
        <v>36</v>
      </c>
      <c r="R112">
        <v>20</v>
      </c>
      <c r="S112" t="s">
        <v>43</v>
      </c>
      <c r="T112" t="s">
        <v>29</v>
      </c>
      <c r="U112">
        <v>1</v>
      </c>
      <c r="V112" t="s">
        <v>49</v>
      </c>
      <c r="W112" t="str">
        <f>IF(HR_Data[[#This Row],[age]]&lt;25,"Under 25",IF(HR_Data[[#This Row],[age]]&lt;35,"25-34",IF(HR_Data[[#This Row],[age]]&lt;45,"35-44",IF(HR_Data[[#This Row],[age]]&lt;55,"45-54","55+"))))</f>
        <v>45-54</v>
      </c>
      <c r="X112" t="str">
        <f t="shared" si="1"/>
        <v>5,000-7,999</v>
      </c>
    </row>
    <row r="113" spans="1:24" x14ac:dyDescent="0.3">
      <c r="A113">
        <v>147</v>
      </c>
      <c r="B113">
        <v>34</v>
      </c>
      <c r="C113" t="s">
        <v>22</v>
      </c>
      <c r="D113" t="s">
        <v>37</v>
      </c>
      <c r="E113" t="s">
        <v>38</v>
      </c>
      <c r="F113">
        <v>7</v>
      </c>
      <c r="G113" t="s">
        <v>50</v>
      </c>
      <c r="H113" t="s">
        <v>26</v>
      </c>
      <c r="I113" t="s">
        <v>34</v>
      </c>
      <c r="J113" t="s">
        <v>40</v>
      </c>
      <c r="K113" t="s">
        <v>34</v>
      </c>
      <c r="L113" t="s">
        <v>46</v>
      </c>
      <c r="M113" t="s">
        <v>29</v>
      </c>
      <c r="N113" t="s">
        <v>32</v>
      </c>
      <c r="O113">
        <v>6074</v>
      </c>
      <c r="P113">
        <v>1</v>
      </c>
      <c r="Q113" t="s">
        <v>22</v>
      </c>
      <c r="R113">
        <v>24</v>
      </c>
      <c r="S113" t="s">
        <v>43</v>
      </c>
      <c r="T113" t="s">
        <v>31</v>
      </c>
      <c r="U113">
        <v>3</v>
      </c>
      <c r="V113" t="s">
        <v>44</v>
      </c>
      <c r="W113" t="str">
        <f>IF(HR_Data[[#This Row],[age]]&lt;25,"Under 25",IF(HR_Data[[#This Row],[age]]&lt;35,"25-34",IF(HR_Data[[#This Row],[age]]&lt;45,"35-44",IF(HR_Data[[#This Row],[age]]&lt;55,"45-54","55+"))))</f>
        <v>25-34</v>
      </c>
      <c r="X113" t="str">
        <f t="shared" si="1"/>
        <v>5,000-7,999</v>
      </c>
    </row>
    <row r="114" spans="1:24" x14ac:dyDescent="0.3">
      <c r="A114">
        <v>148</v>
      </c>
      <c r="B114">
        <v>54</v>
      </c>
      <c r="C114" t="s">
        <v>36</v>
      </c>
      <c r="D114" t="s">
        <v>54</v>
      </c>
      <c r="E114" t="s">
        <v>62</v>
      </c>
      <c r="F114">
        <v>26</v>
      </c>
      <c r="G114" t="s">
        <v>50</v>
      </c>
      <c r="H114" t="s">
        <v>62</v>
      </c>
      <c r="I114" t="s">
        <v>31</v>
      </c>
      <c r="J114" t="s">
        <v>28</v>
      </c>
      <c r="K114" t="s">
        <v>31</v>
      </c>
      <c r="L114" t="s">
        <v>55</v>
      </c>
      <c r="M114" t="s">
        <v>31</v>
      </c>
      <c r="N114" t="s">
        <v>32</v>
      </c>
      <c r="O114">
        <v>17328</v>
      </c>
      <c r="P114">
        <v>2</v>
      </c>
      <c r="Q114" t="s">
        <v>22</v>
      </c>
      <c r="R114">
        <v>12</v>
      </c>
      <c r="S114" t="s">
        <v>33</v>
      </c>
      <c r="T114" t="s">
        <v>29</v>
      </c>
      <c r="U114">
        <v>3</v>
      </c>
      <c r="V114" t="s">
        <v>44</v>
      </c>
      <c r="W114" t="str">
        <f>IF(HR_Data[[#This Row],[age]]&lt;25,"Under 25",IF(HR_Data[[#This Row],[age]]&lt;35,"25-34",IF(HR_Data[[#This Row],[age]]&lt;45,"35-44",IF(HR_Data[[#This Row],[age]]&lt;55,"45-54","55+"))))</f>
        <v>45-54</v>
      </c>
      <c r="X114" t="str">
        <f t="shared" si="1"/>
        <v>8,000+</v>
      </c>
    </row>
    <row r="115" spans="1:24" x14ac:dyDescent="0.3">
      <c r="A115">
        <v>150</v>
      </c>
      <c r="B115">
        <v>24</v>
      </c>
      <c r="C115" t="s">
        <v>36</v>
      </c>
      <c r="D115" t="s">
        <v>23</v>
      </c>
      <c r="E115" t="s">
        <v>38</v>
      </c>
      <c r="F115">
        <v>18</v>
      </c>
      <c r="G115" t="s">
        <v>39</v>
      </c>
      <c r="H115" t="s">
        <v>26</v>
      </c>
      <c r="I115" t="s">
        <v>27</v>
      </c>
      <c r="J115" t="s">
        <v>40</v>
      </c>
      <c r="K115" t="s">
        <v>29</v>
      </c>
      <c r="L115" t="s">
        <v>46</v>
      </c>
      <c r="M115" t="s">
        <v>29</v>
      </c>
      <c r="N115" t="s">
        <v>42</v>
      </c>
      <c r="O115">
        <v>2774</v>
      </c>
      <c r="P115">
        <v>0</v>
      </c>
      <c r="Q115" t="s">
        <v>36</v>
      </c>
      <c r="R115">
        <v>12</v>
      </c>
      <c r="S115" t="s">
        <v>33</v>
      </c>
      <c r="T115" t="s">
        <v>29</v>
      </c>
      <c r="U115">
        <v>2</v>
      </c>
      <c r="V115" t="s">
        <v>44</v>
      </c>
      <c r="W115" t="str">
        <f>IF(HR_Data[[#This Row],[age]]&lt;25,"Under 25",IF(HR_Data[[#This Row],[age]]&lt;35,"25-34",IF(HR_Data[[#This Row],[age]]&lt;45,"35-44",IF(HR_Data[[#This Row],[age]]&lt;55,"45-54","55+"))))</f>
        <v>Under 25</v>
      </c>
      <c r="X115" t="str">
        <f t="shared" si="1"/>
        <v>Below 3,000</v>
      </c>
    </row>
    <row r="116" spans="1:24" x14ac:dyDescent="0.3">
      <c r="A116">
        <v>151</v>
      </c>
      <c r="B116">
        <v>34</v>
      </c>
      <c r="C116" t="s">
        <v>36</v>
      </c>
      <c r="D116" t="s">
        <v>23</v>
      </c>
      <c r="E116" t="s">
        <v>38</v>
      </c>
      <c r="F116">
        <v>6</v>
      </c>
      <c r="G116" t="s">
        <v>47</v>
      </c>
      <c r="H116" t="s">
        <v>26</v>
      </c>
      <c r="I116" t="s">
        <v>29</v>
      </c>
      <c r="J116" t="s">
        <v>28</v>
      </c>
      <c r="K116" t="s">
        <v>27</v>
      </c>
      <c r="L116" t="s">
        <v>41</v>
      </c>
      <c r="M116" t="s">
        <v>27</v>
      </c>
      <c r="N116" t="s">
        <v>51</v>
      </c>
      <c r="O116">
        <v>4505</v>
      </c>
      <c r="P116">
        <v>6</v>
      </c>
      <c r="Q116" t="s">
        <v>36</v>
      </c>
      <c r="R116">
        <v>15</v>
      </c>
      <c r="S116" t="s">
        <v>33</v>
      </c>
      <c r="T116" t="s">
        <v>29</v>
      </c>
      <c r="U116">
        <v>3</v>
      </c>
      <c r="V116" t="s">
        <v>44</v>
      </c>
      <c r="W116" t="str">
        <f>IF(HR_Data[[#This Row],[age]]&lt;25,"Under 25",IF(HR_Data[[#This Row],[age]]&lt;35,"25-34",IF(HR_Data[[#This Row],[age]]&lt;45,"35-44",IF(HR_Data[[#This Row],[age]]&lt;55,"45-54","55+"))))</f>
        <v>25-34</v>
      </c>
      <c r="X116" t="str">
        <f t="shared" si="1"/>
        <v>3,000-4,999</v>
      </c>
    </row>
    <row r="117" spans="1:24" x14ac:dyDescent="0.3">
      <c r="A117">
        <v>152</v>
      </c>
      <c r="B117">
        <v>37</v>
      </c>
      <c r="C117" t="s">
        <v>36</v>
      </c>
      <c r="D117" t="s">
        <v>23</v>
      </c>
      <c r="E117" t="s">
        <v>24</v>
      </c>
      <c r="F117">
        <v>3</v>
      </c>
      <c r="G117" t="s">
        <v>50</v>
      </c>
      <c r="H117" t="s">
        <v>26</v>
      </c>
      <c r="I117" t="s">
        <v>29</v>
      </c>
      <c r="J117" t="s">
        <v>40</v>
      </c>
      <c r="K117" t="s">
        <v>29</v>
      </c>
      <c r="L117" t="s">
        <v>30</v>
      </c>
      <c r="M117" t="s">
        <v>31</v>
      </c>
      <c r="N117" t="s">
        <v>32</v>
      </c>
      <c r="O117">
        <v>7428</v>
      </c>
      <c r="P117">
        <v>2</v>
      </c>
      <c r="Q117" t="s">
        <v>36</v>
      </c>
      <c r="R117">
        <v>12</v>
      </c>
      <c r="S117" t="s">
        <v>33</v>
      </c>
      <c r="T117" t="s">
        <v>34</v>
      </c>
      <c r="U117">
        <v>3</v>
      </c>
      <c r="V117" t="s">
        <v>44</v>
      </c>
      <c r="W117" t="str">
        <f>IF(HR_Data[[#This Row],[age]]&lt;25,"Under 25",IF(HR_Data[[#This Row],[age]]&lt;35,"25-34",IF(HR_Data[[#This Row],[age]]&lt;45,"35-44",IF(HR_Data[[#This Row],[age]]&lt;55,"45-54","55+"))))</f>
        <v>35-44</v>
      </c>
      <c r="X117" t="str">
        <f t="shared" si="1"/>
        <v>5,000-7,999</v>
      </c>
    </row>
    <row r="118" spans="1:24" x14ac:dyDescent="0.3">
      <c r="A118">
        <v>153</v>
      </c>
      <c r="B118">
        <v>34</v>
      </c>
      <c r="C118" t="s">
        <v>36</v>
      </c>
      <c r="D118" t="s">
        <v>23</v>
      </c>
      <c r="E118" t="s">
        <v>38</v>
      </c>
      <c r="F118">
        <v>5</v>
      </c>
      <c r="G118" t="s">
        <v>50</v>
      </c>
      <c r="H118" t="s">
        <v>48</v>
      </c>
      <c r="I118" t="s">
        <v>29</v>
      </c>
      <c r="J118" t="s">
        <v>28</v>
      </c>
      <c r="K118" t="s">
        <v>27</v>
      </c>
      <c r="L118" t="s">
        <v>55</v>
      </c>
      <c r="M118" t="s">
        <v>34</v>
      </c>
      <c r="N118" t="s">
        <v>32</v>
      </c>
      <c r="O118">
        <v>11631</v>
      </c>
      <c r="P118">
        <v>2</v>
      </c>
      <c r="Q118" t="s">
        <v>36</v>
      </c>
      <c r="R118">
        <v>12</v>
      </c>
      <c r="S118" t="s">
        <v>33</v>
      </c>
      <c r="T118" t="s">
        <v>31</v>
      </c>
      <c r="U118">
        <v>6</v>
      </c>
      <c r="V118" t="s">
        <v>44</v>
      </c>
      <c r="W118" t="str">
        <f>IF(HR_Data[[#This Row],[age]]&lt;25,"Under 25",IF(HR_Data[[#This Row],[age]]&lt;35,"25-34",IF(HR_Data[[#This Row],[age]]&lt;45,"35-44",IF(HR_Data[[#This Row],[age]]&lt;55,"45-54","55+"))))</f>
        <v>25-34</v>
      </c>
      <c r="X118" t="str">
        <f t="shared" si="1"/>
        <v>8,000+</v>
      </c>
    </row>
    <row r="119" spans="1:24" x14ac:dyDescent="0.3">
      <c r="A119">
        <v>154</v>
      </c>
      <c r="B119">
        <v>36</v>
      </c>
      <c r="C119" t="s">
        <v>36</v>
      </c>
      <c r="D119" t="s">
        <v>37</v>
      </c>
      <c r="E119" t="s">
        <v>24</v>
      </c>
      <c r="F119">
        <v>11</v>
      </c>
      <c r="G119" t="s">
        <v>25</v>
      </c>
      <c r="H119" t="s">
        <v>60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42</v>
      </c>
      <c r="O119">
        <v>9738</v>
      </c>
      <c r="P119">
        <v>0</v>
      </c>
      <c r="Q119" t="s">
        <v>36</v>
      </c>
      <c r="R119">
        <v>14</v>
      </c>
      <c r="S119" t="s">
        <v>33</v>
      </c>
      <c r="T119" t="s">
        <v>29</v>
      </c>
      <c r="U119">
        <v>6</v>
      </c>
      <c r="V119" t="s">
        <v>44</v>
      </c>
      <c r="W119" t="str">
        <f>IF(HR_Data[[#This Row],[age]]&lt;25,"Under 25",IF(HR_Data[[#This Row],[age]]&lt;35,"25-34",IF(HR_Data[[#This Row],[age]]&lt;45,"35-44",IF(HR_Data[[#This Row],[age]]&lt;55,"45-54","55+"))))</f>
        <v>35-44</v>
      </c>
      <c r="X119" t="str">
        <f t="shared" si="1"/>
        <v>8,000+</v>
      </c>
    </row>
    <row r="120" spans="1:24" x14ac:dyDescent="0.3">
      <c r="A120">
        <v>155</v>
      </c>
      <c r="B120">
        <v>36</v>
      </c>
      <c r="C120" t="s">
        <v>36</v>
      </c>
      <c r="D120" t="s">
        <v>23</v>
      </c>
      <c r="E120" t="s">
        <v>38</v>
      </c>
      <c r="F120">
        <v>3</v>
      </c>
      <c r="G120" t="s">
        <v>25</v>
      </c>
      <c r="H120" t="s">
        <v>26</v>
      </c>
      <c r="I120" t="s">
        <v>34</v>
      </c>
      <c r="J120" t="s">
        <v>28</v>
      </c>
      <c r="K120" t="s">
        <v>29</v>
      </c>
      <c r="L120" t="s">
        <v>46</v>
      </c>
      <c r="M120" t="s">
        <v>31</v>
      </c>
      <c r="N120" t="s">
        <v>51</v>
      </c>
      <c r="O120">
        <v>2835</v>
      </c>
      <c r="P120">
        <v>5</v>
      </c>
      <c r="Q120" t="s">
        <v>36</v>
      </c>
      <c r="R120">
        <v>22</v>
      </c>
      <c r="S120" t="s">
        <v>43</v>
      </c>
      <c r="T120" t="s">
        <v>34</v>
      </c>
      <c r="U120">
        <v>2</v>
      </c>
      <c r="V120" t="s">
        <v>44</v>
      </c>
      <c r="W120" t="str">
        <f>IF(HR_Data[[#This Row],[age]]&lt;25,"Under 25",IF(HR_Data[[#This Row],[age]]&lt;35,"25-34",IF(HR_Data[[#This Row],[age]]&lt;45,"35-44",IF(HR_Data[[#This Row],[age]]&lt;55,"45-54","55+"))))</f>
        <v>35-44</v>
      </c>
      <c r="X120" t="str">
        <f t="shared" si="1"/>
        <v>Below 3,000</v>
      </c>
    </row>
    <row r="121" spans="1:24" x14ac:dyDescent="0.3">
      <c r="A121">
        <v>158</v>
      </c>
      <c r="B121">
        <v>43</v>
      </c>
      <c r="C121" t="s">
        <v>36</v>
      </c>
      <c r="D121" t="s">
        <v>37</v>
      </c>
      <c r="E121" t="s">
        <v>24</v>
      </c>
      <c r="F121">
        <v>26</v>
      </c>
      <c r="G121" t="s">
        <v>25</v>
      </c>
      <c r="H121" t="s">
        <v>26</v>
      </c>
      <c r="I121" t="s">
        <v>29</v>
      </c>
      <c r="J121" t="s">
        <v>40</v>
      </c>
      <c r="K121" t="s">
        <v>29</v>
      </c>
      <c r="L121" t="s">
        <v>55</v>
      </c>
      <c r="M121" t="s">
        <v>31</v>
      </c>
      <c r="N121" t="s">
        <v>42</v>
      </c>
      <c r="O121">
        <v>16959</v>
      </c>
      <c r="P121">
        <v>1</v>
      </c>
      <c r="Q121" t="s">
        <v>22</v>
      </c>
      <c r="R121">
        <v>12</v>
      </c>
      <c r="S121" t="s">
        <v>33</v>
      </c>
      <c r="T121" t="s">
        <v>31</v>
      </c>
      <c r="U121">
        <v>3</v>
      </c>
      <c r="V121" t="s">
        <v>59</v>
      </c>
      <c r="W121" t="str">
        <f>IF(HR_Data[[#This Row],[age]]&lt;25,"Under 25",IF(HR_Data[[#This Row],[age]]&lt;35,"25-34",IF(HR_Data[[#This Row],[age]]&lt;45,"35-44",IF(HR_Data[[#This Row],[age]]&lt;55,"45-54","55+"))))</f>
        <v>35-44</v>
      </c>
      <c r="X121" t="str">
        <f t="shared" si="1"/>
        <v>8,000+</v>
      </c>
    </row>
    <row r="122" spans="1:24" x14ac:dyDescent="0.3">
      <c r="A122">
        <v>159</v>
      </c>
      <c r="B122">
        <v>30</v>
      </c>
      <c r="C122" t="s">
        <v>36</v>
      </c>
      <c r="D122" t="s">
        <v>37</v>
      </c>
      <c r="E122" t="s">
        <v>38</v>
      </c>
      <c r="F122">
        <v>23</v>
      </c>
      <c r="G122" t="s">
        <v>50</v>
      </c>
      <c r="H122" t="s">
        <v>26</v>
      </c>
      <c r="I122" t="s">
        <v>34</v>
      </c>
      <c r="J122" t="s">
        <v>40</v>
      </c>
      <c r="K122" t="s">
        <v>34</v>
      </c>
      <c r="L122" t="s">
        <v>41</v>
      </c>
      <c r="M122" t="s">
        <v>29</v>
      </c>
      <c r="N122" t="s">
        <v>51</v>
      </c>
      <c r="O122">
        <v>2613</v>
      </c>
      <c r="P122">
        <v>1</v>
      </c>
      <c r="Q122" t="s">
        <v>36</v>
      </c>
      <c r="R122">
        <v>25</v>
      </c>
      <c r="S122" t="s">
        <v>43</v>
      </c>
      <c r="T122" t="s">
        <v>29</v>
      </c>
      <c r="U122">
        <v>2</v>
      </c>
      <c r="V122" t="s">
        <v>49</v>
      </c>
      <c r="W122" t="str">
        <f>IF(HR_Data[[#This Row],[age]]&lt;25,"Under 25",IF(HR_Data[[#This Row],[age]]&lt;35,"25-34",IF(HR_Data[[#This Row],[age]]&lt;45,"35-44",IF(HR_Data[[#This Row],[age]]&lt;55,"45-54","55+"))))</f>
        <v>25-34</v>
      </c>
      <c r="X122" t="str">
        <f t="shared" si="1"/>
        <v>Below 3,000</v>
      </c>
    </row>
    <row r="123" spans="1:24" x14ac:dyDescent="0.3">
      <c r="A123">
        <v>160</v>
      </c>
      <c r="B123">
        <v>33</v>
      </c>
      <c r="C123" t="s">
        <v>36</v>
      </c>
      <c r="D123" t="s">
        <v>54</v>
      </c>
      <c r="E123" t="s">
        <v>24</v>
      </c>
      <c r="F123">
        <v>22</v>
      </c>
      <c r="G123" t="s">
        <v>25</v>
      </c>
      <c r="H123" t="s">
        <v>58</v>
      </c>
      <c r="I123" t="s">
        <v>29</v>
      </c>
      <c r="J123" t="s">
        <v>40</v>
      </c>
      <c r="K123" t="s">
        <v>29</v>
      </c>
      <c r="L123" t="s">
        <v>30</v>
      </c>
      <c r="M123" t="s">
        <v>27</v>
      </c>
      <c r="N123" t="s">
        <v>42</v>
      </c>
      <c r="O123">
        <v>6146</v>
      </c>
      <c r="P123">
        <v>0</v>
      </c>
      <c r="Q123" t="s">
        <v>36</v>
      </c>
      <c r="R123">
        <v>13</v>
      </c>
      <c r="S123" t="s">
        <v>33</v>
      </c>
      <c r="T123" t="s">
        <v>34</v>
      </c>
      <c r="U123">
        <v>2</v>
      </c>
      <c r="V123" t="s">
        <v>59</v>
      </c>
      <c r="W123" t="str">
        <f>IF(HR_Data[[#This Row],[age]]&lt;25,"Under 25",IF(HR_Data[[#This Row],[age]]&lt;35,"25-34",IF(HR_Data[[#This Row],[age]]&lt;45,"35-44",IF(HR_Data[[#This Row],[age]]&lt;55,"45-54","55+"))))</f>
        <v>25-34</v>
      </c>
      <c r="X123" t="str">
        <f t="shared" si="1"/>
        <v>5,000-7,999</v>
      </c>
    </row>
    <row r="124" spans="1:24" x14ac:dyDescent="0.3">
      <c r="A124">
        <v>161</v>
      </c>
      <c r="B124">
        <v>56</v>
      </c>
      <c r="C124" t="s">
        <v>22</v>
      </c>
      <c r="D124" t="s">
        <v>23</v>
      </c>
      <c r="E124" t="s">
        <v>38</v>
      </c>
      <c r="F124">
        <v>14</v>
      </c>
      <c r="G124" t="s">
        <v>47</v>
      </c>
      <c r="H124" t="s">
        <v>26</v>
      </c>
      <c r="I124" t="s">
        <v>27</v>
      </c>
      <c r="J124" t="s">
        <v>28</v>
      </c>
      <c r="K124" t="s">
        <v>29</v>
      </c>
      <c r="L124" t="s">
        <v>41</v>
      </c>
      <c r="M124" t="s">
        <v>27</v>
      </c>
      <c r="N124" t="s">
        <v>42</v>
      </c>
      <c r="O124">
        <v>4963</v>
      </c>
      <c r="P124">
        <v>9</v>
      </c>
      <c r="Q124" t="s">
        <v>22</v>
      </c>
      <c r="R124">
        <v>18</v>
      </c>
      <c r="S124" t="s">
        <v>33</v>
      </c>
      <c r="T124" t="s">
        <v>34</v>
      </c>
      <c r="U124">
        <v>2</v>
      </c>
      <c r="V124" t="s">
        <v>44</v>
      </c>
      <c r="W124" t="str">
        <f>IF(HR_Data[[#This Row],[age]]&lt;25,"Under 25",IF(HR_Data[[#This Row],[age]]&lt;35,"25-34",IF(HR_Data[[#This Row],[age]]&lt;45,"35-44",IF(HR_Data[[#This Row],[age]]&lt;55,"45-54","55+"))))</f>
        <v>55+</v>
      </c>
      <c r="X124" t="str">
        <f t="shared" si="1"/>
        <v>3,000-4,999</v>
      </c>
    </row>
    <row r="125" spans="1:24" x14ac:dyDescent="0.3">
      <c r="A125">
        <v>162</v>
      </c>
      <c r="B125">
        <v>51</v>
      </c>
      <c r="C125" t="s">
        <v>36</v>
      </c>
      <c r="D125" t="s">
        <v>23</v>
      </c>
      <c r="E125" t="s">
        <v>38</v>
      </c>
      <c r="F125">
        <v>6</v>
      </c>
      <c r="G125" t="s">
        <v>50</v>
      </c>
      <c r="H125" t="s">
        <v>26</v>
      </c>
      <c r="I125" t="s">
        <v>34</v>
      </c>
      <c r="J125" t="s">
        <v>40</v>
      </c>
      <c r="K125" t="s">
        <v>29</v>
      </c>
      <c r="L125" t="s">
        <v>57</v>
      </c>
      <c r="M125" t="s">
        <v>29</v>
      </c>
      <c r="N125" t="s">
        <v>32</v>
      </c>
      <c r="O125">
        <v>19537</v>
      </c>
      <c r="P125">
        <v>7</v>
      </c>
      <c r="Q125" t="s">
        <v>36</v>
      </c>
      <c r="R125">
        <v>13</v>
      </c>
      <c r="S125" t="s">
        <v>33</v>
      </c>
      <c r="T125" t="s">
        <v>29</v>
      </c>
      <c r="U125">
        <v>5</v>
      </c>
      <c r="V125" t="s">
        <v>44</v>
      </c>
      <c r="W125" t="str">
        <f>IF(HR_Data[[#This Row],[age]]&lt;25,"Under 25",IF(HR_Data[[#This Row],[age]]&lt;35,"25-34",IF(HR_Data[[#This Row],[age]]&lt;45,"35-44",IF(HR_Data[[#This Row],[age]]&lt;55,"45-54","55+"))))</f>
        <v>45-54</v>
      </c>
      <c r="X125" t="str">
        <f t="shared" si="1"/>
        <v>8,000+</v>
      </c>
    </row>
    <row r="126" spans="1:24" x14ac:dyDescent="0.3">
      <c r="A126">
        <v>163</v>
      </c>
      <c r="B126">
        <v>31</v>
      </c>
      <c r="C126" t="s">
        <v>22</v>
      </c>
      <c r="D126" t="s">
        <v>23</v>
      </c>
      <c r="E126" t="s">
        <v>24</v>
      </c>
      <c r="F126">
        <v>6</v>
      </c>
      <c r="G126" t="s">
        <v>47</v>
      </c>
      <c r="H126" t="s">
        <v>26</v>
      </c>
      <c r="I126" t="s">
        <v>27</v>
      </c>
      <c r="J126" t="s">
        <v>40</v>
      </c>
      <c r="K126" t="s">
        <v>34</v>
      </c>
      <c r="L126" t="s">
        <v>30</v>
      </c>
      <c r="M126" t="s">
        <v>29</v>
      </c>
      <c r="N126" t="s">
        <v>42</v>
      </c>
      <c r="O126">
        <v>6172</v>
      </c>
      <c r="P126">
        <v>4</v>
      </c>
      <c r="Q126" t="s">
        <v>22</v>
      </c>
      <c r="R126">
        <v>18</v>
      </c>
      <c r="S126" t="s">
        <v>33</v>
      </c>
      <c r="T126" t="s">
        <v>27</v>
      </c>
      <c r="U126">
        <v>3</v>
      </c>
      <c r="V126" t="s">
        <v>49</v>
      </c>
      <c r="W126" t="str">
        <f>IF(HR_Data[[#This Row],[age]]&lt;25,"Under 25",IF(HR_Data[[#This Row],[age]]&lt;35,"25-34",IF(HR_Data[[#This Row],[age]]&lt;45,"35-44",IF(HR_Data[[#This Row],[age]]&lt;55,"45-54","55+"))))</f>
        <v>25-34</v>
      </c>
      <c r="X126" t="str">
        <f t="shared" si="1"/>
        <v>5,000-7,999</v>
      </c>
    </row>
    <row r="127" spans="1:24" x14ac:dyDescent="0.3">
      <c r="A127">
        <v>164</v>
      </c>
      <c r="B127">
        <v>26</v>
      </c>
      <c r="C127" t="s">
        <v>36</v>
      </c>
      <c r="D127" t="s">
        <v>23</v>
      </c>
      <c r="E127" t="s">
        <v>38</v>
      </c>
      <c r="F127">
        <v>6</v>
      </c>
      <c r="G127" t="s">
        <v>50</v>
      </c>
      <c r="H127" t="s">
        <v>45</v>
      </c>
      <c r="I127" t="s">
        <v>29</v>
      </c>
      <c r="J127" t="s">
        <v>28</v>
      </c>
      <c r="K127" t="s">
        <v>27</v>
      </c>
      <c r="L127" t="s">
        <v>41</v>
      </c>
      <c r="M127" t="s">
        <v>27</v>
      </c>
      <c r="N127" t="s">
        <v>42</v>
      </c>
      <c r="O127">
        <v>2368</v>
      </c>
      <c r="P127">
        <v>1</v>
      </c>
      <c r="Q127" t="s">
        <v>36</v>
      </c>
      <c r="R127">
        <v>19</v>
      </c>
      <c r="S127" t="s">
        <v>33</v>
      </c>
      <c r="T127" t="s">
        <v>29</v>
      </c>
      <c r="U127">
        <v>3</v>
      </c>
      <c r="V127" t="s">
        <v>49</v>
      </c>
      <c r="W127" t="str">
        <f>IF(HR_Data[[#This Row],[age]]&lt;25,"Under 25",IF(HR_Data[[#This Row],[age]]&lt;35,"25-34",IF(HR_Data[[#This Row],[age]]&lt;45,"35-44",IF(HR_Data[[#This Row],[age]]&lt;55,"45-54","55+"))))</f>
        <v>25-34</v>
      </c>
      <c r="X127" t="str">
        <f t="shared" si="1"/>
        <v>Below 3,000</v>
      </c>
    </row>
    <row r="128" spans="1:24" x14ac:dyDescent="0.3">
      <c r="A128">
        <v>165</v>
      </c>
      <c r="B128">
        <v>58</v>
      </c>
      <c r="C128" t="s">
        <v>22</v>
      </c>
      <c r="D128" t="s">
        <v>23</v>
      </c>
      <c r="E128" t="s">
        <v>38</v>
      </c>
      <c r="F128">
        <v>23</v>
      </c>
      <c r="G128" t="s">
        <v>47</v>
      </c>
      <c r="H128" t="s">
        <v>48</v>
      </c>
      <c r="I128" t="s">
        <v>31</v>
      </c>
      <c r="J128" t="s">
        <v>28</v>
      </c>
      <c r="K128" t="s">
        <v>29</v>
      </c>
      <c r="L128" t="s">
        <v>53</v>
      </c>
      <c r="M128" t="s">
        <v>31</v>
      </c>
      <c r="N128" t="s">
        <v>42</v>
      </c>
      <c r="O128">
        <v>10312</v>
      </c>
      <c r="P128">
        <v>1</v>
      </c>
      <c r="Q128" t="s">
        <v>36</v>
      </c>
      <c r="R128">
        <v>12</v>
      </c>
      <c r="S128" t="s">
        <v>33</v>
      </c>
      <c r="T128" t="s">
        <v>31</v>
      </c>
      <c r="U128">
        <v>3</v>
      </c>
      <c r="V128" t="s">
        <v>49</v>
      </c>
      <c r="W128" t="str">
        <f>IF(HR_Data[[#This Row],[age]]&lt;25,"Under 25",IF(HR_Data[[#This Row],[age]]&lt;35,"25-34",IF(HR_Data[[#This Row],[age]]&lt;45,"35-44",IF(HR_Data[[#This Row],[age]]&lt;55,"45-54","55+"))))</f>
        <v>55+</v>
      </c>
      <c r="X128" t="str">
        <f t="shared" si="1"/>
        <v>8,000+</v>
      </c>
    </row>
    <row r="129" spans="1:24" x14ac:dyDescent="0.3">
      <c r="A129">
        <v>167</v>
      </c>
      <c r="B129">
        <v>19</v>
      </c>
      <c r="C129" t="s">
        <v>22</v>
      </c>
      <c r="D129" t="s">
        <v>23</v>
      </c>
      <c r="E129" t="s">
        <v>24</v>
      </c>
      <c r="F129">
        <v>22</v>
      </c>
      <c r="G129" t="s">
        <v>39</v>
      </c>
      <c r="H129" t="s">
        <v>58</v>
      </c>
      <c r="I129" t="s">
        <v>31</v>
      </c>
      <c r="J129" t="s">
        <v>40</v>
      </c>
      <c r="K129" t="s">
        <v>29</v>
      </c>
      <c r="L129" t="s">
        <v>56</v>
      </c>
      <c r="M129" t="s">
        <v>29</v>
      </c>
      <c r="N129" t="s">
        <v>32</v>
      </c>
      <c r="O129">
        <v>1675</v>
      </c>
      <c r="P129">
        <v>1</v>
      </c>
      <c r="Q129" t="s">
        <v>22</v>
      </c>
      <c r="R129">
        <v>19</v>
      </c>
      <c r="S129" t="s">
        <v>33</v>
      </c>
      <c r="T129" t="s">
        <v>31</v>
      </c>
      <c r="U129">
        <v>2</v>
      </c>
      <c r="V129" t="s">
        <v>49</v>
      </c>
      <c r="W129" t="str">
        <f>IF(HR_Data[[#This Row],[age]]&lt;25,"Under 25",IF(HR_Data[[#This Row],[age]]&lt;35,"25-34",IF(HR_Data[[#This Row],[age]]&lt;45,"35-44",IF(HR_Data[[#This Row],[age]]&lt;55,"45-54","55+"))))</f>
        <v>Under 25</v>
      </c>
      <c r="X129" t="str">
        <f t="shared" si="1"/>
        <v>Below 3,000</v>
      </c>
    </row>
    <row r="130" spans="1:24" x14ac:dyDescent="0.3">
      <c r="A130">
        <v>169</v>
      </c>
      <c r="B130">
        <v>22</v>
      </c>
      <c r="C130" t="s">
        <v>36</v>
      </c>
      <c r="D130" t="s">
        <v>23</v>
      </c>
      <c r="E130" t="s">
        <v>38</v>
      </c>
      <c r="F130">
        <v>2</v>
      </c>
      <c r="G130" t="s">
        <v>39</v>
      </c>
      <c r="H130" t="s">
        <v>60</v>
      </c>
      <c r="I130" t="s">
        <v>29</v>
      </c>
      <c r="J130" t="s">
        <v>40</v>
      </c>
      <c r="K130" t="s">
        <v>29</v>
      </c>
      <c r="L130" t="s">
        <v>46</v>
      </c>
      <c r="M130" t="s">
        <v>31</v>
      </c>
      <c r="N130" t="s">
        <v>42</v>
      </c>
      <c r="O130">
        <v>2523</v>
      </c>
      <c r="P130">
        <v>0</v>
      </c>
      <c r="Q130" t="s">
        <v>36</v>
      </c>
      <c r="R130">
        <v>14</v>
      </c>
      <c r="S130" t="s">
        <v>33</v>
      </c>
      <c r="T130" t="s">
        <v>29</v>
      </c>
      <c r="U130">
        <v>2</v>
      </c>
      <c r="V130" t="s">
        <v>44</v>
      </c>
      <c r="W130" t="str">
        <f>IF(HR_Data[[#This Row],[age]]&lt;25,"Under 25",IF(HR_Data[[#This Row],[age]]&lt;35,"25-34",IF(HR_Data[[#This Row],[age]]&lt;45,"35-44",IF(HR_Data[[#This Row],[age]]&lt;55,"45-54","55+"))))</f>
        <v>Under 25</v>
      </c>
      <c r="X130" t="str">
        <f t="shared" si="1"/>
        <v>Below 3,000</v>
      </c>
    </row>
    <row r="131" spans="1:24" x14ac:dyDescent="0.3">
      <c r="A131">
        <v>170</v>
      </c>
      <c r="B131">
        <v>49</v>
      </c>
      <c r="C131" t="s">
        <v>36</v>
      </c>
      <c r="D131" t="s">
        <v>23</v>
      </c>
      <c r="E131" t="s">
        <v>38</v>
      </c>
      <c r="F131">
        <v>20</v>
      </c>
      <c r="G131" t="s">
        <v>47</v>
      </c>
      <c r="H131" t="s">
        <v>48</v>
      </c>
      <c r="I131" t="s">
        <v>29</v>
      </c>
      <c r="J131" t="s">
        <v>28</v>
      </c>
      <c r="K131" t="s">
        <v>29</v>
      </c>
      <c r="L131" t="s">
        <v>52</v>
      </c>
      <c r="M131" t="s">
        <v>34</v>
      </c>
      <c r="N131" t="s">
        <v>42</v>
      </c>
      <c r="O131">
        <v>6567</v>
      </c>
      <c r="P131">
        <v>1</v>
      </c>
      <c r="Q131" t="s">
        <v>36</v>
      </c>
      <c r="R131">
        <v>14</v>
      </c>
      <c r="S131" t="s">
        <v>33</v>
      </c>
      <c r="T131" t="s">
        <v>29</v>
      </c>
      <c r="U131">
        <v>2</v>
      </c>
      <c r="V131" t="s">
        <v>49</v>
      </c>
      <c r="W131" t="str">
        <f>IF(HR_Data[[#This Row],[age]]&lt;25,"Under 25",IF(HR_Data[[#This Row],[age]]&lt;35,"25-34",IF(HR_Data[[#This Row],[age]]&lt;45,"35-44",IF(HR_Data[[#This Row],[age]]&lt;55,"45-54","55+"))))</f>
        <v>45-54</v>
      </c>
      <c r="X131" t="str">
        <f t="shared" ref="X131:X194" si="2">IF(O131&lt;3000,"Below 3,000",IF(O131&lt;5000,"3,000-4,999",IF(O131&lt;8000,"5,000-7,999","8,000+")))</f>
        <v>5,000-7,999</v>
      </c>
    </row>
    <row r="132" spans="1:24" x14ac:dyDescent="0.3">
      <c r="A132">
        <v>171</v>
      </c>
      <c r="B132">
        <v>43</v>
      </c>
      <c r="C132" t="s">
        <v>36</v>
      </c>
      <c r="D132" t="s">
        <v>37</v>
      </c>
      <c r="E132" t="s">
        <v>38</v>
      </c>
      <c r="F132">
        <v>28</v>
      </c>
      <c r="G132" t="s">
        <v>50</v>
      </c>
      <c r="H132" t="s">
        <v>48</v>
      </c>
      <c r="I132" t="s">
        <v>27</v>
      </c>
      <c r="J132" t="s">
        <v>28</v>
      </c>
      <c r="K132" t="s">
        <v>31</v>
      </c>
      <c r="L132" t="s">
        <v>41</v>
      </c>
      <c r="M132" t="s">
        <v>29</v>
      </c>
      <c r="N132" t="s">
        <v>32</v>
      </c>
      <c r="O132">
        <v>4739</v>
      </c>
      <c r="P132">
        <v>4</v>
      </c>
      <c r="Q132" t="s">
        <v>36</v>
      </c>
      <c r="R132">
        <v>12</v>
      </c>
      <c r="S132" t="s">
        <v>33</v>
      </c>
      <c r="T132" t="s">
        <v>31</v>
      </c>
      <c r="U132">
        <v>2</v>
      </c>
      <c r="V132" t="s">
        <v>44</v>
      </c>
      <c r="W132" t="str">
        <f>IF(HR_Data[[#This Row],[age]]&lt;25,"Under 25",IF(HR_Data[[#This Row],[age]]&lt;35,"25-34",IF(HR_Data[[#This Row],[age]]&lt;45,"35-44",IF(HR_Data[[#This Row],[age]]&lt;55,"45-54","55+"))))</f>
        <v>35-44</v>
      </c>
      <c r="X132" t="str">
        <f t="shared" si="2"/>
        <v>3,000-4,999</v>
      </c>
    </row>
    <row r="133" spans="1:24" x14ac:dyDescent="0.3">
      <c r="A133">
        <v>174</v>
      </c>
      <c r="B133">
        <v>50</v>
      </c>
      <c r="C133" t="s">
        <v>36</v>
      </c>
      <c r="D133" t="s">
        <v>37</v>
      </c>
      <c r="E133" t="s">
        <v>24</v>
      </c>
      <c r="F133">
        <v>12</v>
      </c>
      <c r="G133" t="s">
        <v>50</v>
      </c>
      <c r="H133" t="s">
        <v>58</v>
      </c>
      <c r="I133" t="s">
        <v>29</v>
      </c>
      <c r="J133" t="s">
        <v>28</v>
      </c>
      <c r="K133" t="s">
        <v>29</v>
      </c>
      <c r="L133" t="s">
        <v>30</v>
      </c>
      <c r="M133" t="s">
        <v>31</v>
      </c>
      <c r="N133" t="s">
        <v>32</v>
      </c>
      <c r="O133">
        <v>9208</v>
      </c>
      <c r="P133">
        <v>4</v>
      </c>
      <c r="Q133" t="s">
        <v>36</v>
      </c>
      <c r="R133">
        <v>11</v>
      </c>
      <c r="S133" t="s">
        <v>33</v>
      </c>
      <c r="T133" t="s">
        <v>31</v>
      </c>
      <c r="U133">
        <v>3</v>
      </c>
      <c r="V133" t="s">
        <v>44</v>
      </c>
      <c r="W133" t="str">
        <f>IF(HR_Data[[#This Row],[age]]&lt;25,"Under 25",IF(HR_Data[[#This Row],[age]]&lt;35,"25-34",IF(HR_Data[[#This Row],[age]]&lt;45,"35-44",IF(HR_Data[[#This Row],[age]]&lt;55,"45-54","55+"))))</f>
        <v>45-54</v>
      </c>
      <c r="X133" t="str">
        <f t="shared" si="2"/>
        <v>8,000+</v>
      </c>
    </row>
    <row r="134" spans="1:24" x14ac:dyDescent="0.3">
      <c r="A134">
        <v>175</v>
      </c>
      <c r="B134">
        <v>31</v>
      </c>
      <c r="C134" t="s">
        <v>22</v>
      </c>
      <c r="D134" t="s">
        <v>23</v>
      </c>
      <c r="E134" t="s">
        <v>24</v>
      </c>
      <c r="F134">
        <v>20</v>
      </c>
      <c r="G134" t="s">
        <v>50</v>
      </c>
      <c r="H134" t="s">
        <v>26</v>
      </c>
      <c r="I134" t="s">
        <v>27</v>
      </c>
      <c r="J134" t="s">
        <v>28</v>
      </c>
      <c r="K134" t="s">
        <v>34</v>
      </c>
      <c r="L134" t="s">
        <v>30</v>
      </c>
      <c r="M134" t="s">
        <v>29</v>
      </c>
      <c r="N134" t="s">
        <v>42</v>
      </c>
      <c r="O134">
        <v>4559</v>
      </c>
      <c r="P134">
        <v>3</v>
      </c>
      <c r="Q134" t="s">
        <v>22</v>
      </c>
      <c r="R134">
        <v>11</v>
      </c>
      <c r="S134" t="s">
        <v>33</v>
      </c>
      <c r="T134" t="s">
        <v>29</v>
      </c>
      <c r="U134">
        <v>2</v>
      </c>
      <c r="V134" t="s">
        <v>44</v>
      </c>
      <c r="W134" t="str">
        <f>IF(HR_Data[[#This Row],[age]]&lt;25,"Under 25",IF(HR_Data[[#This Row],[age]]&lt;35,"25-34",IF(HR_Data[[#This Row],[age]]&lt;45,"35-44",IF(HR_Data[[#This Row],[age]]&lt;55,"45-54","55+"))))</f>
        <v>25-34</v>
      </c>
      <c r="X134" t="str">
        <f t="shared" si="2"/>
        <v>3,000-4,999</v>
      </c>
    </row>
    <row r="135" spans="1:24" x14ac:dyDescent="0.3">
      <c r="A135">
        <v>176</v>
      </c>
      <c r="B135">
        <v>41</v>
      </c>
      <c r="C135" t="s">
        <v>36</v>
      </c>
      <c r="D135" t="s">
        <v>23</v>
      </c>
      <c r="E135" t="s">
        <v>24</v>
      </c>
      <c r="F135">
        <v>9</v>
      </c>
      <c r="G135" t="s">
        <v>39</v>
      </c>
      <c r="H135" t="s">
        <v>26</v>
      </c>
      <c r="I135" t="s">
        <v>29</v>
      </c>
      <c r="J135" t="s">
        <v>40</v>
      </c>
      <c r="K135" t="s">
        <v>29</v>
      </c>
      <c r="L135" t="s">
        <v>30</v>
      </c>
      <c r="M135" t="s">
        <v>29</v>
      </c>
      <c r="N135" t="s">
        <v>51</v>
      </c>
      <c r="O135">
        <v>8189</v>
      </c>
      <c r="P135">
        <v>3</v>
      </c>
      <c r="Q135" t="s">
        <v>22</v>
      </c>
      <c r="R135">
        <v>13</v>
      </c>
      <c r="S135" t="s">
        <v>33</v>
      </c>
      <c r="T135" t="s">
        <v>29</v>
      </c>
      <c r="U135">
        <v>2</v>
      </c>
      <c r="V135" t="s">
        <v>44</v>
      </c>
      <c r="W135" t="str">
        <f>IF(HR_Data[[#This Row],[age]]&lt;25,"Under 25",IF(HR_Data[[#This Row],[age]]&lt;35,"25-34",IF(HR_Data[[#This Row],[age]]&lt;45,"35-44",IF(HR_Data[[#This Row],[age]]&lt;55,"45-54","55+"))))</f>
        <v>35-44</v>
      </c>
      <c r="X135" t="str">
        <f t="shared" si="2"/>
        <v>8,000+</v>
      </c>
    </row>
    <row r="136" spans="1:24" x14ac:dyDescent="0.3">
      <c r="A136">
        <v>177</v>
      </c>
      <c r="B136">
        <v>26</v>
      </c>
      <c r="C136" t="s">
        <v>36</v>
      </c>
      <c r="D136" t="s">
        <v>23</v>
      </c>
      <c r="E136" t="s">
        <v>62</v>
      </c>
      <c r="F136">
        <v>25</v>
      </c>
      <c r="G136" t="s">
        <v>39</v>
      </c>
      <c r="H136" t="s">
        <v>26</v>
      </c>
      <c r="I136" t="s">
        <v>29</v>
      </c>
      <c r="J136" t="s">
        <v>28</v>
      </c>
      <c r="K136" t="s">
        <v>29</v>
      </c>
      <c r="L136" t="s">
        <v>62</v>
      </c>
      <c r="M136" t="s">
        <v>29</v>
      </c>
      <c r="N136" t="s">
        <v>42</v>
      </c>
      <c r="O136">
        <v>2942</v>
      </c>
      <c r="P136">
        <v>1</v>
      </c>
      <c r="Q136" t="s">
        <v>36</v>
      </c>
      <c r="R136">
        <v>23</v>
      </c>
      <c r="S136" t="s">
        <v>43</v>
      </c>
      <c r="T136" t="s">
        <v>31</v>
      </c>
      <c r="U136">
        <v>3</v>
      </c>
      <c r="V136" t="s">
        <v>44</v>
      </c>
      <c r="W136" t="str">
        <f>IF(HR_Data[[#This Row],[age]]&lt;25,"Under 25",IF(HR_Data[[#This Row],[age]]&lt;35,"25-34",IF(HR_Data[[#This Row],[age]]&lt;45,"35-44",IF(HR_Data[[#This Row],[age]]&lt;55,"45-54","55+"))))</f>
        <v>25-34</v>
      </c>
      <c r="X136" t="str">
        <f t="shared" si="2"/>
        <v>Below 3,000</v>
      </c>
    </row>
    <row r="137" spans="1:24" x14ac:dyDescent="0.3">
      <c r="A137">
        <v>178</v>
      </c>
      <c r="B137">
        <v>36</v>
      </c>
      <c r="C137" t="s">
        <v>36</v>
      </c>
      <c r="D137" t="s">
        <v>23</v>
      </c>
      <c r="E137" t="s">
        <v>38</v>
      </c>
      <c r="F137">
        <v>6</v>
      </c>
      <c r="G137" t="s">
        <v>25</v>
      </c>
      <c r="H137" t="s">
        <v>48</v>
      </c>
      <c r="I137" t="s">
        <v>27</v>
      </c>
      <c r="J137" t="s">
        <v>40</v>
      </c>
      <c r="K137" t="s">
        <v>29</v>
      </c>
      <c r="L137" t="s">
        <v>52</v>
      </c>
      <c r="M137" t="s">
        <v>27</v>
      </c>
      <c r="N137" t="s">
        <v>51</v>
      </c>
      <c r="O137">
        <v>4941</v>
      </c>
      <c r="P137">
        <v>6</v>
      </c>
      <c r="Q137" t="s">
        <v>36</v>
      </c>
      <c r="R137">
        <v>20</v>
      </c>
      <c r="S137" t="s">
        <v>43</v>
      </c>
      <c r="T137" t="s">
        <v>31</v>
      </c>
      <c r="U137">
        <v>0</v>
      </c>
      <c r="V137" t="s">
        <v>44</v>
      </c>
      <c r="W137" t="str">
        <f>IF(HR_Data[[#This Row],[age]]&lt;25,"Under 25",IF(HR_Data[[#This Row],[age]]&lt;35,"25-34",IF(HR_Data[[#This Row],[age]]&lt;45,"35-44",IF(HR_Data[[#This Row],[age]]&lt;55,"45-54","55+"))))</f>
        <v>35-44</v>
      </c>
      <c r="X137" t="str">
        <f t="shared" si="2"/>
        <v>3,000-4,999</v>
      </c>
    </row>
    <row r="138" spans="1:24" x14ac:dyDescent="0.3">
      <c r="A138">
        <v>179</v>
      </c>
      <c r="B138">
        <v>51</v>
      </c>
      <c r="C138" t="s">
        <v>22</v>
      </c>
      <c r="D138" t="s">
        <v>37</v>
      </c>
      <c r="E138" t="s">
        <v>38</v>
      </c>
      <c r="F138">
        <v>8</v>
      </c>
      <c r="G138" t="s">
        <v>47</v>
      </c>
      <c r="H138" t="s">
        <v>26</v>
      </c>
      <c r="I138" t="s">
        <v>34</v>
      </c>
      <c r="J138" t="s">
        <v>40</v>
      </c>
      <c r="K138" t="s">
        <v>34</v>
      </c>
      <c r="L138" t="s">
        <v>52</v>
      </c>
      <c r="M138" t="s">
        <v>31</v>
      </c>
      <c r="N138" t="s">
        <v>32</v>
      </c>
      <c r="O138">
        <v>10650</v>
      </c>
      <c r="P138">
        <v>2</v>
      </c>
      <c r="Q138" t="s">
        <v>36</v>
      </c>
      <c r="R138">
        <v>15</v>
      </c>
      <c r="S138" t="s">
        <v>33</v>
      </c>
      <c r="T138" t="s">
        <v>31</v>
      </c>
      <c r="U138">
        <v>2</v>
      </c>
      <c r="V138" t="s">
        <v>44</v>
      </c>
      <c r="W138" t="str">
        <f>IF(HR_Data[[#This Row],[age]]&lt;25,"Under 25",IF(HR_Data[[#This Row],[age]]&lt;35,"25-34",IF(HR_Data[[#This Row],[age]]&lt;45,"35-44",IF(HR_Data[[#This Row],[age]]&lt;55,"45-54","55+"))))</f>
        <v>45-54</v>
      </c>
      <c r="X138" t="str">
        <f t="shared" si="2"/>
        <v>8,000+</v>
      </c>
    </row>
    <row r="139" spans="1:24" x14ac:dyDescent="0.3">
      <c r="A139">
        <v>182</v>
      </c>
      <c r="B139">
        <v>39</v>
      </c>
      <c r="C139" t="s">
        <v>36</v>
      </c>
      <c r="D139" t="s">
        <v>23</v>
      </c>
      <c r="E139" t="s">
        <v>24</v>
      </c>
      <c r="F139">
        <v>4</v>
      </c>
      <c r="G139" t="s">
        <v>47</v>
      </c>
      <c r="H139" t="s">
        <v>26</v>
      </c>
      <c r="I139" t="s">
        <v>31</v>
      </c>
      <c r="J139" t="s">
        <v>28</v>
      </c>
      <c r="K139" t="s">
        <v>27</v>
      </c>
      <c r="L139" t="s">
        <v>30</v>
      </c>
      <c r="M139" t="s">
        <v>29</v>
      </c>
      <c r="N139" t="s">
        <v>42</v>
      </c>
      <c r="O139">
        <v>5902</v>
      </c>
      <c r="P139">
        <v>4</v>
      </c>
      <c r="Q139" t="s">
        <v>36</v>
      </c>
      <c r="R139">
        <v>14</v>
      </c>
      <c r="S139" t="s">
        <v>33</v>
      </c>
      <c r="T139" t="s">
        <v>29</v>
      </c>
      <c r="U139">
        <v>1</v>
      </c>
      <c r="V139" t="s">
        <v>59</v>
      </c>
      <c r="W139" t="str">
        <f>IF(HR_Data[[#This Row],[age]]&lt;25,"Under 25",IF(HR_Data[[#This Row],[age]]&lt;35,"25-34",IF(HR_Data[[#This Row],[age]]&lt;45,"35-44",IF(HR_Data[[#This Row],[age]]&lt;55,"45-54","55+"))))</f>
        <v>35-44</v>
      </c>
      <c r="X139" t="str">
        <f t="shared" si="2"/>
        <v>5,000-7,999</v>
      </c>
    </row>
    <row r="140" spans="1:24" x14ac:dyDescent="0.3">
      <c r="A140">
        <v>183</v>
      </c>
      <c r="B140">
        <v>25</v>
      </c>
      <c r="C140" t="s">
        <v>36</v>
      </c>
      <c r="D140" t="s">
        <v>23</v>
      </c>
      <c r="E140" t="s">
        <v>24</v>
      </c>
      <c r="F140">
        <v>28</v>
      </c>
      <c r="G140" t="s">
        <v>50</v>
      </c>
      <c r="H140" t="s">
        <v>26</v>
      </c>
      <c r="I140" t="s">
        <v>34</v>
      </c>
      <c r="J140" t="s">
        <v>40</v>
      </c>
      <c r="K140" t="s">
        <v>27</v>
      </c>
      <c r="L140" t="s">
        <v>30</v>
      </c>
      <c r="M140" t="s">
        <v>29</v>
      </c>
      <c r="N140" t="s">
        <v>42</v>
      </c>
      <c r="O140">
        <v>8639</v>
      </c>
      <c r="P140">
        <v>2</v>
      </c>
      <c r="Q140" t="s">
        <v>36</v>
      </c>
      <c r="R140">
        <v>18</v>
      </c>
      <c r="S140" t="s">
        <v>33</v>
      </c>
      <c r="T140" t="s">
        <v>31</v>
      </c>
      <c r="U140">
        <v>3</v>
      </c>
      <c r="V140" t="s">
        <v>44</v>
      </c>
      <c r="W140" t="str">
        <f>IF(HR_Data[[#This Row],[age]]&lt;25,"Under 25",IF(HR_Data[[#This Row],[age]]&lt;35,"25-34",IF(HR_Data[[#This Row],[age]]&lt;45,"35-44",IF(HR_Data[[#This Row],[age]]&lt;55,"45-54","55+"))))</f>
        <v>25-34</v>
      </c>
      <c r="X140" t="str">
        <f t="shared" si="2"/>
        <v>8,000+</v>
      </c>
    </row>
    <row r="141" spans="1:24" x14ac:dyDescent="0.3">
      <c r="A141">
        <v>184</v>
      </c>
      <c r="B141">
        <v>30</v>
      </c>
      <c r="C141" t="s">
        <v>36</v>
      </c>
      <c r="D141" t="s">
        <v>23</v>
      </c>
      <c r="E141" t="s">
        <v>62</v>
      </c>
      <c r="F141">
        <v>9</v>
      </c>
      <c r="G141" t="s">
        <v>50</v>
      </c>
      <c r="H141" t="s">
        <v>62</v>
      </c>
      <c r="I141" t="s">
        <v>29</v>
      </c>
      <c r="J141" t="s">
        <v>40</v>
      </c>
      <c r="K141" t="s">
        <v>29</v>
      </c>
      <c r="L141" t="s">
        <v>62</v>
      </c>
      <c r="M141" t="s">
        <v>31</v>
      </c>
      <c r="N141" t="s">
        <v>42</v>
      </c>
      <c r="O141">
        <v>6347</v>
      </c>
      <c r="P141">
        <v>0</v>
      </c>
      <c r="Q141" t="s">
        <v>22</v>
      </c>
      <c r="R141">
        <v>19</v>
      </c>
      <c r="S141" t="s">
        <v>33</v>
      </c>
      <c r="T141" t="s">
        <v>31</v>
      </c>
      <c r="U141">
        <v>2</v>
      </c>
      <c r="V141" t="s">
        <v>35</v>
      </c>
      <c r="W141" t="str">
        <f>IF(HR_Data[[#This Row],[age]]&lt;25,"Under 25",IF(HR_Data[[#This Row],[age]]&lt;35,"25-34",IF(HR_Data[[#This Row],[age]]&lt;45,"35-44",IF(HR_Data[[#This Row],[age]]&lt;55,"45-54","55+"))))</f>
        <v>25-34</v>
      </c>
      <c r="X141" t="str">
        <f t="shared" si="2"/>
        <v>5,000-7,999</v>
      </c>
    </row>
    <row r="142" spans="1:24" x14ac:dyDescent="0.3">
      <c r="A142">
        <v>190</v>
      </c>
      <c r="B142">
        <v>32</v>
      </c>
      <c r="C142" t="s">
        <v>22</v>
      </c>
      <c r="D142" t="s">
        <v>23</v>
      </c>
      <c r="E142" t="s">
        <v>38</v>
      </c>
      <c r="F142">
        <v>9</v>
      </c>
      <c r="G142" t="s">
        <v>50</v>
      </c>
      <c r="H142" t="s">
        <v>48</v>
      </c>
      <c r="I142" t="s">
        <v>34</v>
      </c>
      <c r="J142" t="s">
        <v>28</v>
      </c>
      <c r="K142" t="s">
        <v>29</v>
      </c>
      <c r="L142" t="s">
        <v>46</v>
      </c>
      <c r="M142" t="s">
        <v>34</v>
      </c>
      <c r="N142" t="s">
        <v>32</v>
      </c>
      <c r="O142">
        <v>4200</v>
      </c>
      <c r="P142">
        <v>7</v>
      </c>
      <c r="Q142" t="s">
        <v>36</v>
      </c>
      <c r="R142">
        <v>22</v>
      </c>
      <c r="S142" t="s">
        <v>43</v>
      </c>
      <c r="T142" t="s">
        <v>34</v>
      </c>
      <c r="U142">
        <v>2</v>
      </c>
      <c r="V142" t="s">
        <v>59</v>
      </c>
      <c r="W142" t="str">
        <f>IF(HR_Data[[#This Row],[age]]&lt;25,"Under 25",IF(HR_Data[[#This Row],[age]]&lt;35,"25-34",IF(HR_Data[[#This Row],[age]]&lt;45,"35-44",IF(HR_Data[[#This Row],[age]]&lt;55,"45-54","55+"))))</f>
        <v>25-34</v>
      </c>
      <c r="X142" t="str">
        <f t="shared" si="2"/>
        <v>3,000-4,999</v>
      </c>
    </row>
    <row r="143" spans="1:24" x14ac:dyDescent="0.3">
      <c r="A143">
        <v>192</v>
      </c>
      <c r="B143">
        <v>45</v>
      </c>
      <c r="C143" t="s">
        <v>36</v>
      </c>
      <c r="D143" t="s">
        <v>23</v>
      </c>
      <c r="E143" t="s">
        <v>38</v>
      </c>
      <c r="F143">
        <v>29</v>
      </c>
      <c r="G143" t="s">
        <v>50</v>
      </c>
      <c r="H143" t="s">
        <v>48</v>
      </c>
      <c r="I143" t="s">
        <v>29</v>
      </c>
      <c r="J143" t="s">
        <v>40</v>
      </c>
      <c r="K143" t="s">
        <v>29</v>
      </c>
      <c r="L143" t="s">
        <v>41</v>
      </c>
      <c r="M143" t="s">
        <v>31</v>
      </c>
      <c r="N143" t="s">
        <v>32</v>
      </c>
      <c r="O143">
        <v>3452</v>
      </c>
      <c r="P143">
        <v>5</v>
      </c>
      <c r="Q143" t="s">
        <v>36</v>
      </c>
      <c r="R143">
        <v>13</v>
      </c>
      <c r="S143" t="s">
        <v>33</v>
      </c>
      <c r="T143" t="s">
        <v>27</v>
      </c>
      <c r="U143">
        <v>2</v>
      </c>
      <c r="V143" t="s">
        <v>49</v>
      </c>
      <c r="W143" t="str">
        <f>IF(HR_Data[[#This Row],[age]]&lt;25,"Under 25",IF(HR_Data[[#This Row],[age]]&lt;35,"25-34",IF(HR_Data[[#This Row],[age]]&lt;45,"35-44",IF(HR_Data[[#This Row],[age]]&lt;55,"45-54","55+"))))</f>
        <v>45-54</v>
      </c>
      <c r="X143" t="str">
        <f t="shared" si="2"/>
        <v>3,000-4,999</v>
      </c>
    </row>
    <row r="144" spans="1:24" x14ac:dyDescent="0.3">
      <c r="A144">
        <v>193</v>
      </c>
      <c r="B144">
        <v>38</v>
      </c>
      <c r="C144" t="s">
        <v>36</v>
      </c>
      <c r="D144" t="s">
        <v>23</v>
      </c>
      <c r="E144" t="s">
        <v>38</v>
      </c>
      <c r="F144">
        <v>3</v>
      </c>
      <c r="G144" t="s">
        <v>61</v>
      </c>
      <c r="H144" t="s">
        <v>60</v>
      </c>
      <c r="I144" t="s">
        <v>31</v>
      </c>
      <c r="J144" t="s">
        <v>28</v>
      </c>
      <c r="K144" t="s">
        <v>29</v>
      </c>
      <c r="L144" t="s">
        <v>41</v>
      </c>
      <c r="M144" t="s">
        <v>29</v>
      </c>
      <c r="N144" t="s">
        <v>32</v>
      </c>
      <c r="O144">
        <v>4317</v>
      </c>
      <c r="P144">
        <v>3</v>
      </c>
      <c r="Q144" t="s">
        <v>22</v>
      </c>
      <c r="R144">
        <v>20</v>
      </c>
      <c r="S144" t="s">
        <v>43</v>
      </c>
      <c r="T144" t="s">
        <v>27</v>
      </c>
      <c r="U144">
        <v>2</v>
      </c>
      <c r="V144" t="s">
        <v>44</v>
      </c>
      <c r="W144" t="str">
        <f>IF(HR_Data[[#This Row],[age]]&lt;25,"Under 25",IF(HR_Data[[#This Row],[age]]&lt;35,"25-34",IF(HR_Data[[#This Row],[age]]&lt;45,"35-44",IF(HR_Data[[#This Row],[age]]&lt;55,"45-54","55+"))))</f>
        <v>35-44</v>
      </c>
      <c r="X144" t="str">
        <f t="shared" si="2"/>
        <v>3,000-4,999</v>
      </c>
    </row>
    <row r="145" spans="1:24" x14ac:dyDescent="0.3">
      <c r="A145">
        <v>194</v>
      </c>
      <c r="B145">
        <v>30</v>
      </c>
      <c r="C145" t="s">
        <v>36</v>
      </c>
      <c r="D145" t="s">
        <v>23</v>
      </c>
      <c r="E145" t="s">
        <v>38</v>
      </c>
      <c r="F145">
        <v>18</v>
      </c>
      <c r="G145" t="s">
        <v>50</v>
      </c>
      <c r="H145" t="s">
        <v>26</v>
      </c>
      <c r="I145" t="s">
        <v>34</v>
      </c>
      <c r="J145" t="s">
        <v>28</v>
      </c>
      <c r="K145" t="s">
        <v>29</v>
      </c>
      <c r="L145" t="s">
        <v>41</v>
      </c>
      <c r="M145" t="s">
        <v>29</v>
      </c>
      <c r="N145" t="s">
        <v>32</v>
      </c>
      <c r="O145">
        <v>2632</v>
      </c>
      <c r="P145">
        <v>1</v>
      </c>
      <c r="Q145" t="s">
        <v>36</v>
      </c>
      <c r="R145">
        <v>14</v>
      </c>
      <c r="S145" t="s">
        <v>33</v>
      </c>
      <c r="T145" t="s">
        <v>29</v>
      </c>
      <c r="U145">
        <v>4</v>
      </c>
      <c r="V145" t="s">
        <v>49</v>
      </c>
      <c r="W145" t="str">
        <f>IF(HR_Data[[#This Row],[age]]&lt;25,"Under 25",IF(HR_Data[[#This Row],[age]]&lt;35,"25-34",IF(HR_Data[[#This Row],[age]]&lt;45,"35-44",IF(HR_Data[[#This Row],[age]]&lt;55,"45-54","55+"))))</f>
        <v>25-34</v>
      </c>
      <c r="X145" t="str">
        <f t="shared" si="2"/>
        <v>Below 3,000</v>
      </c>
    </row>
    <row r="146" spans="1:24" x14ac:dyDescent="0.3">
      <c r="A146">
        <v>195</v>
      </c>
      <c r="B146">
        <v>32</v>
      </c>
      <c r="C146" t="s">
        <v>36</v>
      </c>
      <c r="D146" t="s">
        <v>37</v>
      </c>
      <c r="E146" t="s">
        <v>24</v>
      </c>
      <c r="F146">
        <v>9</v>
      </c>
      <c r="G146" t="s">
        <v>25</v>
      </c>
      <c r="H146" t="s">
        <v>48</v>
      </c>
      <c r="I146" t="s">
        <v>31</v>
      </c>
      <c r="J146" t="s">
        <v>40</v>
      </c>
      <c r="K146" t="s">
        <v>34</v>
      </c>
      <c r="L146" t="s">
        <v>30</v>
      </c>
      <c r="M146" t="s">
        <v>31</v>
      </c>
      <c r="N146" t="s">
        <v>51</v>
      </c>
      <c r="O146">
        <v>4668</v>
      </c>
      <c r="P146">
        <v>0</v>
      </c>
      <c r="Q146" t="s">
        <v>36</v>
      </c>
      <c r="R146">
        <v>17</v>
      </c>
      <c r="S146" t="s">
        <v>33</v>
      </c>
      <c r="T146" t="s">
        <v>31</v>
      </c>
      <c r="U146">
        <v>2</v>
      </c>
      <c r="V146" t="s">
        <v>59</v>
      </c>
      <c r="W146" t="str">
        <f>IF(HR_Data[[#This Row],[age]]&lt;25,"Under 25",IF(HR_Data[[#This Row],[age]]&lt;35,"25-34",IF(HR_Data[[#This Row],[age]]&lt;45,"35-44",IF(HR_Data[[#This Row],[age]]&lt;55,"45-54","55+"))))</f>
        <v>25-34</v>
      </c>
      <c r="X146" t="str">
        <f t="shared" si="2"/>
        <v>3,000-4,999</v>
      </c>
    </row>
    <row r="147" spans="1:24" x14ac:dyDescent="0.3">
      <c r="A147">
        <v>197</v>
      </c>
      <c r="B147">
        <v>30</v>
      </c>
      <c r="C147" t="s">
        <v>36</v>
      </c>
      <c r="D147" t="s">
        <v>23</v>
      </c>
      <c r="E147" t="s">
        <v>38</v>
      </c>
      <c r="F147">
        <v>5</v>
      </c>
      <c r="G147" t="s">
        <v>50</v>
      </c>
      <c r="H147" t="s">
        <v>60</v>
      </c>
      <c r="I147" t="s">
        <v>31</v>
      </c>
      <c r="J147" t="s">
        <v>28</v>
      </c>
      <c r="K147" t="s">
        <v>29</v>
      </c>
      <c r="L147" t="s">
        <v>41</v>
      </c>
      <c r="M147" t="s">
        <v>34</v>
      </c>
      <c r="N147" t="s">
        <v>51</v>
      </c>
      <c r="O147">
        <v>3204</v>
      </c>
      <c r="P147">
        <v>5</v>
      </c>
      <c r="Q147" t="s">
        <v>36</v>
      </c>
      <c r="R147">
        <v>14</v>
      </c>
      <c r="S147" t="s">
        <v>33</v>
      </c>
      <c r="T147" t="s">
        <v>31</v>
      </c>
      <c r="U147">
        <v>3</v>
      </c>
      <c r="V147" t="s">
        <v>44</v>
      </c>
      <c r="W147" t="str">
        <f>IF(HR_Data[[#This Row],[age]]&lt;25,"Under 25",IF(HR_Data[[#This Row],[age]]&lt;35,"25-34",IF(HR_Data[[#This Row],[age]]&lt;45,"35-44",IF(HR_Data[[#This Row],[age]]&lt;55,"45-54","55+"))))</f>
        <v>25-34</v>
      </c>
      <c r="X147" t="str">
        <f t="shared" si="2"/>
        <v>3,000-4,999</v>
      </c>
    </row>
    <row r="148" spans="1:24" x14ac:dyDescent="0.3">
      <c r="A148">
        <v>198</v>
      </c>
      <c r="B148">
        <v>30</v>
      </c>
      <c r="C148" t="s">
        <v>36</v>
      </c>
      <c r="D148" t="s">
        <v>23</v>
      </c>
      <c r="E148" t="s">
        <v>38</v>
      </c>
      <c r="F148">
        <v>2</v>
      </c>
      <c r="G148" t="s">
        <v>39</v>
      </c>
      <c r="H148" t="s">
        <v>48</v>
      </c>
      <c r="I148" t="s">
        <v>27</v>
      </c>
      <c r="J148" t="s">
        <v>40</v>
      </c>
      <c r="K148" t="s">
        <v>27</v>
      </c>
      <c r="L148" t="s">
        <v>46</v>
      </c>
      <c r="M148" t="s">
        <v>31</v>
      </c>
      <c r="N148" t="s">
        <v>32</v>
      </c>
      <c r="O148">
        <v>2720</v>
      </c>
      <c r="P148">
        <v>0</v>
      </c>
      <c r="Q148" t="s">
        <v>36</v>
      </c>
      <c r="R148">
        <v>13</v>
      </c>
      <c r="S148" t="s">
        <v>33</v>
      </c>
      <c r="T148" t="s">
        <v>31</v>
      </c>
      <c r="U148">
        <v>3</v>
      </c>
      <c r="V148" t="s">
        <v>44</v>
      </c>
      <c r="W148" t="str">
        <f>IF(HR_Data[[#This Row],[age]]&lt;25,"Under 25",IF(HR_Data[[#This Row],[age]]&lt;35,"25-34",IF(HR_Data[[#This Row],[age]]&lt;45,"35-44",IF(HR_Data[[#This Row],[age]]&lt;55,"45-54","55+"))))</f>
        <v>25-34</v>
      </c>
      <c r="X148" t="str">
        <f t="shared" si="2"/>
        <v>Below 3,000</v>
      </c>
    </row>
    <row r="149" spans="1:24" x14ac:dyDescent="0.3">
      <c r="A149">
        <v>199</v>
      </c>
      <c r="B149">
        <v>41</v>
      </c>
      <c r="C149" t="s">
        <v>36</v>
      </c>
      <c r="D149" t="s">
        <v>37</v>
      </c>
      <c r="E149" t="s">
        <v>38</v>
      </c>
      <c r="F149">
        <v>10</v>
      </c>
      <c r="G149" t="s">
        <v>50</v>
      </c>
      <c r="H149" t="s">
        <v>26</v>
      </c>
      <c r="I149" t="s">
        <v>31</v>
      </c>
      <c r="J149" t="s">
        <v>40</v>
      </c>
      <c r="K149" t="s">
        <v>27</v>
      </c>
      <c r="L149" t="s">
        <v>55</v>
      </c>
      <c r="M149" t="s">
        <v>34</v>
      </c>
      <c r="N149" t="s">
        <v>51</v>
      </c>
      <c r="O149">
        <v>17181</v>
      </c>
      <c r="P149">
        <v>4</v>
      </c>
      <c r="Q149" t="s">
        <v>36</v>
      </c>
      <c r="R149">
        <v>13</v>
      </c>
      <c r="S149" t="s">
        <v>33</v>
      </c>
      <c r="T149" t="s">
        <v>27</v>
      </c>
      <c r="U149">
        <v>2</v>
      </c>
      <c r="V149" t="s">
        <v>49</v>
      </c>
      <c r="W149" t="str">
        <f>IF(HR_Data[[#This Row],[age]]&lt;25,"Under 25",IF(HR_Data[[#This Row],[age]]&lt;35,"25-34",IF(HR_Data[[#This Row],[age]]&lt;45,"35-44",IF(HR_Data[[#This Row],[age]]&lt;55,"45-54","55+"))))</f>
        <v>35-44</v>
      </c>
      <c r="X149" t="str">
        <f t="shared" si="2"/>
        <v>8,000+</v>
      </c>
    </row>
    <row r="150" spans="1:24" x14ac:dyDescent="0.3">
      <c r="A150">
        <v>200</v>
      </c>
      <c r="B150">
        <v>41</v>
      </c>
      <c r="C150" t="s">
        <v>36</v>
      </c>
      <c r="D150" t="s">
        <v>23</v>
      </c>
      <c r="E150" t="s">
        <v>38</v>
      </c>
      <c r="F150">
        <v>9</v>
      </c>
      <c r="G150" t="s">
        <v>47</v>
      </c>
      <c r="H150" t="s">
        <v>26</v>
      </c>
      <c r="I150" t="s">
        <v>29</v>
      </c>
      <c r="J150" t="s">
        <v>40</v>
      </c>
      <c r="K150" t="s">
        <v>29</v>
      </c>
      <c r="L150" t="s">
        <v>46</v>
      </c>
      <c r="M150" t="s">
        <v>34</v>
      </c>
      <c r="N150" t="s">
        <v>42</v>
      </c>
      <c r="O150">
        <v>2238</v>
      </c>
      <c r="P150">
        <v>2</v>
      </c>
      <c r="Q150" t="s">
        <v>36</v>
      </c>
      <c r="R150">
        <v>21</v>
      </c>
      <c r="S150" t="s">
        <v>43</v>
      </c>
      <c r="T150" t="s">
        <v>31</v>
      </c>
      <c r="U150">
        <v>2</v>
      </c>
      <c r="V150" t="s">
        <v>44</v>
      </c>
      <c r="W150" t="str">
        <f>IF(HR_Data[[#This Row],[age]]&lt;25,"Under 25",IF(HR_Data[[#This Row],[age]]&lt;35,"25-34",IF(HR_Data[[#This Row],[age]]&lt;45,"35-44",IF(HR_Data[[#This Row],[age]]&lt;55,"45-54","55+"))))</f>
        <v>35-44</v>
      </c>
      <c r="X150" t="str">
        <f t="shared" si="2"/>
        <v>Below 3,000</v>
      </c>
    </row>
    <row r="151" spans="1:24" x14ac:dyDescent="0.3">
      <c r="A151">
        <v>201</v>
      </c>
      <c r="B151">
        <v>19</v>
      </c>
      <c r="C151" t="s">
        <v>36</v>
      </c>
      <c r="D151" t="s">
        <v>23</v>
      </c>
      <c r="E151" t="s">
        <v>38</v>
      </c>
      <c r="F151">
        <v>3</v>
      </c>
      <c r="G151" t="s">
        <v>39</v>
      </c>
      <c r="H151" t="s">
        <v>48</v>
      </c>
      <c r="I151" t="s">
        <v>27</v>
      </c>
      <c r="J151" t="s">
        <v>28</v>
      </c>
      <c r="K151" t="s">
        <v>29</v>
      </c>
      <c r="L151" t="s">
        <v>46</v>
      </c>
      <c r="M151" t="s">
        <v>27</v>
      </c>
      <c r="N151" t="s">
        <v>32</v>
      </c>
      <c r="O151">
        <v>1483</v>
      </c>
      <c r="P151">
        <v>1</v>
      </c>
      <c r="Q151" t="s">
        <v>36</v>
      </c>
      <c r="R151">
        <v>14</v>
      </c>
      <c r="S151" t="s">
        <v>33</v>
      </c>
      <c r="T151" t="s">
        <v>31</v>
      </c>
      <c r="U151">
        <v>3</v>
      </c>
      <c r="V151" t="s">
        <v>44</v>
      </c>
      <c r="W151" t="str">
        <f>IF(HR_Data[[#This Row],[age]]&lt;25,"Under 25",IF(HR_Data[[#This Row],[age]]&lt;35,"25-34",IF(HR_Data[[#This Row],[age]]&lt;45,"35-44",IF(HR_Data[[#This Row],[age]]&lt;55,"45-54","55+"))))</f>
        <v>Under 25</v>
      </c>
      <c r="X151" t="str">
        <f t="shared" si="2"/>
        <v>Below 3,000</v>
      </c>
    </row>
    <row r="152" spans="1:24" x14ac:dyDescent="0.3">
      <c r="A152">
        <v>202</v>
      </c>
      <c r="B152">
        <v>40</v>
      </c>
      <c r="C152" t="s">
        <v>36</v>
      </c>
      <c r="D152" t="s">
        <v>37</v>
      </c>
      <c r="E152" t="s">
        <v>38</v>
      </c>
      <c r="F152">
        <v>26</v>
      </c>
      <c r="G152" t="s">
        <v>50</v>
      </c>
      <c r="H152" t="s">
        <v>48</v>
      </c>
      <c r="I152" t="s">
        <v>27</v>
      </c>
      <c r="J152" t="s">
        <v>28</v>
      </c>
      <c r="K152" t="s">
        <v>29</v>
      </c>
      <c r="L152" t="s">
        <v>41</v>
      </c>
      <c r="M152" t="s">
        <v>27</v>
      </c>
      <c r="N152" t="s">
        <v>51</v>
      </c>
      <c r="O152">
        <v>5605</v>
      </c>
      <c r="P152">
        <v>1</v>
      </c>
      <c r="Q152" t="s">
        <v>36</v>
      </c>
      <c r="R152">
        <v>11</v>
      </c>
      <c r="S152" t="s">
        <v>33</v>
      </c>
      <c r="T152" t="s">
        <v>34</v>
      </c>
      <c r="U152">
        <v>2</v>
      </c>
      <c r="V152" t="s">
        <v>44</v>
      </c>
      <c r="W152" t="str">
        <f>IF(HR_Data[[#This Row],[age]]&lt;25,"Under 25",IF(HR_Data[[#This Row],[age]]&lt;35,"25-34",IF(HR_Data[[#This Row],[age]]&lt;45,"35-44",IF(HR_Data[[#This Row],[age]]&lt;55,"45-54","55+"))))</f>
        <v>35-44</v>
      </c>
      <c r="X152" t="str">
        <f t="shared" si="2"/>
        <v>5,000-7,999</v>
      </c>
    </row>
    <row r="153" spans="1:24" x14ac:dyDescent="0.3">
      <c r="A153">
        <v>204</v>
      </c>
      <c r="B153">
        <v>35</v>
      </c>
      <c r="C153" t="s">
        <v>36</v>
      </c>
      <c r="D153" t="s">
        <v>23</v>
      </c>
      <c r="E153" t="s">
        <v>24</v>
      </c>
      <c r="F153">
        <v>1</v>
      </c>
      <c r="G153" t="s">
        <v>61</v>
      </c>
      <c r="H153" t="s">
        <v>58</v>
      </c>
      <c r="I153" t="s">
        <v>29</v>
      </c>
      <c r="J153" t="s">
        <v>40</v>
      </c>
      <c r="K153" t="s">
        <v>29</v>
      </c>
      <c r="L153" t="s">
        <v>30</v>
      </c>
      <c r="M153" t="s">
        <v>27</v>
      </c>
      <c r="N153" t="s">
        <v>42</v>
      </c>
      <c r="O153">
        <v>7295</v>
      </c>
      <c r="P153">
        <v>1</v>
      </c>
      <c r="Q153" t="s">
        <v>36</v>
      </c>
      <c r="R153">
        <v>13</v>
      </c>
      <c r="S153" t="s">
        <v>33</v>
      </c>
      <c r="T153" t="s">
        <v>34</v>
      </c>
      <c r="U153">
        <v>3</v>
      </c>
      <c r="V153" t="s">
        <v>44</v>
      </c>
      <c r="W153" t="str">
        <f>IF(HR_Data[[#This Row],[age]]&lt;25,"Under 25",IF(HR_Data[[#This Row],[age]]&lt;35,"25-34",IF(HR_Data[[#This Row],[age]]&lt;45,"35-44",IF(HR_Data[[#This Row],[age]]&lt;55,"45-54","55+"))))</f>
        <v>35-44</v>
      </c>
      <c r="X153" t="str">
        <f t="shared" si="2"/>
        <v>5,000-7,999</v>
      </c>
    </row>
    <row r="154" spans="1:24" x14ac:dyDescent="0.3">
      <c r="A154">
        <v>205</v>
      </c>
      <c r="B154">
        <v>53</v>
      </c>
      <c r="C154" t="s">
        <v>36</v>
      </c>
      <c r="D154" t="s">
        <v>23</v>
      </c>
      <c r="E154" t="s">
        <v>24</v>
      </c>
      <c r="F154">
        <v>6</v>
      </c>
      <c r="G154" t="s">
        <v>25</v>
      </c>
      <c r="H154" t="s">
        <v>58</v>
      </c>
      <c r="I154" t="s">
        <v>27</v>
      </c>
      <c r="J154" t="s">
        <v>40</v>
      </c>
      <c r="K154" t="s">
        <v>29</v>
      </c>
      <c r="L154" t="s">
        <v>56</v>
      </c>
      <c r="M154" t="s">
        <v>29</v>
      </c>
      <c r="N154" t="s">
        <v>42</v>
      </c>
      <c r="O154">
        <v>2306</v>
      </c>
      <c r="P154">
        <v>2</v>
      </c>
      <c r="Q154" t="s">
        <v>22</v>
      </c>
      <c r="R154">
        <v>20</v>
      </c>
      <c r="S154" t="s">
        <v>43</v>
      </c>
      <c r="T154" t="s">
        <v>31</v>
      </c>
      <c r="U154">
        <v>3</v>
      </c>
      <c r="V154" t="s">
        <v>35</v>
      </c>
      <c r="W154" t="str">
        <f>IF(HR_Data[[#This Row],[age]]&lt;25,"Under 25",IF(HR_Data[[#This Row],[age]]&lt;35,"25-34",IF(HR_Data[[#This Row],[age]]&lt;45,"35-44",IF(HR_Data[[#This Row],[age]]&lt;55,"45-54","55+"))))</f>
        <v>45-54</v>
      </c>
      <c r="X154" t="str">
        <f t="shared" si="2"/>
        <v>Below 3,000</v>
      </c>
    </row>
    <row r="155" spans="1:24" x14ac:dyDescent="0.3">
      <c r="A155">
        <v>206</v>
      </c>
      <c r="B155">
        <v>45</v>
      </c>
      <c r="C155" t="s">
        <v>36</v>
      </c>
      <c r="D155" t="s">
        <v>23</v>
      </c>
      <c r="E155" t="s">
        <v>38</v>
      </c>
      <c r="F155">
        <v>9</v>
      </c>
      <c r="G155" t="s">
        <v>50</v>
      </c>
      <c r="H155" t="s">
        <v>26</v>
      </c>
      <c r="I155" t="s">
        <v>27</v>
      </c>
      <c r="J155" t="s">
        <v>40</v>
      </c>
      <c r="K155" t="s">
        <v>29</v>
      </c>
      <c r="L155" t="s">
        <v>46</v>
      </c>
      <c r="M155" t="s">
        <v>27</v>
      </c>
      <c r="N155" t="s">
        <v>51</v>
      </c>
      <c r="O155">
        <v>2348</v>
      </c>
      <c r="P155">
        <v>8</v>
      </c>
      <c r="Q155" t="s">
        <v>36</v>
      </c>
      <c r="R155">
        <v>18</v>
      </c>
      <c r="S155" t="s">
        <v>33</v>
      </c>
      <c r="T155" t="s">
        <v>29</v>
      </c>
      <c r="U155">
        <v>2</v>
      </c>
      <c r="V155" t="s">
        <v>35</v>
      </c>
      <c r="W155" t="str">
        <f>IF(HR_Data[[#This Row],[age]]&lt;25,"Under 25",IF(HR_Data[[#This Row],[age]]&lt;35,"25-34",IF(HR_Data[[#This Row],[age]]&lt;45,"35-44",IF(HR_Data[[#This Row],[age]]&lt;55,"45-54","55+"))))</f>
        <v>45-54</v>
      </c>
      <c r="X155" t="str">
        <f t="shared" si="2"/>
        <v>Below 3,000</v>
      </c>
    </row>
    <row r="156" spans="1:24" x14ac:dyDescent="0.3">
      <c r="A156">
        <v>207</v>
      </c>
      <c r="B156">
        <v>32</v>
      </c>
      <c r="C156" t="s">
        <v>36</v>
      </c>
      <c r="D156" t="s">
        <v>37</v>
      </c>
      <c r="E156" t="s">
        <v>24</v>
      </c>
      <c r="F156">
        <v>8</v>
      </c>
      <c r="G156" t="s">
        <v>50</v>
      </c>
      <c r="H156" t="s">
        <v>58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 t="s">
        <v>32</v>
      </c>
      <c r="O156">
        <v>8998</v>
      </c>
      <c r="P156">
        <v>1</v>
      </c>
      <c r="Q156" t="s">
        <v>36</v>
      </c>
      <c r="R156">
        <v>14</v>
      </c>
      <c r="S156" t="s">
        <v>33</v>
      </c>
      <c r="T156" t="s">
        <v>31</v>
      </c>
      <c r="U156">
        <v>2</v>
      </c>
      <c r="V156" t="s">
        <v>44</v>
      </c>
      <c r="W156" t="str">
        <f>IF(HR_Data[[#This Row],[age]]&lt;25,"Under 25",IF(HR_Data[[#This Row],[age]]&lt;35,"25-34",IF(HR_Data[[#This Row],[age]]&lt;45,"35-44",IF(HR_Data[[#This Row],[age]]&lt;55,"45-54","55+"))))</f>
        <v>25-34</v>
      </c>
      <c r="X156" t="str">
        <f t="shared" si="2"/>
        <v>8,000+</v>
      </c>
    </row>
    <row r="157" spans="1:24" x14ac:dyDescent="0.3">
      <c r="A157">
        <v>208</v>
      </c>
      <c r="B157">
        <v>29</v>
      </c>
      <c r="C157" t="s">
        <v>36</v>
      </c>
      <c r="D157" t="s">
        <v>54</v>
      </c>
      <c r="E157" t="s">
        <v>38</v>
      </c>
      <c r="F157">
        <v>1</v>
      </c>
      <c r="G157" t="s">
        <v>39</v>
      </c>
      <c r="H157" t="s">
        <v>60</v>
      </c>
      <c r="I157" t="s">
        <v>31</v>
      </c>
      <c r="J157" t="s">
        <v>40</v>
      </c>
      <c r="K157" t="s">
        <v>29</v>
      </c>
      <c r="L157" t="s">
        <v>52</v>
      </c>
      <c r="M157" t="s">
        <v>29</v>
      </c>
      <c r="N157" t="s">
        <v>42</v>
      </c>
      <c r="O157">
        <v>4319</v>
      </c>
      <c r="P157">
        <v>1</v>
      </c>
      <c r="Q157" t="s">
        <v>36</v>
      </c>
      <c r="R157">
        <v>13</v>
      </c>
      <c r="S157" t="s">
        <v>33</v>
      </c>
      <c r="T157" t="s">
        <v>34</v>
      </c>
      <c r="U157">
        <v>1</v>
      </c>
      <c r="V157" t="s">
        <v>44</v>
      </c>
      <c r="W157" t="str">
        <f>IF(HR_Data[[#This Row],[age]]&lt;25,"Under 25",IF(HR_Data[[#This Row],[age]]&lt;35,"25-34",IF(HR_Data[[#This Row],[age]]&lt;45,"35-44",IF(HR_Data[[#This Row],[age]]&lt;55,"45-54","55+"))))</f>
        <v>25-34</v>
      </c>
      <c r="X157" t="str">
        <f t="shared" si="2"/>
        <v>3,000-4,999</v>
      </c>
    </row>
    <row r="158" spans="1:24" x14ac:dyDescent="0.3">
      <c r="A158">
        <v>211</v>
      </c>
      <c r="B158">
        <v>51</v>
      </c>
      <c r="C158" t="s">
        <v>36</v>
      </c>
      <c r="D158" t="s">
        <v>23</v>
      </c>
      <c r="E158" t="s">
        <v>38</v>
      </c>
      <c r="F158">
        <v>7</v>
      </c>
      <c r="G158" t="s">
        <v>47</v>
      </c>
      <c r="H158" t="s">
        <v>48</v>
      </c>
      <c r="I158" t="s">
        <v>27</v>
      </c>
      <c r="J158" t="s">
        <v>40</v>
      </c>
      <c r="K158" t="s">
        <v>27</v>
      </c>
      <c r="L158" t="s">
        <v>52</v>
      </c>
      <c r="M158" t="s">
        <v>29</v>
      </c>
      <c r="N158" t="s">
        <v>42</v>
      </c>
      <c r="O158">
        <v>6132</v>
      </c>
      <c r="P158">
        <v>2</v>
      </c>
      <c r="Q158" t="s">
        <v>36</v>
      </c>
      <c r="R158">
        <v>17</v>
      </c>
      <c r="S158" t="s">
        <v>33</v>
      </c>
      <c r="T158" t="s">
        <v>29</v>
      </c>
      <c r="U158">
        <v>2</v>
      </c>
      <c r="V158" t="s">
        <v>44</v>
      </c>
      <c r="W158" t="str">
        <f>IF(HR_Data[[#This Row],[age]]&lt;25,"Under 25",IF(HR_Data[[#This Row],[age]]&lt;35,"25-34",IF(HR_Data[[#This Row],[age]]&lt;45,"35-44",IF(HR_Data[[#This Row],[age]]&lt;55,"45-54","55+"))))</f>
        <v>45-54</v>
      </c>
      <c r="X158" t="str">
        <f t="shared" si="2"/>
        <v>5,000-7,999</v>
      </c>
    </row>
    <row r="159" spans="1:24" x14ac:dyDescent="0.3">
      <c r="A159">
        <v>214</v>
      </c>
      <c r="B159">
        <v>58</v>
      </c>
      <c r="C159" t="s">
        <v>36</v>
      </c>
      <c r="D159" t="s">
        <v>23</v>
      </c>
      <c r="E159" t="s">
        <v>38</v>
      </c>
      <c r="F159">
        <v>9</v>
      </c>
      <c r="G159" t="s">
        <v>50</v>
      </c>
      <c r="H159" t="s">
        <v>48</v>
      </c>
      <c r="I159" t="s">
        <v>27</v>
      </c>
      <c r="J159" t="s">
        <v>28</v>
      </c>
      <c r="K159" t="s">
        <v>27</v>
      </c>
      <c r="L159" t="s">
        <v>41</v>
      </c>
      <c r="M159" t="s">
        <v>27</v>
      </c>
      <c r="N159" t="s">
        <v>42</v>
      </c>
      <c r="O159">
        <v>3346</v>
      </c>
      <c r="P159">
        <v>4</v>
      </c>
      <c r="Q159" t="s">
        <v>22</v>
      </c>
      <c r="R159">
        <v>20</v>
      </c>
      <c r="S159" t="s">
        <v>43</v>
      </c>
      <c r="T159" t="s">
        <v>27</v>
      </c>
      <c r="U159">
        <v>3</v>
      </c>
      <c r="V159" t="s">
        <v>49</v>
      </c>
      <c r="W159" t="str">
        <f>IF(HR_Data[[#This Row],[age]]&lt;25,"Under 25",IF(HR_Data[[#This Row],[age]]&lt;35,"25-34",IF(HR_Data[[#This Row],[age]]&lt;45,"35-44",IF(HR_Data[[#This Row],[age]]&lt;55,"45-54","55+"))))</f>
        <v>55+</v>
      </c>
      <c r="X159" t="str">
        <f t="shared" si="2"/>
        <v>3,000-4,999</v>
      </c>
    </row>
    <row r="160" spans="1:24" x14ac:dyDescent="0.3">
      <c r="A160">
        <v>215</v>
      </c>
      <c r="B160">
        <v>40</v>
      </c>
      <c r="C160" t="s">
        <v>36</v>
      </c>
      <c r="D160" t="s">
        <v>23</v>
      </c>
      <c r="E160" t="s">
        <v>24</v>
      </c>
      <c r="F160">
        <v>4</v>
      </c>
      <c r="G160" t="s">
        <v>47</v>
      </c>
      <c r="H160" t="s">
        <v>58</v>
      </c>
      <c r="I160" t="s">
        <v>29</v>
      </c>
      <c r="J160" t="s">
        <v>40</v>
      </c>
      <c r="K160" t="s">
        <v>27</v>
      </c>
      <c r="L160" t="s">
        <v>30</v>
      </c>
      <c r="M160" t="s">
        <v>31</v>
      </c>
      <c r="N160" t="s">
        <v>42</v>
      </c>
      <c r="O160">
        <v>10855</v>
      </c>
      <c r="P160">
        <v>7</v>
      </c>
      <c r="Q160" t="s">
        <v>36</v>
      </c>
      <c r="R160">
        <v>11</v>
      </c>
      <c r="S160" t="s">
        <v>33</v>
      </c>
      <c r="T160" t="s">
        <v>34</v>
      </c>
      <c r="U160">
        <v>2</v>
      </c>
      <c r="V160" t="s">
        <v>49</v>
      </c>
      <c r="W160" t="str">
        <f>IF(HR_Data[[#This Row],[age]]&lt;25,"Under 25",IF(HR_Data[[#This Row],[age]]&lt;35,"25-34",IF(HR_Data[[#This Row],[age]]&lt;45,"35-44",IF(HR_Data[[#This Row],[age]]&lt;55,"45-54","55+"))))</f>
        <v>35-44</v>
      </c>
      <c r="X160" t="str">
        <f t="shared" si="2"/>
        <v>8,000+</v>
      </c>
    </row>
    <row r="161" spans="1:24" x14ac:dyDescent="0.3">
      <c r="A161">
        <v>216</v>
      </c>
      <c r="B161">
        <v>34</v>
      </c>
      <c r="C161" t="s">
        <v>36</v>
      </c>
      <c r="D161" t="s">
        <v>37</v>
      </c>
      <c r="E161" t="s">
        <v>24</v>
      </c>
      <c r="F161">
        <v>2</v>
      </c>
      <c r="G161" t="s">
        <v>47</v>
      </c>
      <c r="H161" t="s">
        <v>58</v>
      </c>
      <c r="I161" t="s">
        <v>29</v>
      </c>
      <c r="J161" t="s">
        <v>28</v>
      </c>
      <c r="K161" t="s">
        <v>29</v>
      </c>
      <c r="L161" t="s">
        <v>56</v>
      </c>
      <c r="M161" t="s">
        <v>29</v>
      </c>
      <c r="N161" t="s">
        <v>42</v>
      </c>
      <c r="O161">
        <v>2231</v>
      </c>
      <c r="P161">
        <v>6</v>
      </c>
      <c r="Q161" t="s">
        <v>36</v>
      </c>
      <c r="R161">
        <v>18</v>
      </c>
      <c r="S161" t="s">
        <v>33</v>
      </c>
      <c r="T161" t="s">
        <v>31</v>
      </c>
      <c r="U161">
        <v>3</v>
      </c>
      <c r="V161" t="s">
        <v>44</v>
      </c>
      <c r="W161" t="str">
        <f>IF(HR_Data[[#This Row],[age]]&lt;25,"Under 25",IF(HR_Data[[#This Row],[age]]&lt;35,"25-34",IF(HR_Data[[#This Row],[age]]&lt;45,"35-44",IF(HR_Data[[#This Row],[age]]&lt;55,"45-54","55+"))))</f>
        <v>25-34</v>
      </c>
      <c r="X161" t="str">
        <f t="shared" si="2"/>
        <v>Below 3,000</v>
      </c>
    </row>
    <row r="162" spans="1:24" x14ac:dyDescent="0.3">
      <c r="A162">
        <v>217</v>
      </c>
      <c r="B162">
        <v>22</v>
      </c>
      <c r="C162" t="s">
        <v>36</v>
      </c>
      <c r="D162" t="s">
        <v>23</v>
      </c>
      <c r="E162" t="s">
        <v>38</v>
      </c>
      <c r="F162">
        <v>19</v>
      </c>
      <c r="G162" t="s">
        <v>39</v>
      </c>
      <c r="H162" t="s">
        <v>48</v>
      </c>
      <c r="I162" t="s">
        <v>29</v>
      </c>
      <c r="J162" t="s">
        <v>40</v>
      </c>
      <c r="K162" t="s">
        <v>29</v>
      </c>
      <c r="L162" t="s">
        <v>41</v>
      </c>
      <c r="M162" t="s">
        <v>31</v>
      </c>
      <c r="N162" t="s">
        <v>42</v>
      </c>
      <c r="O162">
        <v>2323</v>
      </c>
      <c r="P162">
        <v>1</v>
      </c>
      <c r="Q162" t="s">
        <v>36</v>
      </c>
      <c r="R162">
        <v>24</v>
      </c>
      <c r="S162" t="s">
        <v>43</v>
      </c>
      <c r="T162" t="s">
        <v>34</v>
      </c>
      <c r="U162">
        <v>6</v>
      </c>
      <c r="V162" t="s">
        <v>44</v>
      </c>
      <c r="W162" t="str">
        <f>IF(HR_Data[[#This Row],[age]]&lt;25,"Under 25",IF(HR_Data[[#This Row],[age]]&lt;35,"25-34",IF(HR_Data[[#This Row],[age]]&lt;45,"35-44",IF(HR_Data[[#This Row],[age]]&lt;55,"45-54","55+"))))</f>
        <v>Under 25</v>
      </c>
      <c r="X162" t="str">
        <f t="shared" si="2"/>
        <v>Below 3,000</v>
      </c>
    </row>
    <row r="163" spans="1:24" x14ac:dyDescent="0.3">
      <c r="A163">
        <v>218</v>
      </c>
      <c r="B163">
        <v>27</v>
      </c>
      <c r="C163" t="s">
        <v>36</v>
      </c>
      <c r="D163" t="s">
        <v>54</v>
      </c>
      <c r="E163" t="s">
        <v>38</v>
      </c>
      <c r="F163">
        <v>9</v>
      </c>
      <c r="G163" t="s">
        <v>50</v>
      </c>
      <c r="H163" t="s">
        <v>48</v>
      </c>
      <c r="I163" t="s">
        <v>31</v>
      </c>
      <c r="J163" t="s">
        <v>40</v>
      </c>
      <c r="K163" t="s">
        <v>29</v>
      </c>
      <c r="L163" t="s">
        <v>41</v>
      </c>
      <c r="M163" t="s">
        <v>27</v>
      </c>
      <c r="N163" t="s">
        <v>51</v>
      </c>
      <c r="O163">
        <v>2024</v>
      </c>
      <c r="P163">
        <v>6</v>
      </c>
      <c r="Q163" t="s">
        <v>36</v>
      </c>
      <c r="R163">
        <v>18</v>
      </c>
      <c r="S163" t="s">
        <v>33</v>
      </c>
      <c r="T163" t="s">
        <v>31</v>
      </c>
      <c r="U163">
        <v>1</v>
      </c>
      <c r="V163" t="s">
        <v>35</v>
      </c>
      <c r="W163" t="str">
        <f>IF(HR_Data[[#This Row],[age]]&lt;25,"Under 25",IF(HR_Data[[#This Row],[age]]&lt;35,"25-34",IF(HR_Data[[#This Row],[age]]&lt;45,"35-44",IF(HR_Data[[#This Row],[age]]&lt;55,"45-54","55+"))))</f>
        <v>25-34</v>
      </c>
      <c r="X163" t="str">
        <f t="shared" si="2"/>
        <v>Below 3,000</v>
      </c>
    </row>
    <row r="164" spans="1:24" x14ac:dyDescent="0.3">
      <c r="A164">
        <v>221</v>
      </c>
      <c r="B164">
        <v>28</v>
      </c>
      <c r="C164" t="s">
        <v>36</v>
      </c>
      <c r="D164" t="s">
        <v>23</v>
      </c>
      <c r="E164" t="s">
        <v>38</v>
      </c>
      <c r="F164">
        <v>21</v>
      </c>
      <c r="G164" t="s">
        <v>50</v>
      </c>
      <c r="H164" t="s">
        <v>48</v>
      </c>
      <c r="I164" t="s">
        <v>29</v>
      </c>
      <c r="J164" t="s">
        <v>40</v>
      </c>
      <c r="K164" t="s">
        <v>29</v>
      </c>
      <c r="L164" t="s">
        <v>41</v>
      </c>
      <c r="M164" t="s">
        <v>31</v>
      </c>
      <c r="N164" t="s">
        <v>42</v>
      </c>
      <c r="O164">
        <v>2713</v>
      </c>
      <c r="P164">
        <v>1</v>
      </c>
      <c r="Q164" t="s">
        <v>36</v>
      </c>
      <c r="R164">
        <v>11</v>
      </c>
      <c r="S164" t="s">
        <v>33</v>
      </c>
      <c r="T164" t="s">
        <v>29</v>
      </c>
      <c r="U164">
        <v>2</v>
      </c>
      <c r="V164" t="s">
        <v>35</v>
      </c>
      <c r="W164" t="str">
        <f>IF(HR_Data[[#This Row],[age]]&lt;25,"Under 25",IF(HR_Data[[#This Row],[age]]&lt;35,"25-34",IF(HR_Data[[#This Row],[age]]&lt;45,"35-44",IF(HR_Data[[#This Row],[age]]&lt;55,"45-54","55+"))))</f>
        <v>25-34</v>
      </c>
      <c r="X164" t="str">
        <f t="shared" si="2"/>
        <v>Below 3,000</v>
      </c>
    </row>
    <row r="165" spans="1:24" x14ac:dyDescent="0.3">
      <c r="A165">
        <v>223</v>
      </c>
      <c r="B165">
        <v>57</v>
      </c>
      <c r="C165" t="s">
        <v>36</v>
      </c>
      <c r="D165" t="s">
        <v>23</v>
      </c>
      <c r="E165" t="s">
        <v>38</v>
      </c>
      <c r="F165">
        <v>24</v>
      </c>
      <c r="G165" t="s">
        <v>25</v>
      </c>
      <c r="H165" t="s">
        <v>26</v>
      </c>
      <c r="I165" t="s">
        <v>29</v>
      </c>
      <c r="J165" t="s">
        <v>40</v>
      </c>
      <c r="K165" t="s">
        <v>31</v>
      </c>
      <c r="L165" t="s">
        <v>53</v>
      </c>
      <c r="M165" t="s">
        <v>31</v>
      </c>
      <c r="N165" t="s">
        <v>51</v>
      </c>
      <c r="O165">
        <v>9439</v>
      </c>
      <c r="P165">
        <v>3</v>
      </c>
      <c r="Q165" t="s">
        <v>22</v>
      </c>
      <c r="R165">
        <v>16</v>
      </c>
      <c r="S165" t="s">
        <v>33</v>
      </c>
      <c r="T165" t="s">
        <v>27</v>
      </c>
      <c r="U165">
        <v>2</v>
      </c>
      <c r="V165" t="s">
        <v>35</v>
      </c>
      <c r="W165" t="str">
        <f>IF(HR_Data[[#This Row],[age]]&lt;25,"Under 25",IF(HR_Data[[#This Row],[age]]&lt;35,"25-34",IF(HR_Data[[#This Row],[age]]&lt;45,"35-44",IF(HR_Data[[#This Row],[age]]&lt;55,"45-54","55+"))))</f>
        <v>55+</v>
      </c>
      <c r="X165" t="str">
        <f t="shared" si="2"/>
        <v>8,000+</v>
      </c>
    </row>
    <row r="166" spans="1:24" x14ac:dyDescent="0.3">
      <c r="A166">
        <v>224</v>
      </c>
      <c r="B166">
        <v>27</v>
      </c>
      <c r="C166" t="s">
        <v>36</v>
      </c>
      <c r="D166" t="s">
        <v>54</v>
      </c>
      <c r="E166" t="s">
        <v>38</v>
      </c>
      <c r="F166">
        <v>3</v>
      </c>
      <c r="G166" t="s">
        <v>50</v>
      </c>
      <c r="H166" t="s">
        <v>48</v>
      </c>
      <c r="I166" t="s">
        <v>29</v>
      </c>
      <c r="J166" t="s">
        <v>40</v>
      </c>
      <c r="K166" t="s">
        <v>27</v>
      </c>
      <c r="L166" t="s">
        <v>41</v>
      </c>
      <c r="M166" t="s">
        <v>29</v>
      </c>
      <c r="N166" t="s">
        <v>51</v>
      </c>
      <c r="O166">
        <v>2566</v>
      </c>
      <c r="P166">
        <v>1</v>
      </c>
      <c r="Q166" t="s">
        <v>22</v>
      </c>
      <c r="R166">
        <v>15</v>
      </c>
      <c r="S166" t="s">
        <v>33</v>
      </c>
      <c r="T166" t="s">
        <v>31</v>
      </c>
      <c r="U166">
        <v>2</v>
      </c>
      <c r="V166" t="s">
        <v>49</v>
      </c>
      <c r="W166" t="str">
        <f>IF(HR_Data[[#This Row],[age]]&lt;25,"Under 25",IF(HR_Data[[#This Row],[age]]&lt;35,"25-34",IF(HR_Data[[#This Row],[age]]&lt;45,"35-44",IF(HR_Data[[#This Row],[age]]&lt;55,"45-54","55+"))))</f>
        <v>25-34</v>
      </c>
      <c r="X166" t="str">
        <f t="shared" si="2"/>
        <v>Below 3,000</v>
      </c>
    </row>
    <row r="167" spans="1:24" x14ac:dyDescent="0.3">
      <c r="A167">
        <v>226</v>
      </c>
      <c r="B167">
        <v>50</v>
      </c>
      <c r="C167" t="s">
        <v>36</v>
      </c>
      <c r="D167" t="s">
        <v>23</v>
      </c>
      <c r="E167" t="s">
        <v>38</v>
      </c>
      <c r="F167">
        <v>11</v>
      </c>
      <c r="G167" t="s">
        <v>50</v>
      </c>
      <c r="H167" t="s">
        <v>26</v>
      </c>
      <c r="I167" t="s">
        <v>29</v>
      </c>
      <c r="J167" t="s">
        <v>28</v>
      </c>
      <c r="K167" t="s">
        <v>29</v>
      </c>
      <c r="L167" t="s">
        <v>55</v>
      </c>
      <c r="M167" t="s">
        <v>27</v>
      </c>
      <c r="N167" t="s">
        <v>32</v>
      </c>
      <c r="O167">
        <v>19926</v>
      </c>
      <c r="P167">
        <v>3</v>
      </c>
      <c r="Q167" t="s">
        <v>36</v>
      </c>
      <c r="R167">
        <v>15</v>
      </c>
      <c r="S167" t="s">
        <v>33</v>
      </c>
      <c r="T167" t="s">
        <v>27</v>
      </c>
      <c r="U167">
        <v>5</v>
      </c>
      <c r="V167" t="s">
        <v>44</v>
      </c>
      <c r="W167" t="str">
        <f>IF(HR_Data[[#This Row],[age]]&lt;25,"Under 25",IF(HR_Data[[#This Row],[age]]&lt;35,"25-34",IF(HR_Data[[#This Row],[age]]&lt;45,"35-44",IF(HR_Data[[#This Row],[age]]&lt;55,"45-54","55+"))))</f>
        <v>45-54</v>
      </c>
      <c r="X167" t="str">
        <f t="shared" si="2"/>
        <v>8,000+</v>
      </c>
    </row>
    <row r="168" spans="1:24" x14ac:dyDescent="0.3">
      <c r="A168">
        <v>227</v>
      </c>
      <c r="B168">
        <v>41</v>
      </c>
      <c r="C168" t="s">
        <v>36</v>
      </c>
      <c r="D168" t="s">
        <v>23</v>
      </c>
      <c r="E168" t="s">
        <v>38</v>
      </c>
      <c r="F168">
        <v>14</v>
      </c>
      <c r="G168" t="s">
        <v>50</v>
      </c>
      <c r="H168" t="s">
        <v>26</v>
      </c>
      <c r="I168" t="s">
        <v>34</v>
      </c>
      <c r="J168" t="s">
        <v>40</v>
      </c>
      <c r="K168" t="s">
        <v>29</v>
      </c>
      <c r="L168" t="s">
        <v>41</v>
      </c>
      <c r="M168" t="s">
        <v>29</v>
      </c>
      <c r="N168" t="s">
        <v>51</v>
      </c>
      <c r="O168">
        <v>2451</v>
      </c>
      <c r="P168">
        <v>4</v>
      </c>
      <c r="Q168" t="s">
        <v>36</v>
      </c>
      <c r="R168">
        <v>12</v>
      </c>
      <c r="S168" t="s">
        <v>33</v>
      </c>
      <c r="T168" t="s">
        <v>34</v>
      </c>
      <c r="U168">
        <v>2</v>
      </c>
      <c r="V168" t="s">
        <v>44</v>
      </c>
      <c r="W168" t="str">
        <f>IF(HR_Data[[#This Row],[age]]&lt;25,"Under 25",IF(HR_Data[[#This Row],[age]]&lt;35,"25-34",IF(HR_Data[[#This Row],[age]]&lt;45,"35-44",IF(HR_Data[[#This Row],[age]]&lt;55,"45-54","55+"))))</f>
        <v>35-44</v>
      </c>
      <c r="X168" t="str">
        <f t="shared" si="2"/>
        <v>Below 3,000</v>
      </c>
    </row>
    <row r="169" spans="1:24" x14ac:dyDescent="0.3">
      <c r="A169">
        <v>228</v>
      </c>
      <c r="B169">
        <v>30</v>
      </c>
      <c r="C169" t="s">
        <v>36</v>
      </c>
      <c r="D169" t="s">
        <v>23</v>
      </c>
      <c r="E169" t="s">
        <v>24</v>
      </c>
      <c r="F169">
        <v>5</v>
      </c>
      <c r="G169" t="s">
        <v>50</v>
      </c>
      <c r="H169" t="s">
        <v>26</v>
      </c>
      <c r="I169" t="s">
        <v>27</v>
      </c>
      <c r="J169" t="s">
        <v>28</v>
      </c>
      <c r="K169" t="s">
        <v>29</v>
      </c>
      <c r="L169" t="s">
        <v>30</v>
      </c>
      <c r="M169" t="s">
        <v>31</v>
      </c>
      <c r="N169" t="s">
        <v>42</v>
      </c>
      <c r="O169">
        <v>9419</v>
      </c>
      <c r="P169">
        <v>2</v>
      </c>
      <c r="Q169" t="s">
        <v>36</v>
      </c>
      <c r="R169">
        <v>12</v>
      </c>
      <c r="S169" t="s">
        <v>33</v>
      </c>
      <c r="T169" t="s">
        <v>29</v>
      </c>
      <c r="U169">
        <v>2</v>
      </c>
      <c r="V169" t="s">
        <v>44</v>
      </c>
      <c r="W169" t="str">
        <f>IF(HR_Data[[#This Row],[age]]&lt;25,"Under 25",IF(HR_Data[[#This Row],[age]]&lt;35,"25-34",IF(HR_Data[[#This Row],[age]]&lt;45,"35-44",IF(HR_Data[[#This Row],[age]]&lt;55,"45-54","55+"))))</f>
        <v>25-34</v>
      </c>
      <c r="X169" t="str">
        <f t="shared" si="2"/>
        <v>8,000+</v>
      </c>
    </row>
    <row r="170" spans="1:24" x14ac:dyDescent="0.3">
      <c r="A170">
        <v>230</v>
      </c>
      <c r="B170">
        <v>38</v>
      </c>
      <c r="C170" t="s">
        <v>36</v>
      </c>
      <c r="D170" t="s">
        <v>23</v>
      </c>
      <c r="E170" t="s">
        <v>24</v>
      </c>
      <c r="F170">
        <v>1</v>
      </c>
      <c r="G170" t="s">
        <v>47</v>
      </c>
      <c r="H170" t="s">
        <v>26</v>
      </c>
      <c r="I170" t="s">
        <v>34</v>
      </c>
      <c r="J170" t="s">
        <v>28</v>
      </c>
      <c r="K170" t="s">
        <v>27</v>
      </c>
      <c r="L170" t="s">
        <v>30</v>
      </c>
      <c r="M170" t="s">
        <v>31</v>
      </c>
      <c r="N170" t="s">
        <v>32</v>
      </c>
      <c r="O170">
        <v>8686</v>
      </c>
      <c r="P170">
        <v>4</v>
      </c>
      <c r="Q170" t="s">
        <v>36</v>
      </c>
      <c r="R170">
        <v>22</v>
      </c>
      <c r="S170" t="s">
        <v>43</v>
      </c>
      <c r="T170" t="s">
        <v>29</v>
      </c>
      <c r="U170">
        <v>2</v>
      </c>
      <c r="V170" t="s">
        <v>59</v>
      </c>
      <c r="W170" t="str">
        <f>IF(HR_Data[[#This Row],[age]]&lt;25,"Under 25",IF(HR_Data[[#This Row],[age]]&lt;35,"25-34",IF(HR_Data[[#This Row],[age]]&lt;45,"35-44",IF(HR_Data[[#This Row],[age]]&lt;55,"45-54","55+"))))</f>
        <v>35-44</v>
      </c>
      <c r="X170" t="str">
        <f t="shared" si="2"/>
        <v>8,000+</v>
      </c>
    </row>
    <row r="171" spans="1:24" x14ac:dyDescent="0.3">
      <c r="A171">
        <v>231</v>
      </c>
      <c r="B171">
        <v>32</v>
      </c>
      <c r="C171" t="s">
        <v>36</v>
      </c>
      <c r="D171" t="s">
        <v>23</v>
      </c>
      <c r="E171" t="s">
        <v>38</v>
      </c>
      <c r="F171">
        <v>6</v>
      </c>
      <c r="G171" t="s">
        <v>61</v>
      </c>
      <c r="H171" t="s">
        <v>26</v>
      </c>
      <c r="I171" t="s">
        <v>29</v>
      </c>
      <c r="J171" t="s">
        <v>40</v>
      </c>
      <c r="K171" t="s">
        <v>29</v>
      </c>
      <c r="L171" t="s">
        <v>41</v>
      </c>
      <c r="M171" t="s">
        <v>29</v>
      </c>
      <c r="N171" t="s">
        <v>32</v>
      </c>
      <c r="O171">
        <v>3038</v>
      </c>
      <c r="P171">
        <v>3</v>
      </c>
      <c r="Q171" t="s">
        <v>36</v>
      </c>
      <c r="R171">
        <v>20</v>
      </c>
      <c r="S171" t="s">
        <v>43</v>
      </c>
      <c r="T171" t="s">
        <v>34</v>
      </c>
      <c r="U171">
        <v>2</v>
      </c>
      <c r="V171" t="s">
        <v>44</v>
      </c>
      <c r="W171" t="str">
        <f>IF(HR_Data[[#This Row],[age]]&lt;25,"Under 25",IF(HR_Data[[#This Row],[age]]&lt;35,"25-34",IF(HR_Data[[#This Row],[age]]&lt;45,"35-44",IF(HR_Data[[#This Row],[age]]&lt;55,"45-54","55+"))))</f>
        <v>25-34</v>
      </c>
      <c r="X171" t="str">
        <f t="shared" si="2"/>
        <v>3,000-4,999</v>
      </c>
    </row>
    <row r="172" spans="1:24" x14ac:dyDescent="0.3">
      <c r="A172">
        <v>233</v>
      </c>
      <c r="B172">
        <v>27</v>
      </c>
      <c r="C172" t="s">
        <v>36</v>
      </c>
      <c r="D172" t="s">
        <v>23</v>
      </c>
      <c r="E172" t="s">
        <v>38</v>
      </c>
      <c r="F172">
        <v>17</v>
      </c>
      <c r="G172" t="s">
        <v>50</v>
      </c>
      <c r="H172" t="s">
        <v>60</v>
      </c>
      <c r="I172" t="s">
        <v>29</v>
      </c>
      <c r="J172" t="s">
        <v>40</v>
      </c>
      <c r="K172" t="s">
        <v>29</v>
      </c>
      <c r="L172" t="s">
        <v>41</v>
      </c>
      <c r="M172" t="s">
        <v>27</v>
      </c>
      <c r="N172" t="s">
        <v>42</v>
      </c>
      <c r="O172">
        <v>3058</v>
      </c>
      <c r="P172">
        <v>0</v>
      </c>
      <c r="Q172" t="s">
        <v>22</v>
      </c>
      <c r="R172">
        <v>16</v>
      </c>
      <c r="S172" t="s">
        <v>33</v>
      </c>
      <c r="T172" t="s">
        <v>31</v>
      </c>
      <c r="U172">
        <v>3</v>
      </c>
      <c r="V172" t="s">
        <v>49</v>
      </c>
      <c r="W172" t="str">
        <f>IF(HR_Data[[#This Row],[age]]&lt;25,"Under 25",IF(HR_Data[[#This Row],[age]]&lt;35,"25-34",IF(HR_Data[[#This Row],[age]]&lt;45,"35-44",IF(HR_Data[[#This Row],[age]]&lt;55,"45-54","55+"))))</f>
        <v>25-34</v>
      </c>
      <c r="X172" t="str">
        <f t="shared" si="2"/>
        <v>3,000-4,999</v>
      </c>
    </row>
    <row r="173" spans="1:24" x14ac:dyDescent="0.3">
      <c r="A173">
        <v>235</v>
      </c>
      <c r="B173">
        <v>19</v>
      </c>
      <c r="C173" t="s">
        <v>22</v>
      </c>
      <c r="D173" t="s">
        <v>37</v>
      </c>
      <c r="E173" t="s">
        <v>24</v>
      </c>
      <c r="F173">
        <v>1</v>
      </c>
      <c r="G173" t="s">
        <v>39</v>
      </c>
      <c r="H173" t="s">
        <v>60</v>
      </c>
      <c r="I173" t="s">
        <v>29</v>
      </c>
      <c r="J173" t="s">
        <v>28</v>
      </c>
      <c r="K173" t="s">
        <v>34</v>
      </c>
      <c r="L173" t="s">
        <v>56</v>
      </c>
      <c r="M173" t="s">
        <v>34</v>
      </c>
      <c r="N173" t="s">
        <v>32</v>
      </c>
      <c r="O173">
        <v>2325</v>
      </c>
      <c r="P173">
        <v>0</v>
      </c>
      <c r="Q173" t="s">
        <v>36</v>
      </c>
      <c r="R173">
        <v>21</v>
      </c>
      <c r="S173" t="s">
        <v>43</v>
      </c>
      <c r="T173" t="s">
        <v>34</v>
      </c>
      <c r="U173">
        <v>5</v>
      </c>
      <c r="V173" t="s">
        <v>59</v>
      </c>
      <c r="W173" t="str">
        <f>IF(HR_Data[[#This Row],[age]]&lt;25,"Under 25",IF(HR_Data[[#This Row],[age]]&lt;35,"25-34",IF(HR_Data[[#This Row],[age]]&lt;45,"35-44",IF(HR_Data[[#This Row],[age]]&lt;55,"45-54","55+"))))</f>
        <v>Under 25</v>
      </c>
      <c r="X173" t="str">
        <f t="shared" si="2"/>
        <v>Below 3,000</v>
      </c>
    </row>
    <row r="174" spans="1:24" x14ac:dyDescent="0.3">
      <c r="A174">
        <v>238</v>
      </c>
      <c r="B174">
        <v>36</v>
      </c>
      <c r="C174" t="s">
        <v>36</v>
      </c>
      <c r="D174" t="s">
        <v>37</v>
      </c>
      <c r="E174" t="s">
        <v>38</v>
      </c>
      <c r="F174">
        <v>3</v>
      </c>
      <c r="G174" t="s">
        <v>25</v>
      </c>
      <c r="H174" t="s">
        <v>48</v>
      </c>
      <c r="I174" t="s">
        <v>31</v>
      </c>
      <c r="J174" t="s">
        <v>40</v>
      </c>
      <c r="K174" t="s">
        <v>29</v>
      </c>
      <c r="L174" t="s">
        <v>46</v>
      </c>
      <c r="M174" t="s">
        <v>27</v>
      </c>
      <c r="N174" t="s">
        <v>32</v>
      </c>
      <c r="O174">
        <v>2088</v>
      </c>
      <c r="P174">
        <v>4</v>
      </c>
      <c r="Q174" t="s">
        <v>36</v>
      </c>
      <c r="R174">
        <v>12</v>
      </c>
      <c r="S174" t="s">
        <v>33</v>
      </c>
      <c r="T174" t="s">
        <v>29</v>
      </c>
      <c r="U174">
        <v>3</v>
      </c>
      <c r="V174" t="s">
        <v>49</v>
      </c>
      <c r="W174" t="str">
        <f>IF(HR_Data[[#This Row],[age]]&lt;25,"Under 25",IF(HR_Data[[#This Row],[age]]&lt;35,"25-34",IF(HR_Data[[#This Row],[age]]&lt;45,"35-44",IF(HR_Data[[#This Row],[age]]&lt;55,"45-54","55+"))))</f>
        <v>35-44</v>
      </c>
      <c r="X174" t="str">
        <f t="shared" si="2"/>
        <v>Below 3,000</v>
      </c>
    </row>
    <row r="175" spans="1:24" x14ac:dyDescent="0.3">
      <c r="A175">
        <v>239</v>
      </c>
      <c r="B175">
        <v>30</v>
      </c>
      <c r="C175" t="s">
        <v>36</v>
      </c>
      <c r="D175" t="s">
        <v>54</v>
      </c>
      <c r="E175" t="s">
        <v>38</v>
      </c>
      <c r="F175">
        <v>9</v>
      </c>
      <c r="G175" t="s">
        <v>50</v>
      </c>
      <c r="H175" t="s">
        <v>48</v>
      </c>
      <c r="I175" t="s">
        <v>29</v>
      </c>
      <c r="J175" t="s">
        <v>40</v>
      </c>
      <c r="K175" t="s">
        <v>29</v>
      </c>
      <c r="L175" t="s">
        <v>46</v>
      </c>
      <c r="M175" t="s">
        <v>34</v>
      </c>
      <c r="N175" t="s">
        <v>51</v>
      </c>
      <c r="O175">
        <v>3072</v>
      </c>
      <c r="P175">
        <v>1</v>
      </c>
      <c r="Q175" t="s">
        <v>36</v>
      </c>
      <c r="R175">
        <v>11</v>
      </c>
      <c r="S175" t="s">
        <v>33</v>
      </c>
      <c r="T175" t="s">
        <v>29</v>
      </c>
      <c r="U175">
        <v>4</v>
      </c>
      <c r="V175" t="s">
        <v>44</v>
      </c>
      <c r="W175" t="str">
        <f>IF(HR_Data[[#This Row],[age]]&lt;25,"Under 25",IF(HR_Data[[#This Row],[age]]&lt;35,"25-34",IF(HR_Data[[#This Row],[age]]&lt;45,"35-44",IF(HR_Data[[#This Row],[age]]&lt;55,"45-54","55+"))))</f>
        <v>25-34</v>
      </c>
      <c r="X175" t="str">
        <f t="shared" si="2"/>
        <v>3,000-4,999</v>
      </c>
    </row>
    <row r="176" spans="1:24" x14ac:dyDescent="0.3">
      <c r="A176">
        <v>240</v>
      </c>
      <c r="B176">
        <v>45</v>
      </c>
      <c r="C176" t="s">
        <v>36</v>
      </c>
      <c r="D176" t="s">
        <v>23</v>
      </c>
      <c r="E176" t="s">
        <v>24</v>
      </c>
      <c r="F176">
        <v>4</v>
      </c>
      <c r="G176" t="s">
        <v>25</v>
      </c>
      <c r="H176" t="s">
        <v>26</v>
      </c>
      <c r="I176" t="s">
        <v>29</v>
      </c>
      <c r="J176" t="s">
        <v>28</v>
      </c>
      <c r="K176" t="s">
        <v>29</v>
      </c>
      <c r="L176" t="s">
        <v>30</v>
      </c>
      <c r="M176" t="s">
        <v>34</v>
      </c>
      <c r="N176" t="s">
        <v>51</v>
      </c>
      <c r="O176">
        <v>5006</v>
      </c>
      <c r="P176">
        <v>4</v>
      </c>
      <c r="Q176" t="s">
        <v>22</v>
      </c>
      <c r="R176">
        <v>11</v>
      </c>
      <c r="S176" t="s">
        <v>33</v>
      </c>
      <c r="T176" t="s">
        <v>34</v>
      </c>
      <c r="U176">
        <v>3</v>
      </c>
      <c r="V176" t="s">
        <v>59</v>
      </c>
      <c r="W176" t="str">
        <f>IF(HR_Data[[#This Row],[age]]&lt;25,"Under 25",IF(HR_Data[[#This Row],[age]]&lt;35,"25-34",IF(HR_Data[[#This Row],[age]]&lt;45,"35-44",IF(HR_Data[[#This Row],[age]]&lt;55,"45-54","55+"))))</f>
        <v>45-54</v>
      </c>
      <c r="X176" t="str">
        <f t="shared" si="2"/>
        <v>5,000-7,999</v>
      </c>
    </row>
    <row r="177" spans="1:24" x14ac:dyDescent="0.3">
      <c r="A177">
        <v>241</v>
      </c>
      <c r="B177">
        <v>56</v>
      </c>
      <c r="C177" t="s">
        <v>36</v>
      </c>
      <c r="D177" t="s">
        <v>23</v>
      </c>
      <c r="E177" t="s">
        <v>38</v>
      </c>
      <c r="F177">
        <v>8</v>
      </c>
      <c r="G177" t="s">
        <v>50</v>
      </c>
      <c r="H177" t="s">
        <v>26</v>
      </c>
      <c r="I177" t="s">
        <v>29</v>
      </c>
      <c r="J177" t="s">
        <v>28</v>
      </c>
      <c r="K177" t="s">
        <v>29</v>
      </c>
      <c r="L177" t="s">
        <v>41</v>
      </c>
      <c r="M177" t="s">
        <v>34</v>
      </c>
      <c r="N177" t="s">
        <v>51</v>
      </c>
      <c r="O177">
        <v>4257</v>
      </c>
      <c r="P177">
        <v>4</v>
      </c>
      <c r="Q177" t="s">
        <v>22</v>
      </c>
      <c r="R177">
        <v>18</v>
      </c>
      <c r="S177" t="s">
        <v>33</v>
      </c>
      <c r="T177" t="s">
        <v>29</v>
      </c>
      <c r="U177">
        <v>3</v>
      </c>
      <c r="V177" t="s">
        <v>44</v>
      </c>
      <c r="W177" t="str">
        <f>IF(HR_Data[[#This Row],[age]]&lt;25,"Under 25",IF(HR_Data[[#This Row],[age]]&lt;35,"25-34",IF(HR_Data[[#This Row],[age]]&lt;45,"35-44",IF(HR_Data[[#This Row],[age]]&lt;55,"45-54","55+"))))</f>
        <v>55+</v>
      </c>
      <c r="X177" t="str">
        <f t="shared" si="2"/>
        <v>3,000-4,999</v>
      </c>
    </row>
    <row r="178" spans="1:24" x14ac:dyDescent="0.3">
      <c r="A178">
        <v>242</v>
      </c>
      <c r="B178">
        <v>33</v>
      </c>
      <c r="C178" t="s">
        <v>36</v>
      </c>
      <c r="D178" t="s">
        <v>23</v>
      </c>
      <c r="E178" t="s">
        <v>38</v>
      </c>
      <c r="F178">
        <v>2</v>
      </c>
      <c r="G178" t="s">
        <v>50</v>
      </c>
      <c r="H178" t="s">
        <v>26</v>
      </c>
      <c r="I178" t="s">
        <v>29</v>
      </c>
      <c r="J178" t="s">
        <v>40</v>
      </c>
      <c r="K178" t="s">
        <v>29</v>
      </c>
      <c r="L178" t="s">
        <v>41</v>
      </c>
      <c r="M178" t="s">
        <v>31</v>
      </c>
      <c r="N178" t="s">
        <v>32</v>
      </c>
      <c r="O178">
        <v>2500</v>
      </c>
      <c r="P178">
        <v>0</v>
      </c>
      <c r="Q178" t="s">
        <v>36</v>
      </c>
      <c r="R178">
        <v>14</v>
      </c>
      <c r="S178" t="s">
        <v>33</v>
      </c>
      <c r="T178" t="s">
        <v>34</v>
      </c>
      <c r="U178">
        <v>2</v>
      </c>
      <c r="V178" t="s">
        <v>59</v>
      </c>
      <c r="W178" t="str">
        <f>IF(HR_Data[[#This Row],[age]]&lt;25,"Under 25",IF(HR_Data[[#This Row],[age]]&lt;35,"25-34",IF(HR_Data[[#This Row],[age]]&lt;45,"35-44",IF(HR_Data[[#This Row],[age]]&lt;55,"45-54","55+"))))</f>
        <v>25-34</v>
      </c>
      <c r="X178" t="str">
        <f t="shared" si="2"/>
        <v>Below 3,000</v>
      </c>
    </row>
    <row r="179" spans="1:24" x14ac:dyDescent="0.3">
      <c r="A179">
        <v>243</v>
      </c>
      <c r="B179">
        <v>19</v>
      </c>
      <c r="C179" t="s">
        <v>22</v>
      </c>
      <c r="D179" t="s">
        <v>23</v>
      </c>
      <c r="E179" t="s">
        <v>38</v>
      </c>
      <c r="F179">
        <v>2</v>
      </c>
      <c r="G179" t="s">
        <v>50</v>
      </c>
      <c r="H179" t="s">
        <v>26</v>
      </c>
      <c r="I179" t="s">
        <v>27</v>
      </c>
      <c r="J179" t="s">
        <v>40</v>
      </c>
      <c r="K179" t="s">
        <v>27</v>
      </c>
      <c r="L179" t="s">
        <v>46</v>
      </c>
      <c r="M179" t="s">
        <v>31</v>
      </c>
      <c r="N179" t="s">
        <v>32</v>
      </c>
      <c r="O179">
        <v>1102</v>
      </c>
      <c r="P179">
        <v>1</v>
      </c>
      <c r="Q179" t="s">
        <v>36</v>
      </c>
      <c r="R179">
        <v>22</v>
      </c>
      <c r="S179" t="s">
        <v>43</v>
      </c>
      <c r="T179" t="s">
        <v>29</v>
      </c>
      <c r="U179">
        <v>3</v>
      </c>
      <c r="V179" t="s">
        <v>49</v>
      </c>
      <c r="W179" t="str">
        <f>IF(HR_Data[[#This Row],[age]]&lt;25,"Under 25",IF(HR_Data[[#This Row],[age]]&lt;35,"25-34",IF(HR_Data[[#This Row],[age]]&lt;45,"35-44",IF(HR_Data[[#This Row],[age]]&lt;55,"45-54","55+"))))</f>
        <v>Under 25</v>
      </c>
      <c r="X179" t="str">
        <f t="shared" si="2"/>
        <v>Below 3,000</v>
      </c>
    </row>
    <row r="180" spans="1:24" x14ac:dyDescent="0.3">
      <c r="A180">
        <v>244</v>
      </c>
      <c r="B180">
        <v>46</v>
      </c>
      <c r="C180" t="s">
        <v>36</v>
      </c>
      <c r="D180" t="s">
        <v>23</v>
      </c>
      <c r="E180" t="s">
        <v>24</v>
      </c>
      <c r="F180">
        <v>1</v>
      </c>
      <c r="G180" t="s">
        <v>25</v>
      </c>
      <c r="H180" t="s">
        <v>58</v>
      </c>
      <c r="I180" t="s">
        <v>27</v>
      </c>
      <c r="J180" t="s">
        <v>28</v>
      </c>
      <c r="K180" t="s">
        <v>29</v>
      </c>
      <c r="L180" t="s">
        <v>30</v>
      </c>
      <c r="M180" t="s">
        <v>34</v>
      </c>
      <c r="N180" t="s">
        <v>51</v>
      </c>
      <c r="O180">
        <v>10453</v>
      </c>
      <c r="P180">
        <v>1</v>
      </c>
      <c r="Q180" t="s">
        <v>36</v>
      </c>
      <c r="R180">
        <v>25</v>
      </c>
      <c r="S180" t="s">
        <v>43</v>
      </c>
      <c r="T180" t="s">
        <v>29</v>
      </c>
      <c r="U180">
        <v>2</v>
      </c>
      <c r="V180" t="s">
        <v>44</v>
      </c>
      <c r="W180" t="str">
        <f>IF(HR_Data[[#This Row],[age]]&lt;25,"Under 25",IF(HR_Data[[#This Row],[age]]&lt;35,"25-34",IF(HR_Data[[#This Row],[age]]&lt;45,"35-44",IF(HR_Data[[#This Row],[age]]&lt;55,"45-54","55+"))))</f>
        <v>45-54</v>
      </c>
      <c r="X180" t="str">
        <f t="shared" si="2"/>
        <v>8,000+</v>
      </c>
    </row>
    <row r="181" spans="1:24" x14ac:dyDescent="0.3">
      <c r="A181">
        <v>245</v>
      </c>
      <c r="B181">
        <v>38</v>
      </c>
      <c r="C181" t="s">
        <v>36</v>
      </c>
      <c r="D181" t="s">
        <v>23</v>
      </c>
      <c r="E181" t="s">
        <v>38</v>
      </c>
      <c r="F181">
        <v>9</v>
      </c>
      <c r="G181" t="s">
        <v>25</v>
      </c>
      <c r="H181" t="s">
        <v>26</v>
      </c>
      <c r="I181" t="s">
        <v>29</v>
      </c>
      <c r="J181" t="s">
        <v>28</v>
      </c>
      <c r="K181" t="s">
        <v>29</v>
      </c>
      <c r="L181" t="s">
        <v>46</v>
      </c>
      <c r="M181" t="s">
        <v>31</v>
      </c>
      <c r="N181" t="s">
        <v>32</v>
      </c>
      <c r="O181">
        <v>2288</v>
      </c>
      <c r="P181">
        <v>1</v>
      </c>
      <c r="Q181" t="s">
        <v>36</v>
      </c>
      <c r="R181">
        <v>12</v>
      </c>
      <c r="S181" t="s">
        <v>33</v>
      </c>
      <c r="T181" t="s">
        <v>29</v>
      </c>
      <c r="U181">
        <v>3</v>
      </c>
      <c r="V181" t="s">
        <v>44</v>
      </c>
      <c r="W181" t="str">
        <f>IF(HR_Data[[#This Row],[age]]&lt;25,"Under 25",IF(HR_Data[[#This Row],[age]]&lt;35,"25-34",IF(HR_Data[[#This Row],[age]]&lt;45,"35-44",IF(HR_Data[[#This Row],[age]]&lt;55,"45-54","55+"))))</f>
        <v>35-44</v>
      </c>
      <c r="X181" t="str">
        <f t="shared" si="2"/>
        <v>Below 3,000</v>
      </c>
    </row>
    <row r="182" spans="1:24" x14ac:dyDescent="0.3">
      <c r="A182">
        <v>246</v>
      </c>
      <c r="B182">
        <v>31</v>
      </c>
      <c r="C182" t="s">
        <v>36</v>
      </c>
      <c r="D182" t="s">
        <v>23</v>
      </c>
      <c r="E182" t="s">
        <v>38</v>
      </c>
      <c r="F182">
        <v>12</v>
      </c>
      <c r="G182" t="s">
        <v>39</v>
      </c>
      <c r="H182" t="s">
        <v>48</v>
      </c>
      <c r="I182" t="s">
        <v>29</v>
      </c>
      <c r="J182" t="s">
        <v>28</v>
      </c>
      <c r="K182" t="s">
        <v>29</v>
      </c>
      <c r="L182" t="s">
        <v>41</v>
      </c>
      <c r="M182" t="s">
        <v>31</v>
      </c>
      <c r="N182" t="s">
        <v>42</v>
      </c>
      <c r="O182">
        <v>3929</v>
      </c>
      <c r="P182">
        <v>8</v>
      </c>
      <c r="Q182" t="s">
        <v>22</v>
      </c>
      <c r="R182">
        <v>23</v>
      </c>
      <c r="S182" t="s">
        <v>43</v>
      </c>
      <c r="T182" t="s">
        <v>29</v>
      </c>
      <c r="U182">
        <v>0</v>
      </c>
      <c r="V182" t="s">
        <v>44</v>
      </c>
      <c r="W182" t="str">
        <f>IF(HR_Data[[#This Row],[age]]&lt;25,"Under 25",IF(HR_Data[[#This Row],[age]]&lt;35,"25-34",IF(HR_Data[[#This Row],[age]]&lt;45,"35-44",IF(HR_Data[[#This Row],[age]]&lt;55,"45-54","55+"))))</f>
        <v>25-34</v>
      </c>
      <c r="X182" t="str">
        <f t="shared" si="2"/>
        <v>3,000-4,999</v>
      </c>
    </row>
    <row r="183" spans="1:24" x14ac:dyDescent="0.3">
      <c r="A183">
        <v>247</v>
      </c>
      <c r="B183">
        <v>34</v>
      </c>
      <c r="C183" t="s">
        <v>36</v>
      </c>
      <c r="D183" t="s">
        <v>23</v>
      </c>
      <c r="E183" t="s">
        <v>38</v>
      </c>
      <c r="F183">
        <v>27</v>
      </c>
      <c r="G183" t="s">
        <v>25</v>
      </c>
      <c r="H183" t="s">
        <v>48</v>
      </c>
      <c r="I183" t="s">
        <v>31</v>
      </c>
      <c r="J183" t="s">
        <v>28</v>
      </c>
      <c r="K183" t="s">
        <v>29</v>
      </c>
      <c r="L183" t="s">
        <v>41</v>
      </c>
      <c r="M183" t="s">
        <v>27</v>
      </c>
      <c r="N183" t="s">
        <v>32</v>
      </c>
      <c r="O183">
        <v>2311</v>
      </c>
      <c r="P183">
        <v>2</v>
      </c>
      <c r="Q183" t="s">
        <v>36</v>
      </c>
      <c r="R183">
        <v>15</v>
      </c>
      <c r="S183" t="s">
        <v>33</v>
      </c>
      <c r="T183" t="s">
        <v>31</v>
      </c>
      <c r="U183">
        <v>3</v>
      </c>
      <c r="V183" t="s">
        <v>44</v>
      </c>
      <c r="W183" t="str">
        <f>IF(HR_Data[[#This Row],[age]]&lt;25,"Under 25",IF(HR_Data[[#This Row],[age]]&lt;35,"25-34",IF(HR_Data[[#This Row],[age]]&lt;45,"35-44",IF(HR_Data[[#This Row],[age]]&lt;55,"45-54","55+"))))</f>
        <v>25-34</v>
      </c>
      <c r="X183" t="str">
        <f t="shared" si="2"/>
        <v>Below 3,000</v>
      </c>
    </row>
    <row r="184" spans="1:24" x14ac:dyDescent="0.3">
      <c r="A184">
        <v>248</v>
      </c>
      <c r="B184">
        <v>41</v>
      </c>
      <c r="C184" t="s">
        <v>22</v>
      </c>
      <c r="D184" t="s">
        <v>23</v>
      </c>
      <c r="E184" t="s">
        <v>24</v>
      </c>
      <c r="F184">
        <v>20</v>
      </c>
      <c r="G184" t="s">
        <v>25</v>
      </c>
      <c r="H184" t="s">
        <v>58</v>
      </c>
      <c r="I184" t="s">
        <v>27</v>
      </c>
      <c r="J184" t="s">
        <v>28</v>
      </c>
      <c r="K184" t="s">
        <v>29</v>
      </c>
      <c r="L184" t="s">
        <v>56</v>
      </c>
      <c r="M184" t="s">
        <v>27</v>
      </c>
      <c r="N184" t="s">
        <v>32</v>
      </c>
      <c r="O184">
        <v>3140</v>
      </c>
      <c r="P184">
        <v>1</v>
      </c>
      <c r="Q184" t="s">
        <v>22</v>
      </c>
      <c r="R184">
        <v>22</v>
      </c>
      <c r="S184" t="s">
        <v>43</v>
      </c>
      <c r="T184" t="s">
        <v>31</v>
      </c>
      <c r="U184">
        <v>5</v>
      </c>
      <c r="V184" t="s">
        <v>49</v>
      </c>
      <c r="W184" t="str">
        <f>IF(HR_Data[[#This Row],[age]]&lt;25,"Under 25",IF(HR_Data[[#This Row],[age]]&lt;35,"25-34",IF(HR_Data[[#This Row],[age]]&lt;45,"35-44",IF(HR_Data[[#This Row],[age]]&lt;55,"45-54","55+"))))</f>
        <v>35-44</v>
      </c>
      <c r="X184" t="str">
        <f t="shared" si="2"/>
        <v>3,000-4,999</v>
      </c>
    </row>
    <row r="185" spans="1:24" x14ac:dyDescent="0.3">
      <c r="A185">
        <v>249</v>
      </c>
      <c r="B185">
        <v>50</v>
      </c>
      <c r="C185" t="s">
        <v>36</v>
      </c>
      <c r="D185" t="s">
        <v>23</v>
      </c>
      <c r="E185" t="s">
        <v>38</v>
      </c>
      <c r="F185">
        <v>1</v>
      </c>
      <c r="G185" t="s">
        <v>50</v>
      </c>
      <c r="H185" t="s">
        <v>48</v>
      </c>
      <c r="I185" t="s">
        <v>29</v>
      </c>
      <c r="J185" t="s">
        <v>40</v>
      </c>
      <c r="K185" t="s">
        <v>27</v>
      </c>
      <c r="L185" t="s">
        <v>46</v>
      </c>
      <c r="M185" t="s">
        <v>29</v>
      </c>
      <c r="N185" t="s">
        <v>42</v>
      </c>
      <c r="O185">
        <v>3690</v>
      </c>
      <c r="P185">
        <v>2</v>
      </c>
      <c r="Q185" t="s">
        <v>36</v>
      </c>
      <c r="R185">
        <v>15</v>
      </c>
      <c r="S185" t="s">
        <v>33</v>
      </c>
      <c r="T185" t="s">
        <v>31</v>
      </c>
      <c r="U185">
        <v>2</v>
      </c>
      <c r="V185" t="s">
        <v>49</v>
      </c>
      <c r="W185" t="str">
        <f>IF(HR_Data[[#This Row],[age]]&lt;25,"Under 25",IF(HR_Data[[#This Row],[age]]&lt;35,"25-34",IF(HR_Data[[#This Row],[age]]&lt;45,"35-44",IF(HR_Data[[#This Row],[age]]&lt;55,"45-54","55+"))))</f>
        <v>45-54</v>
      </c>
      <c r="X185" t="str">
        <f t="shared" si="2"/>
        <v>3,000-4,999</v>
      </c>
    </row>
    <row r="186" spans="1:24" x14ac:dyDescent="0.3">
      <c r="A186">
        <v>250</v>
      </c>
      <c r="B186">
        <v>53</v>
      </c>
      <c r="C186" t="s">
        <v>36</v>
      </c>
      <c r="D186" t="s">
        <v>23</v>
      </c>
      <c r="E186" t="s">
        <v>38</v>
      </c>
      <c r="F186">
        <v>13</v>
      </c>
      <c r="G186" t="s">
        <v>25</v>
      </c>
      <c r="H186" t="s">
        <v>48</v>
      </c>
      <c r="I186" t="s">
        <v>31</v>
      </c>
      <c r="J186" t="s">
        <v>28</v>
      </c>
      <c r="K186" t="s">
        <v>31</v>
      </c>
      <c r="L186" t="s">
        <v>52</v>
      </c>
      <c r="M186" t="s">
        <v>34</v>
      </c>
      <c r="N186" t="s">
        <v>51</v>
      </c>
      <c r="O186">
        <v>4450</v>
      </c>
      <c r="P186">
        <v>1</v>
      </c>
      <c r="Q186" t="s">
        <v>36</v>
      </c>
      <c r="R186">
        <v>11</v>
      </c>
      <c r="S186" t="s">
        <v>33</v>
      </c>
      <c r="T186" t="s">
        <v>29</v>
      </c>
      <c r="U186">
        <v>3</v>
      </c>
      <c r="V186" t="s">
        <v>44</v>
      </c>
      <c r="W186" t="str">
        <f>IF(HR_Data[[#This Row],[age]]&lt;25,"Under 25",IF(HR_Data[[#This Row],[age]]&lt;35,"25-34",IF(HR_Data[[#This Row],[age]]&lt;45,"35-44",IF(HR_Data[[#This Row],[age]]&lt;55,"45-54","55+"))))</f>
        <v>45-54</v>
      </c>
      <c r="X186" t="str">
        <f t="shared" si="2"/>
        <v>3,000-4,999</v>
      </c>
    </row>
    <row r="187" spans="1:24" x14ac:dyDescent="0.3">
      <c r="A187">
        <v>252</v>
      </c>
      <c r="B187">
        <v>33</v>
      </c>
      <c r="C187" t="s">
        <v>36</v>
      </c>
      <c r="D187" t="s">
        <v>23</v>
      </c>
      <c r="E187" t="s">
        <v>38</v>
      </c>
      <c r="F187">
        <v>14</v>
      </c>
      <c r="G187" t="s">
        <v>50</v>
      </c>
      <c r="H187" t="s">
        <v>48</v>
      </c>
      <c r="I187" t="s">
        <v>31</v>
      </c>
      <c r="J187" t="s">
        <v>28</v>
      </c>
      <c r="K187" t="s">
        <v>29</v>
      </c>
      <c r="L187" t="s">
        <v>41</v>
      </c>
      <c r="M187" t="s">
        <v>27</v>
      </c>
      <c r="N187" t="s">
        <v>42</v>
      </c>
      <c r="O187">
        <v>2756</v>
      </c>
      <c r="P187">
        <v>1</v>
      </c>
      <c r="Q187" t="s">
        <v>36</v>
      </c>
      <c r="R187">
        <v>13</v>
      </c>
      <c r="S187" t="s">
        <v>33</v>
      </c>
      <c r="T187" t="s">
        <v>31</v>
      </c>
      <c r="U187">
        <v>5</v>
      </c>
      <c r="V187" t="s">
        <v>44</v>
      </c>
      <c r="W187" t="str">
        <f>IF(HR_Data[[#This Row],[age]]&lt;25,"Under 25",IF(HR_Data[[#This Row],[age]]&lt;35,"25-34",IF(HR_Data[[#This Row],[age]]&lt;45,"35-44",IF(HR_Data[[#This Row],[age]]&lt;55,"45-54","55+"))))</f>
        <v>25-34</v>
      </c>
      <c r="X187" t="str">
        <f t="shared" si="2"/>
        <v>Below 3,000</v>
      </c>
    </row>
    <row r="188" spans="1:24" x14ac:dyDescent="0.3">
      <c r="A188">
        <v>253</v>
      </c>
      <c r="B188">
        <v>40</v>
      </c>
      <c r="C188" t="s">
        <v>36</v>
      </c>
      <c r="D188" t="s">
        <v>23</v>
      </c>
      <c r="E188" t="s">
        <v>38</v>
      </c>
      <c r="F188">
        <v>4</v>
      </c>
      <c r="G188" t="s">
        <v>39</v>
      </c>
      <c r="H188" t="s">
        <v>48</v>
      </c>
      <c r="I188" t="s">
        <v>31</v>
      </c>
      <c r="J188" t="s">
        <v>28</v>
      </c>
      <c r="K188" t="s">
        <v>29</v>
      </c>
      <c r="L188" t="s">
        <v>55</v>
      </c>
      <c r="M188" t="s">
        <v>29</v>
      </c>
      <c r="N188" t="s">
        <v>42</v>
      </c>
      <c r="O188">
        <v>19033</v>
      </c>
      <c r="P188">
        <v>1</v>
      </c>
      <c r="Q188" t="s">
        <v>36</v>
      </c>
      <c r="R188">
        <v>14</v>
      </c>
      <c r="S188" t="s">
        <v>33</v>
      </c>
      <c r="T188" t="s">
        <v>27</v>
      </c>
      <c r="U188">
        <v>2</v>
      </c>
      <c r="V188" t="s">
        <v>44</v>
      </c>
      <c r="W188" t="str">
        <f>IF(HR_Data[[#This Row],[age]]&lt;25,"Under 25",IF(HR_Data[[#This Row],[age]]&lt;35,"25-34",IF(HR_Data[[#This Row],[age]]&lt;45,"35-44",IF(HR_Data[[#This Row],[age]]&lt;55,"45-54","55+"))))</f>
        <v>35-44</v>
      </c>
      <c r="X188" t="str">
        <f t="shared" si="2"/>
        <v>8,000+</v>
      </c>
    </row>
    <row r="189" spans="1:24" x14ac:dyDescent="0.3">
      <c r="A189">
        <v>254</v>
      </c>
      <c r="B189">
        <v>55</v>
      </c>
      <c r="C189" t="s">
        <v>36</v>
      </c>
      <c r="D189" t="s">
        <v>23</v>
      </c>
      <c r="E189" t="s">
        <v>38</v>
      </c>
      <c r="F189">
        <v>14</v>
      </c>
      <c r="G189" t="s">
        <v>47</v>
      </c>
      <c r="H189" t="s">
        <v>48</v>
      </c>
      <c r="I189" t="s">
        <v>29</v>
      </c>
      <c r="J189" t="s">
        <v>40</v>
      </c>
      <c r="K189" t="s">
        <v>31</v>
      </c>
      <c r="L189" t="s">
        <v>57</v>
      </c>
      <c r="M189" t="s">
        <v>27</v>
      </c>
      <c r="N189" t="s">
        <v>32</v>
      </c>
      <c r="O189">
        <v>18722</v>
      </c>
      <c r="P189">
        <v>8</v>
      </c>
      <c r="Q189" t="s">
        <v>36</v>
      </c>
      <c r="R189">
        <v>11</v>
      </c>
      <c r="S189" t="s">
        <v>33</v>
      </c>
      <c r="T189" t="s">
        <v>31</v>
      </c>
      <c r="U189">
        <v>3</v>
      </c>
      <c r="V189" t="s">
        <v>44</v>
      </c>
      <c r="W189" t="str">
        <f>IF(HR_Data[[#This Row],[age]]&lt;25,"Under 25",IF(HR_Data[[#This Row],[age]]&lt;35,"25-34",IF(HR_Data[[#This Row],[age]]&lt;45,"35-44",IF(HR_Data[[#This Row],[age]]&lt;55,"45-54","55+"))))</f>
        <v>55+</v>
      </c>
      <c r="X189" t="str">
        <f t="shared" si="2"/>
        <v>8,000+</v>
      </c>
    </row>
    <row r="190" spans="1:24" x14ac:dyDescent="0.3">
      <c r="A190">
        <v>256</v>
      </c>
      <c r="B190">
        <v>34</v>
      </c>
      <c r="C190" t="s">
        <v>36</v>
      </c>
      <c r="D190" t="s">
        <v>37</v>
      </c>
      <c r="E190" t="s">
        <v>38</v>
      </c>
      <c r="F190">
        <v>2</v>
      </c>
      <c r="G190" t="s">
        <v>39</v>
      </c>
      <c r="H190" t="s">
        <v>26</v>
      </c>
      <c r="I190" t="s">
        <v>31</v>
      </c>
      <c r="J190" t="s">
        <v>40</v>
      </c>
      <c r="K190" t="s">
        <v>27</v>
      </c>
      <c r="L190" t="s">
        <v>52</v>
      </c>
      <c r="M190" t="s">
        <v>29</v>
      </c>
      <c r="N190" t="s">
        <v>42</v>
      </c>
      <c r="O190">
        <v>9547</v>
      </c>
      <c r="P190">
        <v>1</v>
      </c>
      <c r="Q190" t="s">
        <v>36</v>
      </c>
      <c r="R190">
        <v>17</v>
      </c>
      <c r="S190" t="s">
        <v>33</v>
      </c>
      <c r="T190" t="s">
        <v>29</v>
      </c>
      <c r="U190">
        <v>2</v>
      </c>
      <c r="V190" t="s">
        <v>49</v>
      </c>
      <c r="W190" t="str">
        <f>IF(HR_Data[[#This Row],[age]]&lt;25,"Under 25",IF(HR_Data[[#This Row],[age]]&lt;35,"25-34",IF(HR_Data[[#This Row],[age]]&lt;45,"35-44",IF(HR_Data[[#This Row],[age]]&lt;55,"45-54","55+"))))</f>
        <v>25-34</v>
      </c>
      <c r="X190" t="str">
        <f t="shared" si="2"/>
        <v>8,000+</v>
      </c>
    </row>
    <row r="191" spans="1:24" x14ac:dyDescent="0.3">
      <c r="A191">
        <v>258</v>
      </c>
      <c r="B191">
        <v>51</v>
      </c>
      <c r="C191" t="s">
        <v>36</v>
      </c>
      <c r="D191" t="s">
        <v>23</v>
      </c>
      <c r="E191" t="s">
        <v>38</v>
      </c>
      <c r="F191">
        <v>3</v>
      </c>
      <c r="G191" t="s">
        <v>50</v>
      </c>
      <c r="H191" t="s">
        <v>48</v>
      </c>
      <c r="I191" t="s">
        <v>31</v>
      </c>
      <c r="J191" t="s">
        <v>28</v>
      </c>
      <c r="K191" t="s">
        <v>29</v>
      </c>
      <c r="L191" t="s">
        <v>53</v>
      </c>
      <c r="M191" t="s">
        <v>27</v>
      </c>
      <c r="N191" t="s">
        <v>32</v>
      </c>
      <c r="O191">
        <v>13734</v>
      </c>
      <c r="P191">
        <v>3</v>
      </c>
      <c r="Q191" t="s">
        <v>36</v>
      </c>
      <c r="R191">
        <v>18</v>
      </c>
      <c r="S191" t="s">
        <v>33</v>
      </c>
      <c r="T191" t="s">
        <v>29</v>
      </c>
      <c r="U191">
        <v>6</v>
      </c>
      <c r="V191" t="s">
        <v>44</v>
      </c>
      <c r="W191" t="str">
        <f>IF(HR_Data[[#This Row],[age]]&lt;25,"Under 25",IF(HR_Data[[#This Row],[age]]&lt;35,"25-34",IF(HR_Data[[#This Row],[age]]&lt;45,"35-44",IF(HR_Data[[#This Row],[age]]&lt;55,"45-54","55+"))))</f>
        <v>45-54</v>
      </c>
      <c r="X191" t="str">
        <f t="shared" si="2"/>
        <v>8,000+</v>
      </c>
    </row>
    <row r="192" spans="1:24" x14ac:dyDescent="0.3">
      <c r="A192">
        <v>259</v>
      </c>
      <c r="B192">
        <v>52</v>
      </c>
      <c r="C192" t="s">
        <v>36</v>
      </c>
      <c r="D192" t="s">
        <v>23</v>
      </c>
      <c r="E192" t="s">
        <v>38</v>
      </c>
      <c r="F192">
        <v>1</v>
      </c>
      <c r="G192" t="s">
        <v>47</v>
      </c>
      <c r="H192" t="s">
        <v>26</v>
      </c>
      <c r="I192" t="s">
        <v>29</v>
      </c>
      <c r="J192" t="s">
        <v>40</v>
      </c>
      <c r="K192" t="s">
        <v>27</v>
      </c>
      <c r="L192" t="s">
        <v>55</v>
      </c>
      <c r="M192" t="s">
        <v>29</v>
      </c>
      <c r="N192" t="s">
        <v>42</v>
      </c>
      <c r="O192">
        <v>19999</v>
      </c>
      <c r="P192">
        <v>0</v>
      </c>
      <c r="Q192" t="s">
        <v>36</v>
      </c>
      <c r="R192">
        <v>14</v>
      </c>
      <c r="S192" t="s">
        <v>33</v>
      </c>
      <c r="T192" t="s">
        <v>34</v>
      </c>
      <c r="U192">
        <v>5</v>
      </c>
      <c r="V192" t="s">
        <v>44</v>
      </c>
      <c r="W192" t="str">
        <f>IF(HR_Data[[#This Row],[age]]&lt;25,"Under 25",IF(HR_Data[[#This Row],[age]]&lt;35,"25-34",IF(HR_Data[[#This Row],[age]]&lt;45,"35-44",IF(HR_Data[[#This Row],[age]]&lt;55,"45-54","55+"))))</f>
        <v>45-54</v>
      </c>
      <c r="X192" t="str">
        <f t="shared" si="2"/>
        <v>8,000+</v>
      </c>
    </row>
    <row r="193" spans="1:24" x14ac:dyDescent="0.3">
      <c r="A193">
        <v>260</v>
      </c>
      <c r="B193">
        <v>27</v>
      </c>
      <c r="C193" t="s">
        <v>36</v>
      </c>
      <c r="D193" t="s">
        <v>23</v>
      </c>
      <c r="E193" t="s">
        <v>38</v>
      </c>
      <c r="F193">
        <v>9</v>
      </c>
      <c r="G193" t="s">
        <v>50</v>
      </c>
      <c r="H193" t="s">
        <v>48</v>
      </c>
      <c r="I193" t="s">
        <v>31</v>
      </c>
      <c r="J193" t="s">
        <v>28</v>
      </c>
      <c r="K193" t="s">
        <v>29</v>
      </c>
      <c r="L193" t="s">
        <v>41</v>
      </c>
      <c r="M193" t="s">
        <v>27</v>
      </c>
      <c r="N193" t="s">
        <v>32</v>
      </c>
      <c r="O193">
        <v>2279</v>
      </c>
      <c r="P193">
        <v>1</v>
      </c>
      <c r="Q193" t="s">
        <v>36</v>
      </c>
      <c r="R193">
        <v>16</v>
      </c>
      <c r="S193" t="s">
        <v>33</v>
      </c>
      <c r="T193" t="s">
        <v>31</v>
      </c>
      <c r="U193">
        <v>2</v>
      </c>
      <c r="V193" t="s">
        <v>49</v>
      </c>
      <c r="W193" t="str">
        <f>IF(HR_Data[[#This Row],[age]]&lt;25,"Under 25",IF(HR_Data[[#This Row],[age]]&lt;35,"25-34",IF(HR_Data[[#This Row],[age]]&lt;45,"35-44",IF(HR_Data[[#This Row],[age]]&lt;55,"45-54","55+"))))</f>
        <v>25-34</v>
      </c>
      <c r="X193" t="str">
        <f t="shared" si="2"/>
        <v>Below 3,000</v>
      </c>
    </row>
    <row r="194" spans="1:24" x14ac:dyDescent="0.3">
      <c r="A194">
        <v>261</v>
      </c>
      <c r="B194">
        <v>35</v>
      </c>
      <c r="C194" t="s">
        <v>22</v>
      </c>
      <c r="D194" t="s">
        <v>23</v>
      </c>
      <c r="E194" t="s">
        <v>38</v>
      </c>
      <c r="F194">
        <v>23</v>
      </c>
      <c r="G194" t="s">
        <v>25</v>
      </c>
      <c r="H194" t="s">
        <v>26</v>
      </c>
      <c r="I194" t="s">
        <v>27</v>
      </c>
      <c r="J194" t="s">
        <v>40</v>
      </c>
      <c r="K194" t="s">
        <v>27</v>
      </c>
      <c r="L194" t="s">
        <v>52</v>
      </c>
      <c r="M194" t="s">
        <v>29</v>
      </c>
      <c r="N194" t="s">
        <v>42</v>
      </c>
      <c r="O194">
        <v>5916</v>
      </c>
      <c r="P194">
        <v>3</v>
      </c>
      <c r="Q194" t="s">
        <v>22</v>
      </c>
      <c r="R194">
        <v>13</v>
      </c>
      <c r="S194" t="s">
        <v>33</v>
      </c>
      <c r="T194" t="s">
        <v>34</v>
      </c>
      <c r="U194">
        <v>1</v>
      </c>
      <c r="V194" t="s">
        <v>44</v>
      </c>
      <c r="W194" t="str">
        <f>IF(HR_Data[[#This Row],[age]]&lt;25,"Under 25",IF(HR_Data[[#This Row],[age]]&lt;35,"25-34",IF(HR_Data[[#This Row],[age]]&lt;45,"35-44",IF(HR_Data[[#This Row],[age]]&lt;55,"45-54","55+"))))</f>
        <v>35-44</v>
      </c>
      <c r="X194" t="str">
        <f t="shared" si="2"/>
        <v>5,000-7,999</v>
      </c>
    </row>
    <row r="195" spans="1:24" x14ac:dyDescent="0.3">
      <c r="A195">
        <v>262</v>
      </c>
      <c r="B195">
        <v>43</v>
      </c>
      <c r="C195" t="s">
        <v>36</v>
      </c>
      <c r="D195" t="s">
        <v>54</v>
      </c>
      <c r="E195" t="s">
        <v>38</v>
      </c>
      <c r="F195">
        <v>7</v>
      </c>
      <c r="G195" t="s">
        <v>50</v>
      </c>
      <c r="H195" t="s">
        <v>48</v>
      </c>
      <c r="I195" t="s">
        <v>31</v>
      </c>
      <c r="J195" t="s">
        <v>40</v>
      </c>
      <c r="K195" t="s">
        <v>31</v>
      </c>
      <c r="L195" t="s">
        <v>41</v>
      </c>
      <c r="M195" t="s">
        <v>31</v>
      </c>
      <c r="N195" t="s">
        <v>51</v>
      </c>
      <c r="O195">
        <v>2089</v>
      </c>
      <c r="P195">
        <v>4</v>
      </c>
      <c r="Q195" t="s">
        <v>36</v>
      </c>
      <c r="R195">
        <v>14</v>
      </c>
      <c r="S195" t="s">
        <v>33</v>
      </c>
      <c r="T195" t="s">
        <v>31</v>
      </c>
      <c r="U195">
        <v>3</v>
      </c>
      <c r="V195" t="s">
        <v>59</v>
      </c>
      <c r="W195" t="str">
        <f>IF(HR_Data[[#This Row],[age]]&lt;25,"Under 25",IF(HR_Data[[#This Row],[age]]&lt;35,"25-34",IF(HR_Data[[#This Row],[age]]&lt;45,"35-44",IF(HR_Data[[#This Row],[age]]&lt;55,"45-54","55+"))))</f>
        <v>35-44</v>
      </c>
      <c r="X195" t="str">
        <f t="shared" ref="X195:X258" si="3">IF(O195&lt;3000,"Below 3,000",IF(O195&lt;5000,"3,000-4,999",IF(O195&lt;8000,"5,000-7,999","8,000+")))</f>
        <v>Below 3,000</v>
      </c>
    </row>
    <row r="196" spans="1:24" x14ac:dyDescent="0.3">
      <c r="A196">
        <v>264</v>
      </c>
      <c r="B196">
        <v>45</v>
      </c>
      <c r="C196" t="s">
        <v>36</v>
      </c>
      <c r="D196" t="s">
        <v>54</v>
      </c>
      <c r="E196" t="s">
        <v>38</v>
      </c>
      <c r="F196">
        <v>2</v>
      </c>
      <c r="G196" t="s">
        <v>25</v>
      </c>
      <c r="H196" t="s">
        <v>48</v>
      </c>
      <c r="I196" t="s">
        <v>34</v>
      </c>
      <c r="J196" t="s">
        <v>40</v>
      </c>
      <c r="K196" t="s">
        <v>27</v>
      </c>
      <c r="L196" t="s">
        <v>55</v>
      </c>
      <c r="M196" t="s">
        <v>31</v>
      </c>
      <c r="N196" t="s">
        <v>42</v>
      </c>
      <c r="O196">
        <v>16792</v>
      </c>
      <c r="P196">
        <v>9</v>
      </c>
      <c r="Q196" t="s">
        <v>36</v>
      </c>
      <c r="R196">
        <v>23</v>
      </c>
      <c r="S196" t="s">
        <v>43</v>
      </c>
      <c r="T196" t="s">
        <v>31</v>
      </c>
      <c r="U196">
        <v>1</v>
      </c>
      <c r="V196" t="s">
        <v>44</v>
      </c>
      <c r="W196" t="str">
        <f>IF(HR_Data[[#This Row],[age]]&lt;25,"Under 25",IF(HR_Data[[#This Row],[age]]&lt;35,"25-34",IF(HR_Data[[#This Row],[age]]&lt;45,"35-44",IF(HR_Data[[#This Row],[age]]&lt;55,"45-54","55+"))))</f>
        <v>45-54</v>
      </c>
      <c r="X196" t="str">
        <f t="shared" si="3"/>
        <v>8,000+</v>
      </c>
    </row>
    <row r="197" spans="1:24" x14ac:dyDescent="0.3">
      <c r="A197">
        <v>267</v>
      </c>
      <c r="B197">
        <v>37</v>
      </c>
      <c r="C197" t="s">
        <v>36</v>
      </c>
      <c r="D197" t="s">
        <v>23</v>
      </c>
      <c r="E197" t="s">
        <v>38</v>
      </c>
      <c r="F197">
        <v>21</v>
      </c>
      <c r="G197" t="s">
        <v>50</v>
      </c>
      <c r="H197" t="s">
        <v>26</v>
      </c>
      <c r="I197" t="s">
        <v>27</v>
      </c>
      <c r="J197" t="s">
        <v>40</v>
      </c>
      <c r="K197" t="s">
        <v>31</v>
      </c>
      <c r="L197" t="s">
        <v>41</v>
      </c>
      <c r="M197" t="s">
        <v>34</v>
      </c>
      <c r="N197" t="s">
        <v>42</v>
      </c>
      <c r="O197">
        <v>3564</v>
      </c>
      <c r="P197">
        <v>1</v>
      </c>
      <c r="Q197" t="s">
        <v>22</v>
      </c>
      <c r="R197">
        <v>12</v>
      </c>
      <c r="S197" t="s">
        <v>33</v>
      </c>
      <c r="T197" t="s">
        <v>34</v>
      </c>
      <c r="U197">
        <v>3</v>
      </c>
      <c r="V197" t="s">
        <v>49</v>
      </c>
      <c r="W197" t="str">
        <f>IF(HR_Data[[#This Row],[age]]&lt;25,"Under 25",IF(HR_Data[[#This Row],[age]]&lt;35,"25-34",IF(HR_Data[[#This Row],[age]]&lt;45,"35-44",IF(HR_Data[[#This Row],[age]]&lt;55,"45-54","55+"))))</f>
        <v>35-44</v>
      </c>
      <c r="X197" t="str">
        <f t="shared" si="3"/>
        <v>3,000-4,999</v>
      </c>
    </row>
    <row r="198" spans="1:24" x14ac:dyDescent="0.3">
      <c r="A198">
        <v>269</v>
      </c>
      <c r="B198">
        <v>35</v>
      </c>
      <c r="C198" t="s">
        <v>36</v>
      </c>
      <c r="D198" t="s">
        <v>37</v>
      </c>
      <c r="E198" t="s">
        <v>38</v>
      </c>
      <c r="F198">
        <v>2</v>
      </c>
      <c r="G198" t="s">
        <v>50</v>
      </c>
      <c r="H198" t="s">
        <v>48</v>
      </c>
      <c r="I198" t="s">
        <v>27</v>
      </c>
      <c r="J198" t="s">
        <v>28</v>
      </c>
      <c r="K198" t="s">
        <v>29</v>
      </c>
      <c r="L198" t="s">
        <v>46</v>
      </c>
      <c r="M198" t="s">
        <v>27</v>
      </c>
      <c r="N198" t="s">
        <v>32</v>
      </c>
      <c r="O198">
        <v>4425</v>
      </c>
      <c r="P198">
        <v>5</v>
      </c>
      <c r="Q198" t="s">
        <v>36</v>
      </c>
      <c r="R198">
        <v>11</v>
      </c>
      <c r="S198" t="s">
        <v>33</v>
      </c>
      <c r="T198" t="s">
        <v>31</v>
      </c>
      <c r="U198">
        <v>5</v>
      </c>
      <c r="V198" t="s">
        <v>44</v>
      </c>
      <c r="W198" t="str">
        <f>IF(HR_Data[[#This Row],[age]]&lt;25,"Under 25",IF(HR_Data[[#This Row],[age]]&lt;35,"25-34",IF(HR_Data[[#This Row],[age]]&lt;45,"35-44",IF(HR_Data[[#This Row],[age]]&lt;55,"45-54","55+"))))</f>
        <v>35-44</v>
      </c>
      <c r="X198" t="str">
        <f t="shared" si="3"/>
        <v>3,000-4,999</v>
      </c>
    </row>
    <row r="199" spans="1:24" x14ac:dyDescent="0.3">
      <c r="A199">
        <v>270</v>
      </c>
      <c r="B199">
        <v>42</v>
      </c>
      <c r="C199" t="s">
        <v>36</v>
      </c>
      <c r="D199" t="s">
        <v>54</v>
      </c>
      <c r="E199" t="s">
        <v>38</v>
      </c>
      <c r="F199">
        <v>21</v>
      </c>
      <c r="G199" t="s">
        <v>25</v>
      </c>
      <c r="H199" t="s">
        <v>48</v>
      </c>
      <c r="I199" t="s">
        <v>29</v>
      </c>
      <c r="J199" t="s">
        <v>28</v>
      </c>
      <c r="K199" t="s">
        <v>29</v>
      </c>
      <c r="L199" t="s">
        <v>52</v>
      </c>
      <c r="M199" t="s">
        <v>29</v>
      </c>
      <c r="N199" t="s">
        <v>51</v>
      </c>
      <c r="O199">
        <v>5265</v>
      </c>
      <c r="P199">
        <v>2</v>
      </c>
      <c r="Q199" t="s">
        <v>36</v>
      </c>
      <c r="R199">
        <v>16</v>
      </c>
      <c r="S199" t="s">
        <v>33</v>
      </c>
      <c r="T199" t="s">
        <v>27</v>
      </c>
      <c r="U199">
        <v>5</v>
      </c>
      <c r="V199" t="s">
        <v>44</v>
      </c>
      <c r="W199" t="str">
        <f>IF(HR_Data[[#This Row],[age]]&lt;25,"Under 25",IF(HR_Data[[#This Row],[age]]&lt;35,"25-34",IF(HR_Data[[#This Row],[age]]&lt;45,"35-44",IF(HR_Data[[#This Row],[age]]&lt;55,"45-54","55+"))))</f>
        <v>35-44</v>
      </c>
      <c r="X199" t="str">
        <f t="shared" si="3"/>
        <v>5,000-7,999</v>
      </c>
    </row>
    <row r="200" spans="1:24" x14ac:dyDescent="0.3">
      <c r="A200">
        <v>271</v>
      </c>
      <c r="B200">
        <v>38</v>
      </c>
      <c r="C200" t="s">
        <v>36</v>
      </c>
      <c r="D200" t="s">
        <v>23</v>
      </c>
      <c r="E200" t="s">
        <v>38</v>
      </c>
      <c r="F200">
        <v>2</v>
      </c>
      <c r="G200" t="s">
        <v>47</v>
      </c>
      <c r="H200" t="s">
        <v>26</v>
      </c>
      <c r="I200" t="s">
        <v>31</v>
      </c>
      <c r="J200" t="s">
        <v>40</v>
      </c>
      <c r="K200" t="s">
        <v>29</v>
      </c>
      <c r="L200" t="s">
        <v>52</v>
      </c>
      <c r="M200" t="s">
        <v>29</v>
      </c>
      <c r="N200" t="s">
        <v>42</v>
      </c>
      <c r="O200">
        <v>6553</v>
      </c>
      <c r="P200">
        <v>9</v>
      </c>
      <c r="Q200" t="s">
        <v>36</v>
      </c>
      <c r="R200">
        <v>14</v>
      </c>
      <c r="S200" t="s">
        <v>33</v>
      </c>
      <c r="T200" t="s">
        <v>27</v>
      </c>
      <c r="U200">
        <v>3</v>
      </c>
      <c r="V200" t="s">
        <v>44</v>
      </c>
      <c r="W200" t="str">
        <f>IF(HR_Data[[#This Row],[age]]&lt;25,"Under 25",IF(HR_Data[[#This Row],[age]]&lt;35,"25-34",IF(HR_Data[[#This Row],[age]]&lt;45,"35-44",IF(HR_Data[[#This Row],[age]]&lt;55,"45-54","55+"))))</f>
        <v>35-44</v>
      </c>
      <c r="X200" t="str">
        <f t="shared" si="3"/>
        <v>5,000-7,999</v>
      </c>
    </row>
    <row r="201" spans="1:24" x14ac:dyDescent="0.3">
      <c r="A201">
        <v>273</v>
      </c>
      <c r="B201">
        <v>38</v>
      </c>
      <c r="C201" t="s">
        <v>36</v>
      </c>
      <c r="D201" t="s">
        <v>23</v>
      </c>
      <c r="E201" t="s">
        <v>38</v>
      </c>
      <c r="F201">
        <v>29</v>
      </c>
      <c r="G201" t="s">
        <v>50</v>
      </c>
      <c r="H201" t="s">
        <v>60</v>
      </c>
      <c r="I201" t="s">
        <v>31</v>
      </c>
      <c r="J201" t="s">
        <v>40</v>
      </c>
      <c r="K201" t="s">
        <v>29</v>
      </c>
      <c r="L201" t="s">
        <v>52</v>
      </c>
      <c r="M201" t="s">
        <v>31</v>
      </c>
      <c r="N201" t="s">
        <v>42</v>
      </c>
      <c r="O201">
        <v>6261</v>
      </c>
      <c r="P201">
        <v>3</v>
      </c>
      <c r="Q201" t="s">
        <v>36</v>
      </c>
      <c r="R201">
        <v>18</v>
      </c>
      <c r="S201" t="s">
        <v>33</v>
      </c>
      <c r="T201" t="s">
        <v>34</v>
      </c>
      <c r="U201">
        <v>3</v>
      </c>
      <c r="V201" t="s">
        <v>35</v>
      </c>
      <c r="W201" t="str">
        <f>IF(HR_Data[[#This Row],[age]]&lt;25,"Under 25",IF(HR_Data[[#This Row],[age]]&lt;35,"25-34",IF(HR_Data[[#This Row],[age]]&lt;45,"35-44",IF(HR_Data[[#This Row],[age]]&lt;55,"45-54","55+"))))</f>
        <v>35-44</v>
      </c>
      <c r="X201" t="str">
        <f t="shared" si="3"/>
        <v>5,000-7,999</v>
      </c>
    </row>
    <row r="202" spans="1:24" x14ac:dyDescent="0.3">
      <c r="A202">
        <v>274</v>
      </c>
      <c r="B202">
        <v>27</v>
      </c>
      <c r="C202" t="s">
        <v>36</v>
      </c>
      <c r="D202" t="s">
        <v>37</v>
      </c>
      <c r="E202" t="s">
        <v>38</v>
      </c>
      <c r="F202">
        <v>1</v>
      </c>
      <c r="G202" t="s">
        <v>39</v>
      </c>
      <c r="H202" t="s">
        <v>60</v>
      </c>
      <c r="I202" t="s">
        <v>29</v>
      </c>
      <c r="J202" t="s">
        <v>40</v>
      </c>
      <c r="K202" t="s">
        <v>27</v>
      </c>
      <c r="L202" t="s">
        <v>52</v>
      </c>
      <c r="M202" t="s">
        <v>34</v>
      </c>
      <c r="N202" t="s">
        <v>42</v>
      </c>
      <c r="O202">
        <v>4298</v>
      </c>
      <c r="P202">
        <v>5</v>
      </c>
      <c r="Q202" t="s">
        <v>36</v>
      </c>
      <c r="R202">
        <v>19</v>
      </c>
      <c r="S202" t="s">
        <v>33</v>
      </c>
      <c r="T202" t="s">
        <v>29</v>
      </c>
      <c r="U202">
        <v>1</v>
      </c>
      <c r="V202" t="s">
        <v>44</v>
      </c>
      <c r="W202" t="str">
        <f>IF(HR_Data[[#This Row],[age]]&lt;25,"Under 25",IF(HR_Data[[#This Row],[age]]&lt;35,"25-34",IF(HR_Data[[#This Row],[age]]&lt;45,"35-44",IF(HR_Data[[#This Row],[age]]&lt;55,"45-54","55+"))))</f>
        <v>25-34</v>
      </c>
      <c r="X202" t="str">
        <f t="shared" si="3"/>
        <v>3,000-4,999</v>
      </c>
    </row>
    <row r="203" spans="1:24" x14ac:dyDescent="0.3">
      <c r="A203">
        <v>275</v>
      </c>
      <c r="B203">
        <v>49</v>
      </c>
      <c r="C203" t="s">
        <v>36</v>
      </c>
      <c r="D203" t="s">
        <v>54</v>
      </c>
      <c r="E203" t="s">
        <v>38</v>
      </c>
      <c r="F203">
        <v>18</v>
      </c>
      <c r="G203" t="s">
        <v>47</v>
      </c>
      <c r="H203" t="s">
        <v>26</v>
      </c>
      <c r="I203" t="s">
        <v>31</v>
      </c>
      <c r="J203" t="s">
        <v>40</v>
      </c>
      <c r="K203" t="s">
        <v>29</v>
      </c>
      <c r="L203" t="s">
        <v>52</v>
      </c>
      <c r="M203" t="s">
        <v>31</v>
      </c>
      <c r="N203" t="s">
        <v>51</v>
      </c>
      <c r="O203">
        <v>6804</v>
      </c>
      <c r="P203">
        <v>1</v>
      </c>
      <c r="Q203" t="s">
        <v>22</v>
      </c>
      <c r="R203">
        <v>15</v>
      </c>
      <c r="S203" t="s">
        <v>33</v>
      </c>
      <c r="T203" t="s">
        <v>34</v>
      </c>
      <c r="U203">
        <v>0</v>
      </c>
      <c r="V203" t="s">
        <v>44</v>
      </c>
      <c r="W203" t="str">
        <f>IF(HR_Data[[#This Row],[age]]&lt;25,"Under 25",IF(HR_Data[[#This Row],[age]]&lt;35,"25-34",IF(HR_Data[[#This Row],[age]]&lt;45,"35-44",IF(HR_Data[[#This Row],[age]]&lt;55,"45-54","55+"))))</f>
        <v>45-54</v>
      </c>
      <c r="X203" t="str">
        <f t="shared" si="3"/>
        <v>5,000-7,999</v>
      </c>
    </row>
    <row r="204" spans="1:24" x14ac:dyDescent="0.3">
      <c r="A204">
        <v>277</v>
      </c>
      <c r="B204">
        <v>34</v>
      </c>
      <c r="C204" t="s">
        <v>36</v>
      </c>
      <c r="D204" t="s">
        <v>37</v>
      </c>
      <c r="E204" t="s">
        <v>38</v>
      </c>
      <c r="F204">
        <v>10</v>
      </c>
      <c r="G204" t="s">
        <v>47</v>
      </c>
      <c r="H204" t="s">
        <v>48</v>
      </c>
      <c r="I204" t="s">
        <v>31</v>
      </c>
      <c r="J204" t="s">
        <v>40</v>
      </c>
      <c r="K204" t="s">
        <v>29</v>
      </c>
      <c r="L204" t="s">
        <v>41</v>
      </c>
      <c r="M204" t="s">
        <v>29</v>
      </c>
      <c r="N204" t="s">
        <v>51</v>
      </c>
      <c r="O204">
        <v>3815</v>
      </c>
      <c r="P204">
        <v>1</v>
      </c>
      <c r="Q204" t="s">
        <v>22</v>
      </c>
      <c r="R204">
        <v>17</v>
      </c>
      <c r="S204" t="s">
        <v>33</v>
      </c>
      <c r="T204" t="s">
        <v>31</v>
      </c>
      <c r="U204">
        <v>4</v>
      </c>
      <c r="V204" t="s">
        <v>59</v>
      </c>
      <c r="W204" t="str">
        <f>IF(HR_Data[[#This Row],[age]]&lt;25,"Under 25",IF(HR_Data[[#This Row],[age]]&lt;35,"25-34",IF(HR_Data[[#This Row],[age]]&lt;45,"35-44",IF(HR_Data[[#This Row],[age]]&lt;55,"45-54","55+"))))</f>
        <v>25-34</v>
      </c>
      <c r="X204" t="str">
        <f t="shared" si="3"/>
        <v>3,000-4,999</v>
      </c>
    </row>
    <row r="205" spans="1:24" x14ac:dyDescent="0.3">
      <c r="A205">
        <v>281</v>
      </c>
      <c r="B205">
        <v>40</v>
      </c>
      <c r="C205" t="s">
        <v>36</v>
      </c>
      <c r="D205" t="s">
        <v>23</v>
      </c>
      <c r="E205" t="s">
        <v>38</v>
      </c>
      <c r="F205">
        <v>19</v>
      </c>
      <c r="G205" t="s">
        <v>25</v>
      </c>
      <c r="H205" t="s">
        <v>48</v>
      </c>
      <c r="I205" t="s">
        <v>29</v>
      </c>
      <c r="J205" t="s">
        <v>40</v>
      </c>
      <c r="K205" t="s">
        <v>29</v>
      </c>
      <c r="L205" t="s">
        <v>46</v>
      </c>
      <c r="M205" t="s">
        <v>31</v>
      </c>
      <c r="N205" t="s">
        <v>42</v>
      </c>
      <c r="O205">
        <v>2741</v>
      </c>
      <c r="P205">
        <v>8</v>
      </c>
      <c r="Q205" t="s">
        <v>22</v>
      </c>
      <c r="R205">
        <v>15</v>
      </c>
      <c r="S205" t="s">
        <v>33</v>
      </c>
      <c r="T205" t="s">
        <v>29</v>
      </c>
      <c r="U205">
        <v>2</v>
      </c>
      <c r="V205" t="s">
        <v>59</v>
      </c>
      <c r="W205" t="str">
        <f>IF(HR_Data[[#This Row],[age]]&lt;25,"Under 25",IF(HR_Data[[#This Row],[age]]&lt;35,"25-34",IF(HR_Data[[#This Row],[age]]&lt;45,"35-44",IF(HR_Data[[#This Row],[age]]&lt;55,"45-54","55+"))))</f>
        <v>35-44</v>
      </c>
      <c r="X205" t="str">
        <f t="shared" si="3"/>
        <v>Below 3,000</v>
      </c>
    </row>
    <row r="206" spans="1:24" x14ac:dyDescent="0.3">
      <c r="A206">
        <v>282</v>
      </c>
      <c r="B206">
        <v>38</v>
      </c>
      <c r="C206" t="s">
        <v>22</v>
      </c>
      <c r="D206" t="s">
        <v>23</v>
      </c>
      <c r="E206" t="s">
        <v>38</v>
      </c>
      <c r="F206">
        <v>29</v>
      </c>
      <c r="G206" t="s">
        <v>39</v>
      </c>
      <c r="H206" t="s">
        <v>48</v>
      </c>
      <c r="I206" t="s">
        <v>27</v>
      </c>
      <c r="J206" t="s">
        <v>40</v>
      </c>
      <c r="K206" t="s">
        <v>29</v>
      </c>
      <c r="L206" t="s">
        <v>53</v>
      </c>
      <c r="M206" t="s">
        <v>34</v>
      </c>
      <c r="N206" t="s">
        <v>42</v>
      </c>
      <c r="O206">
        <v>6673</v>
      </c>
      <c r="P206">
        <v>7</v>
      </c>
      <c r="Q206" t="s">
        <v>22</v>
      </c>
      <c r="R206">
        <v>19</v>
      </c>
      <c r="S206" t="s">
        <v>33</v>
      </c>
      <c r="T206" t="s">
        <v>27</v>
      </c>
      <c r="U206">
        <v>2</v>
      </c>
      <c r="V206" t="s">
        <v>44</v>
      </c>
      <c r="W206" t="str">
        <f>IF(HR_Data[[#This Row],[age]]&lt;25,"Under 25",IF(HR_Data[[#This Row],[age]]&lt;35,"25-34",IF(HR_Data[[#This Row],[age]]&lt;45,"35-44",IF(HR_Data[[#This Row],[age]]&lt;55,"45-54","55+"))))</f>
        <v>35-44</v>
      </c>
      <c r="X206" t="str">
        <f t="shared" si="3"/>
        <v>5,000-7,999</v>
      </c>
    </row>
    <row r="207" spans="1:24" x14ac:dyDescent="0.3">
      <c r="A207">
        <v>283</v>
      </c>
      <c r="B207">
        <v>29</v>
      </c>
      <c r="C207" t="s">
        <v>22</v>
      </c>
      <c r="D207" t="s">
        <v>23</v>
      </c>
      <c r="E207" t="s">
        <v>24</v>
      </c>
      <c r="F207">
        <v>27</v>
      </c>
      <c r="G207" t="s">
        <v>50</v>
      </c>
      <c r="H207" t="s">
        <v>58</v>
      </c>
      <c r="I207" t="s">
        <v>27</v>
      </c>
      <c r="J207" t="s">
        <v>28</v>
      </c>
      <c r="K207" t="s">
        <v>29</v>
      </c>
      <c r="L207" t="s">
        <v>30</v>
      </c>
      <c r="M207" t="s">
        <v>31</v>
      </c>
      <c r="N207" t="s">
        <v>42</v>
      </c>
      <c r="O207">
        <v>7639</v>
      </c>
      <c r="P207">
        <v>1</v>
      </c>
      <c r="Q207" t="s">
        <v>36</v>
      </c>
      <c r="R207">
        <v>22</v>
      </c>
      <c r="S207" t="s">
        <v>43</v>
      </c>
      <c r="T207" t="s">
        <v>31</v>
      </c>
      <c r="U207">
        <v>3</v>
      </c>
      <c r="V207" t="s">
        <v>49</v>
      </c>
      <c r="W207" t="str">
        <f>IF(HR_Data[[#This Row],[age]]&lt;25,"Under 25",IF(HR_Data[[#This Row],[age]]&lt;35,"25-34",IF(HR_Data[[#This Row],[age]]&lt;45,"35-44",IF(HR_Data[[#This Row],[age]]&lt;55,"45-54","55+"))))</f>
        <v>25-34</v>
      </c>
      <c r="X207" t="str">
        <f t="shared" si="3"/>
        <v>5,000-7,999</v>
      </c>
    </row>
    <row r="208" spans="1:24" x14ac:dyDescent="0.3">
      <c r="A208">
        <v>284</v>
      </c>
      <c r="B208">
        <v>22</v>
      </c>
      <c r="C208" t="s">
        <v>36</v>
      </c>
      <c r="D208" t="s">
        <v>23</v>
      </c>
      <c r="E208" t="s">
        <v>38</v>
      </c>
      <c r="F208">
        <v>5</v>
      </c>
      <c r="G208" t="s">
        <v>50</v>
      </c>
      <c r="H208" t="s">
        <v>26</v>
      </c>
      <c r="I208" t="s">
        <v>31</v>
      </c>
      <c r="J208" t="s">
        <v>40</v>
      </c>
      <c r="K208" t="s">
        <v>31</v>
      </c>
      <c r="L208" t="s">
        <v>41</v>
      </c>
      <c r="M208" t="s">
        <v>27</v>
      </c>
      <c r="N208" t="s">
        <v>51</v>
      </c>
      <c r="O208">
        <v>2328</v>
      </c>
      <c r="P208">
        <v>1</v>
      </c>
      <c r="Q208" t="s">
        <v>22</v>
      </c>
      <c r="R208">
        <v>16</v>
      </c>
      <c r="S208" t="s">
        <v>33</v>
      </c>
      <c r="T208" t="s">
        <v>34</v>
      </c>
      <c r="U208">
        <v>2</v>
      </c>
      <c r="V208" t="s">
        <v>49</v>
      </c>
      <c r="W208" t="str">
        <f>IF(HR_Data[[#This Row],[age]]&lt;25,"Under 25",IF(HR_Data[[#This Row],[age]]&lt;35,"25-34",IF(HR_Data[[#This Row],[age]]&lt;45,"35-44",IF(HR_Data[[#This Row],[age]]&lt;55,"45-54","55+"))))</f>
        <v>Under 25</v>
      </c>
      <c r="X208" t="str">
        <f t="shared" si="3"/>
        <v>Below 3,000</v>
      </c>
    </row>
    <row r="209" spans="1:24" x14ac:dyDescent="0.3">
      <c r="A209">
        <v>286</v>
      </c>
      <c r="B209">
        <v>36</v>
      </c>
      <c r="C209" t="s">
        <v>36</v>
      </c>
      <c r="D209" t="s">
        <v>37</v>
      </c>
      <c r="E209" t="s">
        <v>38</v>
      </c>
      <c r="F209">
        <v>18</v>
      </c>
      <c r="G209" t="s">
        <v>39</v>
      </c>
      <c r="H209" t="s">
        <v>48</v>
      </c>
      <c r="I209" t="s">
        <v>27</v>
      </c>
      <c r="J209" t="s">
        <v>28</v>
      </c>
      <c r="K209" t="s">
        <v>29</v>
      </c>
      <c r="L209" t="s">
        <v>46</v>
      </c>
      <c r="M209" t="s">
        <v>31</v>
      </c>
      <c r="N209" t="s">
        <v>32</v>
      </c>
      <c r="O209">
        <v>2153</v>
      </c>
      <c r="P209">
        <v>1</v>
      </c>
      <c r="Q209" t="s">
        <v>36</v>
      </c>
      <c r="R209">
        <v>13</v>
      </c>
      <c r="S209" t="s">
        <v>33</v>
      </c>
      <c r="T209" t="s">
        <v>34</v>
      </c>
      <c r="U209">
        <v>2</v>
      </c>
      <c r="V209" t="s">
        <v>44</v>
      </c>
      <c r="W209" t="str">
        <f>IF(HR_Data[[#This Row],[age]]&lt;25,"Under 25",IF(HR_Data[[#This Row],[age]]&lt;35,"25-34",IF(HR_Data[[#This Row],[age]]&lt;45,"35-44",IF(HR_Data[[#This Row],[age]]&lt;55,"45-54","55+"))))</f>
        <v>35-44</v>
      </c>
      <c r="X209" t="str">
        <f t="shared" si="3"/>
        <v>Below 3,000</v>
      </c>
    </row>
    <row r="210" spans="1:24" x14ac:dyDescent="0.3">
      <c r="A210">
        <v>287</v>
      </c>
      <c r="B210">
        <v>40</v>
      </c>
      <c r="C210" t="s">
        <v>36</v>
      </c>
      <c r="D210" t="s">
        <v>54</v>
      </c>
      <c r="E210" t="s">
        <v>38</v>
      </c>
      <c r="F210">
        <v>9</v>
      </c>
      <c r="G210" t="s">
        <v>61</v>
      </c>
      <c r="H210" t="s">
        <v>26</v>
      </c>
      <c r="I210" t="s">
        <v>31</v>
      </c>
      <c r="J210" t="s">
        <v>40</v>
      </c>
      <c r="K210" t="s">
        <v>27</v>
      </c>
      <c r="L210" t="s">
        <v>53</v>
      </c>
      <c r="M210" t="s">
        <v>31</v>
      </c>
      <c r="N210" t="s">
        <v>42</v>
      </c>
      <c r="O210">
        <v>4876</v>
      </c>
      <c r="P210">
        <v>9</v>
      </c>
      <c r="Q210" t="s">
        <v>36</v>
      </c>
      <c r="R210">
        <v>14</v>
      </c>
      <c r="S210" t="s">
        <v>33</v>
      </c>
      <c r="T210" t="s">
        <v>31</v>
      </c>
      <c r="U210">
        <v>5</v>
      </c>
      <c r="V210" t="s">
        <v>35</v>
      </c>
      <c r="W210" t="str">
        <f>IF(HR_Data[[#This Row],[age]]&lt;25,"Under 25",IF(HR_Data[[#This Row],[age]]&lt;35,"25-34",IF(HR_Data[[#This Row],[age]]&lt;45,"35-44",IF(HR_Data[[#This Row],[age]]&lt;55,"45-54","55+"))))</f>
        <v>35-44</v>
      </c>
      <c r="X210" t="str">
        <f t="shared" si="3"/>
        <v>3,000-4,999</v>
      </c>
    </row>
    <row r="211" spans="1:24" x14ac:dyDescent="0.3">
      <c r="A211">
        <v>288</v>
      </c>
      <c r="B211">
        <v>46</v>
      </c>
      <c r="C211" t="s">
        <v>36</v>
      </c>
      <c r="D211" t="s">
        <v>23</v>
      </c>
      <c r="E211" t="s">
        <v>38</v>
      </c>
      <c r="F211">
        <v>1</v>
      </c>
      <c r="G211" t="s">
        <v>47</v>
      </c>
      <c r="H211" t="s">
        <v>48</v>
      </c>
      <c r="I211" t="s">
        <v>31</v>
      </c>
      <c r="J211" t="s">
        <v>40</v>
      </c>
      <c r="K211" t="s">
        <v>29</v>
      </c>
      <c r="L211" t="s">
        <v>53</v>
      </c>
      <c r="M211" t="s">
        <v>34</v>
      </c>
      <c r="N211" t="s">
        <v>51</v>
      </c>
      <c r="O211">
        <v>9396</v>
      </c>
      <c r="P211">
        <v>7</v>
      </c>
      <c r="Q211" t="s">
        <v>36</v>
      </c>
      <c r="R211">
        <v>16</v>
      </c>
      <c r="S211" t="s">
        <v>33</v>
      </c>
      <c r="T211" t="s">
        <v>29</v>
      </c>
      <c r="U211">
        <v>3</v>
      </c>
      <c r="V211" t="s">
        <v>44</v>
      </c>
      <c r="W211" t="str">
        <f>IF(HR_Data[[#This Row],[age]]&lt;25,"Under 25",IF(HR_Data[[#This Row],[age]]&lt;35,"25-34",IF(HR_Data[[#This Row],[age]]&lt;45,"35-44",IF(HR_Data[[#This Row],[age]]&lt;55,"45-54","55+"))))</f>
        <v>45-54</v>
      </c>
      <c r="X211" t="str">
        <f t="shared" si="3"/>
        <v>8,000+</v>
      </c>
    </row>
    <row r="212" spans="1:24" x14ac:dyDescent="0.3">
      <c r="A212">
        <v>291</v>
      </c>
      <c r="B212">
        <v>32</v>
      </c>
      <c r="C212" t="s">
        <v>22</v>
      </c>
      <c r="D212" t="s">
        <v>23</v>
      </c>
      <c r="E212" t="s">
        <v>24</v>
      </c>
      <c r="F212">
        <v>4</v>
      </c>
      <c r="G212" t="s">
        <v>47</v>
      </c>
      <c r="H212" t="s">
        <v>48</v>
      </c>
      <c r="I212" t="s">
        <v>31</v>
      </c>
      <c r="J212" t="s">
        <v>40</v>
      </c>
      <c r="K212" t="s">
        <v>34</v>
      </c>
      <c r="L212" t="s">
        <v>30</v>
      </c>
      <c r="M212" t="s">
        <v>31</v>
      </c>
      <c r="N212" t="s">
        <v>42</v>
      </c>
      <c r="O212">
        <v>10400</v>
      </c>
      <c r="P212">
        <v>1</v>
      </c>
      <c r="Q212" t="s">
        <v>36</v>
      </c>
      <c r="R212">
        <v>11</v>
      </c>
      <c r="S212" t="s">
        <v>33</v>
      </c>
      <c r="T212" t="s">
        <v>29</v>
      </c>
      <c r="U212">
        <v>2</v>
      </c>
      <c r="V212" t="s">
        <v>49</v>
      </c>
      <c r="W212" t="str">
        <f>IF(HR_Data[[#This Row],[age]]&lt;25,"Under 25",IF(HR_Data[[#This Row],[age]]&lt;35,"25-34",IF(HR_Data[[#This Row],[age]]&lt;45,"35-44",IF(HR_Data[[#This Row],[age]]&lt;55,"45-54","55+"))))</f>
        <v>25-34</v>
      </c>
      <c r="X212" t="str">
        <f t="shared" si="3"/>
        <v>8,000+</v>
      </c>
    </row>
    <row r="213" spans="1:24" x14ac:dyDescent="0.3">
      <c r="A213">
        <v>292</v>
      </c>
      <c r="B213">
        <v>30</v>
      </c>
      <c r="C213" t="s">
        <v>36</v>
      </c>
      <c r="D213" t="s">
        <v>54</v>
      </c>
      <c r="E213" t="s">
        <v>38</v>
      </c>
      <c r="F213">
        <v>1</v>
      </c>
      <c r="G213" t="s">
        <v>39</v>
      </c>
      <c r="H213" t="s">
        <v>26</v>
      </c>
      <c r="I213" t="s">
        <v>29</v>
      </c>
      <c r="J213" t="s">
        <v>40</v>
      </c>
      <c r="K213" t="s">
        <v>27</v>
      </c>
      <c r="L213" t="s">
        <v>52</v>
      </c>
      <c r="M213" t="s">
        <v>29</v>
      </c>
      <c r="N213" t="s">
        <v>32</v>
      </c>
      <c r="O213">
        <v>8474</v>
      </c>
      <c r="P213">
        <v>1</v>
      </c>
      <c r="Q213" t="s">
        <v>36</v>
      </c>
      <c r="R213">
        <v>22</v>
      </c>
      <c r="S213" t="s">
        <v>43</v>
      </c>
      <c r="T213" t="s">
        <v>29</v>
      </c>
      <c r="U213">
        <v>2</v>
      </c>
      <c r="V213" t="s">
        <v>44</v>
      </c>
      <c r="W213" t="str">
        <f>IF(HR_Data[[#This Row],[age]]&lt;25,"Under 25",IF(HR_Data[[#This Row],[age]]&lt;35,"25-34",IF(HR_Data[[#This Row],[age]]&lt;45,"35-44",IF(HR_Data[[#This Row],[age]]&lt;55,"45-54","55+"))))</f>
        <v>25-34</v>
      </c>
      <c r="X213" t="str">
        <f t="shared" si="3"/>
        <v>8,000+</v>
      </c>
    </row>
    <row r="214" spans="1:24" x14ac:dyDescent="0.3">
      <c r="A214">
        <v>293</v>
      </c>
      <c r="B214">
        <v>27</v>
      </c>
      <c r="C214" t="s">
        <v>36</v>
      </c>
      <c r="D214" t="s">
        <v>37</v>
      </c>
      <c r="E214" t="s">
        <v>24</v>
      </c>
      <c r="F214">
        <v>20</v>
      </c>
      <c r="G214" t="s">
        <v>50</v>
      </c>
      <c r="H214" t="s">
        <v>26</v>
      </c>
      <c r="I214" t="s">
        <v>31</v>
      </c>
      <c r="J214" t="s">
        <v>28</v>
      </c>
      <c r="K214" t="s">
        <v>29</v>
      </c>
      <c r="L214" t="s">
        <v>30</v>
      </c>
      <c r="M214" t="s">
        <v>29</v>
      </c>
      <c r="N214" t="s">
        <v>32</v>
      </c>
      <c r="O214">
        <v>9981</v>
      </c>
      <c r="P214">
        <v>1</v>
      </c>
      <c r="Q214" t="s">
        <v>36</v>
      </c>
      <c r="R214">
        <v>14</v>
      </c>
      <c r="S214" t="s">
        <v>33</v>
      </c>
      <c r="T214" t="s">
        <v>31</v>
      </c>
      <c r="U214">
        <v>2</v>
      </c>
      <c r="V214" t="s">
        <v>44</v>
      </c>
      <c r="W214" t="str">
        <f>IF(HR_Data[[#This Row],[age]]&lt;25,"Under 25",IF(HR_Data[[#This Row],[age]]&lt;35,"25-34",IF(HR_Data[[#This Row],[age]]&lt;45,"35-44",IF(HR_Data[[#This Row],[age]]&lt;55,"45-54","55+"))))</f>
        <v>25-34</v>
      </c>
      <c r="X214" t="str">
        <f t="shared" si="3"/>
        <v>8,000+</v>
      </c>
    </row>
    <row r="215" spans="1:24" x14ac:dyDescent="0.3">
      <c r="A215">
        <v>296</v>
      </c>
      <c r="B215">
        <v>51</v>
      </c>
      <c r="C215" t="s">
        <v>36</v>
      </c>
      <c r="D215" t="s">
        <v>23</v>
      </c>
      <c r="E215" t="s">
        <v>38</v>
      </c>
      <c r="F215">
        <v>8</v>
      </c>
      <c r="G215" t="s">
        <v>47</v>
      </c>
      <c r="H215" t="s">
        <v>26</v>
      </c>
      <c r="I215" t="s">
        <v>27</v>
      </c>
      <c r="J215" t="s">
        <v>40</v>
      </c>
      <c r="K215" t="s">
        <v>27</v>
      </c>
      <c r="L215" t="s">
        <v>57</v>
      </c>
      <c r="M215" t="s">
        <v>27</v>
      </c>
      <c r="N215" t="s">
        <v>42</v>
      </c>
      <c r="O215">
        <v>12490</v>
      </c>
      <c r="P215">
        <v>5</v>
      </c>
      <c r="Q215" t="s">
        <v>36</v>
      </c>
      <c r="R215">
        <v>16</v>
      </c>
      <c r="S215" t="s">
        <v>33</v>
      </c>
      <c r="T215" t="s">
        <v>31</v>
      </c>
      <c r="U215">
        <v>5</v>
      </c>
      <c r="V215" t="s">
        <v>35</v>
      </c>
      <c r="W215" t="str">
        <f>IF(HR_Data[[#This Row],[age]]&lt;25,"Under 25",IF(HR_Data[[#This Row],[age]]&lt;35,"25-34",IF(HR_Data[[#This Row],[age]]&lt;45,"35-44",IF(HR_Data[[#This Row],[age]]&lt;55,"45-54","55+"))))</f>
        <v>45-54</v>
      </c>
      <c r="X215" t="str">
        <f t="shared" si="3"/>
        <v>8,000+</v>
      </c>
    </row>
    <row r="216" spans="1:24" x14ac:dyDescent="0.3">
      <c r="A216">
        <v>297</v>
      </c>
      <c r="B216">
        <v>30</v>
      </c>
      <c r="C216" t="s">
        <v>22</v>
      </c>
      <c r="D216" t="s">
        <v>23</v>
      </c>
      <c r="E216" t="s">
        <v>38</v>
      </c>
      <c r="F216">
        <v>3</v>
      </c>
      <c r="G216" t="s">
        <v>50</v>
      </c>
      <c r="H216" t="s">
        <v>60</v>
      </c>
      <c r="I216" t="s">
        <v>31</v>
      </c>
      <c r="J216" t="s">
        <v>28</v>
      </c>
      <c r="K216" t="s">
        <v>29</v>
      </c>
      <c r="L216" t="s">
        <v>41</v>
      </c>
      <c r="M216" t="s">
        <v>34</v>
      </c>
      <c r="N216" t="s">
        <v>32</v>
      </c>
      <c r="O216">
        <v>2657</v>
      </c>
      <c r="P216">
        <v>5</v>
      </c>
      <c r="Q216" t="s">
        <v>22</v>
      </c>
      <c r="R216">
        <v>11</v>
      </c>
      <c r="S216" t="s">
        <v>33</v>
      </c>
      <c r="T216" t="s">
        <v>29</v>
      </c>
      <c r="U216">
        <v>5</v>
      </c>
      <c r="V216" t="s">
        <v>44</v>
      </c>
      <c r="W216" t="str">
        <f>IF(HR_Data[[#This Row],[age]]&lt;25,"Under 25",IF(HR_Data[[#This Row],[age]]&lt;35,"25-34",IF(HR_Data[[#This Row],[age]]&lt;45,"35-44",IF(HR_Data[[#This Row],[age]]&lt;55,"45-54","55+"))))</f>
        <v>25-34</v>
      </c>
      <c r="X216" t="str">
        <f t="shared" si="3"/>
        <v>Below 3,000</v>
      </c>
    </row>
    <row r="217" spans="1:24" x14ac:dyDescent="0.3">
      <c r="A217">
        <v>298</v>
      </c>
      <c r="B217">
        <v>41</v>
      </c>
      <c r="C217" t="s">
        <v>36</v>
      </c>
      <c r="D217" t="s">
        <v>23</v>
      </c>
      <c r="E217" t="s">
        <v>24</v>
      </c>
      <c r="F217">
        <v>6</v>
      </c>
      <c r="G217" t="s">
        <v>50</v>
      </c>
      <c r="H217" t="s">
        <v>26</v>
      </c>
      <c r="I217" t="s">
        <v>31</v>
      </c>
      <c r="J217" t="s">
        <v>28</v>
      </c>
      <c r="K217" t="s">
        <v>29</v>
      </c>
      <c r="L217" t="s">
        <v>55</v>
      </c>
      <c r="M217" t="s">
        <v>31</v>
      </c>
      <c r="N217" t="s">
        <v>32</v>
      </c>
      <c r="O217">
        <v>13591</v>
      </c>
      <c r="P217">
        <v>3</v>
      </c>
      <c r="Q217" t="s">
        <v>22</v>
      </c>
      <c r="R217">
        <v>18</v>
      </c>
      <c r="S217" t="s">
        <v>33</v>
      </c>
      <c r="T217" t="s">
        <v>29</v>
      </c>
      <c r="U217">
        <v>3</v>
      </c>
      <c r="V217" t="s">
        <v>44</v>
      </c>
      <c r="W217" t="str">
        <f>IF(HR_Data[[#This Row],[age]]&lt;25,"Under 25",IF(HR_Data[[#This Row],[age]]&lt;35,"25-34",IF(HR_Data[[#This Row],[age]]&lt;45,"35-44",IF(HR_Data[[#This Row],[age]]&lt;55,"45-54","55+"))))</f>
        <v>35-44</v>
      </c>
      <c r="X217" t="str">
        <f t="shared" si="3"/>
        <v>8,000+</v>
      </c>
    </row>
    <row r="218" spans="1:24" x14ac:dyDescent="0.3">
      <c r="A218">
        <v>299</v>
      </c>
      <c r="B218">
        <v>30</v>
      </c>
      <c r="C218" t="s">
        <v>22</v>
      </c>
      <c r="D218" t="s">
        <v>37</v>
      </c>
      <c r="E218" t="s">
        <v>24</v>
      </c>
      <c r="F218">
        <v>26</v>
      </c>
      <c r="G218" t="s">
        <v>47</v>
      </c>
      <c r="H218" t="s">
        <v>58</v>
      </c>
      <c r="I218" t="s">
        <v>29</v>
      </c>
      <c r="J218" t="s">
        <v>28</v>
      </c>
      <c r="K218" t="s">
        <v>27</v>
      </c>
      <c r="L218" t="s">
        <v>30</v>
      </c>
      <c r="M218" t="s">
        <v>34</v>
      </c>
      <c r="N218" t="s">
        <v>32</v>
      </c>
      <c r="O218">
        <v>6696</v>
      </c>
      <c r="P218">
        <v>5</v>
      </c>
      <c r="Q218" t="s">
        <v>36</v>
      </c>
      <c r="R218">
        <v>15</v>
      </c>
      <c r="S218" t="s">
        <v>33</v>
      </c>
      <c r="T218" t="s">
        <v>29</v>
      </c>
      <c r="U218">
        <v>5</v>
      </c>
      <c r="V218" t="s">
        <v>49</v>
      </c>
      <c r="W218" t="str">
        <f>IF(HR_Data[[#This Row],[age]]&lt;25,"Under 25",IF(HR_Data[[#This Row],[age]]&lt;35,"25-34",IF(HR_Data[[#This Row],[age]]&lt;45,"35-44",IF(HR_Data[[#This Row],[age]]&lt;55,"45-54","55+"))))</f>
        <v>25-34</v>
      </c>
      <c r="X218" t="str">
        <f t="shared" si="3"/>
        <v>5,000-7,999</v>
      </c>
    </row>
    <row r="219" spans="1:24" x14ac:dyDescent="0.3">
      <c r="A219">
        <v>300</v>
      </c>
      <c r="B219">
        <v>29</v>
      </c>
      <c r="C219" t="s">
        <v>22</v>
      </c>
      <c r="D219" t="s">
        <v>23</v>
      </c>
      <c r="E219" t="s">
        <v>38</v>
      </c>
      <c r="F219">
        <v>1</v>
      </c>
      <c r="G219" t="s">
        <v>50</v>
      </c>
      <c r="H219" t="s">
        <v>60</v>
      </c>
      <c r="I219" t="s">
        <v>29</v>
      </c>
      <c r="J219" t="s">
        <v>40</v>
      </c>
      <c r="K219" t="s">
        <v>29</v>
      </c>
      <c r="L219" t="s">
        <v>41</v>
      </c>
      <c r="M219" t="s">
        <v>29</v>
      </c>
      <c r="N219" t="s">
        <v>32</v>
      </c>
      <c r="O219">
        <v>2058</v>
      </c>
      <c r="P219">
        <v>0</v>
      </c>
      <c r="Q219" t="s">
        <v>36</v>
      </c>
      <c r="R219">
        <v>14</v>
      </c>
      <c r="S219" t="s">
        <v>33</v>
      </c>
      <c r="T219" t="s">
        <v>31</v>
      </c>
      <c r="U219">
        <v>1</v>
      </c>
      <c r="V219" t="s">
        <v>49</v>
      </c>
      <c r="W219" t="str">
        <f>IF(HR_Data[[#This Row],[age]]&lt;25,"Under 25",IF(HR_Data[[#This Row],[age]]&lt;35,"25-34",IF(HR_Data[[#This Row],[age]]&lt;45,"35-44",IF(HR_Data[[#This Row],[age]]&lt;55,"45-54","55+"))))</f>
        <v>25-34</v>
      </c>
      <c r="X219" t="str">
        <f t="shared" si="3"/>
        <v>Below 3,000</v>
      </c>
    </row>
    <row r="220" spans="1:24" x14ac:dyDescent="0.3">
      <c r="A220">
        <v>302</v>
      </c>
      <c r="B220">
        <v>45</v>
      </c>
      <c r="C220" t="s">
        <v>36</v>
      </c>
      <c r="D220" t="s">
        <v>54</v>
      </c>
      <c r="E220" t="s">
        <v>24</v>
      </c>
      <c r="F220">
        <v>6</v>
      </c>
      <c r="G220" t="s">
        <v>50</v>
      </c>
      <c r="H220" t="s">
        <v>48</v>
      </c>
      <c r="I220" t="s">
        <v>31</v>
      </c>
      <c r="J220" t="s">
        <v>28</v>
      </c>
      <c r="K220" t="s">
        <v>27</v>
      </c>
      <c r="L220" t="s">
        <v>30</v>
      </c>
      <c r="M220" t="s">
        <v>31</v>
      </c>
      <c r="N220" t="s">
        <v>32</v>
      </c>
      <c r="O220">
        <v>8865</v>
      </c>
      <c r="P220">
        <v>6</v>
      </c>
      <c r="Q220" t="s">
        <v>36</v>
      </c>
      <c r="R220">
        <v>12</v>
      </c>
      <c r="S220" t="s">
        <v>33</v>
      </c>
      <c r="T220" t="s">
        <v>31</v>
      </c>
      <c r="U220">
        <v>2</v>
      </c>
      <c r="V220" t="s">
        <v>44</v>
      </c>
      <c r="W220" t="str">
        <f>IF(HR_Data[[#This Row],[age]]&lt;25,"Under 25",IF(HR_Data[[#This Row],[age]]&lt;35,"25-34",IF(HR_Data[[#This Row],[age]]&lt;45,"35-44",IF(HR_Data[[#This Row],[age]]&lt;55,"45-54","55+"))))</f>
        <v>45-54</v>
      </c>
      <c r="X220" t="str">
        <f t="shared" si="3"/>
        <v>8,000+</v>
      </c>
    </row>
    <row r="221" spans="1:24" x14ac:dyDescent="0.3">
      <c r="A221">
        <v>303</v>
      </c>
      <c r="B221">
        <v>54</v>
      </c>
      <c r="C221" t="s">
        <v>36</v>
      </c>
      <c r="D221" t="s">
        <v>23</v>
      </c>
      <c r="E221" t="s">
        <v>24</v>
      </c>
      <c r="F221">
        <v>3</v>
      </c>
      <c r="G221" t="s">
        <v>50</v>
      </c>
      <c r="H221" t="s">
        <v>58</v>
      </c>
      <c r="I221" t="s">
        <v>31</v>
      </c>
      <c r="J221" t="s">
        <v>28</v>
      </c>
      <c r="K221" t="s">
        <v>29</v>
      </c>
      <c r="L221" t="s">
        <v>30</v>
      </c>
      <c r="M221" t="s">
        <v>34</v>
      </c>
      <c r="N221" t="s">
        <v>42</v>
      </c>
      <c r="O221">
        <v>5940</v>
      </c>
      <c r="P221">
        <v>2</v>
      </c>
      <c r="Q221" t="s">
        <v>36</v>
      </c>
      <c r="R221">
        <v>14</v>
      </c>
      <c r="S221" t="s">
        <v>33</v>
      </c>
      <c r="T221" t="s">
        <v>31</v>
      </c>
      <c r="U221">
        <v>4</v>
      </c>
      <c r="V221" t="s">
        <v>44</v>
      </c>
      <c r="W221" t="str">
        <f>IF(HR_Data[[#This Row],[age]]&lt;25,"Under 25",IF(HR_Data[[#This Row],[age]]&lt;35,"25-34",IF(HR_Data[[#This Row],[age]]&lt;45,"35-44",IF(HR_Data[[#This Row],[age]]&lt;55,"45-54","55+"))))</f>
        <v>45-54</v>
      </c>
      <c r="X221" t="str">
        <f t="shared" si="3"/>
        <v>5,000-7,999</v>
      </c>
    </row>
    <row r="222" spans="1:24" x14ac:dyDescent="0.3">
      <c r="A222">
        <v>304</v>
      </c>
      <c r="B222">
        <v>36</v>
      </c>
      <c r="C222" t="s">
        <v>36</v>
      </c>
      <c r="D222" t="s">
        <v>23</v>
      </c>
      <c r="E222" t="s">
        <v>38</v>
      </c>
      <c r="F222">
        <v>5</v>
      </c>
      <c r="G222" t="s">
        <v>25</v>
      </c>
      <c r="H222" t="s">
        <v>26</v>
      </c>
      <c r="I222" t="s">
        <v>31</v>
      </c>
      <c r="J222" t="s">
        <v>40</v>
      </c>
      <c r="K222" t="s">
        <v>29</v>
      </c>
      <c r="L222" t="s">
        <v>46</v>
      </c>
      <c r="M222" t="s">
        <v>27</v>
      </c>
      <c r="N222" t="s">
        <v>32</v>
      </c>
      <c r="O222">
        <v>5914</v>
      </c>
      <c r="P222">
        <v>8</v>
      </c>
      <c r="Q222" t="s">
        <v>36</v>
      </c>
      <c r="R222">
        <v>16</v>
      </c>
      <c r="S222" t="s">
        <v>33</v>
      </c>
      <c r="T222" t="s">
        <v>31</v>
      </c>
      <c r="U222">
        <v>3</v>
      </c>
      <c r="V222" t="s">
        <v>59</v>
      </c>
      <c r="W222" t="str">
        <f>IF(HR_Data[[#This Row],[age]]&lt;25,"Under 25",IF(HR_Data[[#This Row],[age]]&lt;35,"25-34",IF(HR_Data[[#This Row],[age]]&lt;45,"35-44",IF(HR_Data[[#This Row],[age]]&lt;55,"45-54","55+"))))</f>
        <v>35-44</v>
      </c>
      <c r="X222" t="str">
        <f t="shared" si="3"/>
        <v>5,000-7,999</v>
      </c>
    </row>
    <row r="223" spans="1:24" x14ac:dyDescent="0.3">
      <c r="A223">
        <v>305</v>
      </c>
      <c r="B223">
        <v>33</v>
      </c>
      <c r="C223" t="s">
        <v>36</v>
      </c>
      <c r="D223" t="s">
        <v>23</v>
      </c>
      <c r="E223" t="s">
        <v>38</v>
      </c>
      <c r="F223">
        <v>4</v>
      </c>
      <c r="G223" t="s">
        <v>47</v>
      </c>
      <c r="H223" t="s">
        <v>48</v>
      </c>
      <c r="I223" t="s">
        <v>29</v>
      </c>
      <c r="J223" t="s">
        <v>28</v>
      </c>
      <c r="K223" t="s">
        <v>27</v>
      </c>
      <c r="L223" t="s">
        <v>41</v>
      </c>
      <c r="M223" t="s">
        <v>27</v>
      </c>
      <c r="N223" t="s">
        <v>42</v>
      </c>
      <c r="O223">
        <v>2622</v>
      </c>
      <c r="P223">
        <v>6</v>
      </c>
      <c r="Q223" t="s">
        <v>36</v>
      </c>
      <c r="R223">
        <v>21</v>
      </c>
      <c r="S223" t="s">
        <v>43</v>
      </c>
      <c r="T223" t="s">
        <v>31</v>
      </c>
      <c r="U223">
        <v>3</v>
      </c>
      <c r="V223" t="s">
        <v>44</v>
      </c>
      <c r="W223" t="str">
        <f>IF(HR_Data[[#This Row],[age]]&lt;25,"Under 25",IF(HR_Data[[#This Row],[age]]&lt;35,"25-34",IF(HR_Data[[#This Row],[age]]&lt;45,"35-44",IF(HR_Data[[#This Row],[age]]&lt;55,"45-54","55+"))))</f>
        <v>25-34</v>
      </c>
      <c r="X223" t="str">
        <f t="shared" si="3"/>
        <v>Below 3,000</v>
      </c>
    </row>
    <row r="224" spans="1:24" x14ac:dyDescent="0.3">
      <c r="A224">
        <v>306</v>
      </c>
      <c r="B224">
        <v>37</v>
      </c>
      <c r="C224" t="s">
        <v>36</v>
      </c>
      <c r="D224" t="s">
        <v>37</v>
      </c>
      <c r="E224" t="s">
        <v>38</v>
      </c>
      <c r="F224">
        <v>11</v>
      </c>
      <c r="G224" t="s">
        <v>50</v>
      </c>
      <c r="H224" t="s">
        <v>45</v>
      </c>
      <c r="I224" t="s">
        <v>27</v>
      </c>
      <c r="J224" t="s">
        <v>40</v>
      </c>
      <c r="K224" t="s">
        <v>29</v>
      </c>
      <c r="L224" t="s">
        <v>57</v>
      </c>
      <c r="M224" t="s">
        <v>31</v>
      </c>
      <c r="N224" t="s">
        <v>51</v>
      </c>
      <c r="O224">
        <v>12185</v>
      </c>
      <c r="P224">
        <v>1</v>
      </c>
      <c r="Q224" t="s">
        <v>22</v>
      </c>
      <c r="R224">
        <v>14</v>
      </c>
      <c r="S224" t="s">
        <v>33</v>
      </c>
      <c r="T224" t="s">
        <v>29</v>
      </c>
      <c r="U224">
        <v>1</v>
      </c>
      <c r="V224" t="s">
        <v>44</v>
      </c>
      <c r="W224" t="str">
        <f>IF(HR_Data[[#This Row],[age]]&lt;25,"Under 25",IF(HR_Data[[#This Row],[age]]&lt;35,"25-34",IF(HR_Data[[#This Row],[age]]&lt;45,"35-44",IF(HR_Data[[#This Row],[age]]&lt;55,"45-54","55+"))))</f>
        <v>35-44</v>
      </c>
      <c r="X224" t="str">
        <f t="shared" si="3"/>
        <v>8,000+</v>
      </c>
    </row>
    <row r="225" spans="1:24" x14ac:dyDescent="0.3">
      <c r="A225">
        <v>307</v>
      </c>
      <c r="B225">
        <v>38</v>
      </c>
      <c r="C225" t="s">
        <v>36</v>
      </c>
      <c r="D225" t="s">
        <v>23</v>
      </c>
      <c r="E225" t="s">
        <v>24</v>
      </c>
      <c r="F225">
        <v>3</v>
      </c>
      <c r="G225" t="s">
        <v>50</v>
      </c>
      <c r="H225" t="s">
        <v>26</v>
      </c>
      <c r="I225" t="s">
        <v>34</v>
      </c>
      <c r="J225" t="s">
        <v>40</v>
      </c>
      <c r="K225" t="s">
        <v>29</v>
      </c>
      <c r="L225" t="s">
        <v>30</v>
      </c>
      <c r="M225" t="s">
        <v>29</v>
      </c>
      <c r="N225" t="s">
        <v>51</v>
      </c>
      <c r="O225">
        <v>10609</v>
      </c>
      <c r="P225">
        <v>0</v>
      </c>
      <c r="Q225" t="s">
        <v>36</v>
      </c>
      <c r="R225">
        <v>12</v>
      </c>
      <c r="S225" t="s">
        <v>33</v>
      </c>
      <c r="T225" t="s">
        <v>29</v>
      </c>
      <c r="U225">
        <v>6</v>
      </c>
      <c r="V225" t="s">
        <v>49</v>
      </c>
      <c r="W225" t="str">
        <f>IF(HR_Data[[#This Row],[age]]&lt;25,"Under 25",IF(HR_Data[[#This Row],[age]]&lt;35,"25-34",IF(HR_Data[[#This Row],[age]]&lt;45,"35-44",IF(HR_Data[[#This Row],[age]]&lt;55,"45-54","55+"))))</f>
        <v>35-44</v>
      </c>
      <c r="X225" t="str">
        <f t="shared" si="3"/>
        <v>8,000+</v>
      </c>
    </row>
    <row r="226" spans="1:24" x14ac:dyDescent="0.3">
      <c r="A226">
        <v>308</v>
      </c>
      <c r="B226">
        <v>31</v>
      </c>
      <c r="C226" t="s">
        <v>36</v>
      </c>
      <c r="D226" t="s">
        <v>54</v>
      </c>
      <c r="E226" t="s">
        <v>38</v>
      </c>
      <c r="F226">
        <v>1</v>
      </c>
      <c r="G226" t="s">
        <v>47</v>
      </c>
      <c r="H226" t="s">
        <v>48</v>
      </c>
      <c r="I226" t="s">
        <v>29</v>
      </c>
      <c r="J226" t="s">
        <v>40</v>
      </c>
      <c r="K226" t="s">
        <v>34</v>
      </c>
      <c r="L226" t="s">
        <v>52</v>
      </c>
      <c r="M226" t="s">
        <v>29</v>
      </c>
      <c r="N226" t="s">
        <v>42</v>
      </c>
      <c r="O226">
        <v>4345</v>
      </c>
      <c r="P226">
        <v>0</v>
      </c>
      <c r="Q226" t="s">
        <v>36</v>
      </c>
      <c r="R226">
        <v>12</v>
      </c>
      <c r="S226" t="s">
        <v>33</v>
      </c>
      <c r="T226" t="s">
        <v>31</v>
      </c>
      <c r="U226">
        <v>2</v>
      </c>
      <c r="V226" t="s">
        <v>44</v>
      </c>
      <c r="W226" t="str">
        <f>IF(HR_Data[[#This Row],[age]]&lt;25,"Under 25",IF(HR_Data[[#This Row],[age]]&lt;35,"25-34",IF(HR_Data[[#This Row],[age]]&lt;45,"35-44",IF(HR_Data[[#This Row],[age]]&lt;55,"45-54","55+"))))</f>
        <v>25-34</v>
      </c>
      <c r="X226" t="str">
        <f t="shared" si="3"/>
        <v>3,000-4,999</v>
      </c>
    </row>
    <row r="227" spans="1:24" x14ac:dyDescent="0.3">
      <c r="A227">
        <v>309</v>
      </c>
      <c r="B227">
        <v>59</v>
      </c>
      <c r="C227" t="s">
        <v>36</v>
      </c>
      <c r="D227" t="s">
        <v>23</v>
      </c>
      <c r="E227" t="s">
        <v>38</v>
      </c>
      <c r="F227">
        <v>3</v>
      </c>
      <c r="G227" t="s">
        <v>50</v>
      </c>
      <c r="H227" t="s">
        <v>26</v>
      </c>
      <c r="I227" t="s">
        <v>29</v>
      </c>
      <c r="J227" t="s">
        <v>40</v>
      </c>
      <c r="K227" t="s">
        <v>27</v>
      </c>
      <c r="L227" t="s">
        <v>41</v>
      </c>
      <c r="M227" t="s">
        <v>31</v>
      </c>
      <c r="N227" t="s">
        <v>42</v>
      </c>
      <c r="O227">
        <v>2177</v>
      </c>
      <c r="P227">
        <v>3</v>
      </c>
      <c r="Q227" t="s">
        <v>36</v>
      </c>
      <c r="R227">
        <v>17</v>
      </c>
      <c r="S227" t="s">
        <v>33</v>
      </c>
      <c r="T227" t="s">
        <v>34</v>
      </c>
      <c r="U227">
        <v>6</v>
      </c>
      <c r="V227" t="s">
        <v>44</v>
      </c>
      <c r="W227" t="str">
        <f>IF(HR_Data[[#This Row],[age]]&lt;25,"Under 25",IF(HR_Data[[#This Row],[age]]&lt;35,"25-34",IF(HR_Data[[#This Row],[age]]&lt;45,"35-44",IF(HR_Data[[#This Row],[age]]&lt;55,"45-54","55+"))))</f>
        <v>55+</v>
      </c>
      <c r="X227" t="str">
        <f t="shared" si="3"/>
        <v>Below 3,000</v>
      </c>
    </row>
    <row r="228" spans="1:24" x14ac:dyDescent="0.3">
      <c r="A228">
        <v>311</v>
      </c>
      <c r="B228">
        <v>37</v>
      </c>
      <c r="C228" t="s">
        <v>36</v>
      </c>
      <c r="D228" t="s">
        <v>37</v>
      </c>
      <c r="E228" t="s">
        <v>24</v>
      </c>
      <c r="F228">
        <v>4</v>
      </c>
      <c r="G228" t="s">
        <v>47</v>
      </c>
      <c r="H228" t="s">
        <v>58</v>
      </c>
      <c r="I228" t="s">
        <v>34</v>
      </c>
      <c r="J228" t="s">
        <v>40</v>
      </c>
      <c r="K228" t="s">
        <v>29</v>
      </c>
      <c r="L228" t="s">
        <v>56</v>
      </c>
      <c r="M228" t="s">
        <v>31</v>
      </c>
      <c r="N228" t="s">
        <v>51</v>
      </c>
      <c r="O228">
        <v>2793</v>
      </c>
      <c r="P228">
        <v>4</v>
      </c>
      <c r="Q228" t="s">
        <v>36</v>
      </c>
      <c r="R228">
        <v>17</v>
      </c>
      <c r="S228" t="s">
        <v>33</v>
      </c>
      <c r="T228" t="s">
        <v>29</v>
      </c>
      <c r="U228">
        <v>2</v>
      </c>
      <c r="V228" t="s">
        <v>44</v>
      </c>
      <c r="W228" t="str">
        <f>IF(HR_Data[[#This Row],[age]]&lt;25,"Under 25",IF(HR_Data[[#This Row],[age]]&lt;35,"25-34",IF(HR_Data[[#This Row],[age]]&lt;45,"35-44",IF(HR_Data[[#This Row],[age]]&lt;55,"45-54","55+"))))</f>
        <v>35-44</v>
      </c>
      <c r="X228" t="str">
        <f t="shared" si="3"/>
        <v>Below 3,000</v>
      </c>
    </row>
    <row r="229" spans="1:24" x14ac:dyDescent="0.3">
      <c r="A229">
        <v>312</v>
      </c>
      <c r="B229">
        <v>29</v>
      </c>
      <c r="C229" t="s">
        <v>36</v>
      </c>
      <c r="D229" t="s">
        <v>37</v>
      </c>
      <c r="E229" t="s">
        <v>24</v>
      </c>
      <c r="F229">
        <v>1</v>
      </c>
      <c r="G229" t="s">
        <v>39</v>
      </c>
      <c r="H229" t="s">
        <v>48</v>
      </c>
      <c r="I229" t="s">
        <v>27</v>
      </c>
      <c r="J229" t="s">
        <v>28</v>
      </c>
      <c r="K229" t="s">
        <v>29</v>
      </c>
      <c r="L229" t="s">
        <v>30</v>
      </c>
      <c r="M229" t="s">
        <v>31</v>
      </c>
      <c r="N229" t="s">
        <v>42</v>
      </c>
      <c r="O229">
        <v>7918</v>
      </c>
      <c r="P229">
        <v>1</v>
      </c>
      <c r="Q229" t="s">
        <v>36</v>
      </c>
      <c r="R229">
        <v>14</v>
      </c>
      <c r="S229" t="s">
        <v>33</v>
      </c>
      <c r="T229" t="s">
        <v>31</v>
      </c>
      <c r="U229">
        <v>5</v>
      </c>
      <c r="V229" t="s">
        <v>44</v>
      </c>
      <c r="W229" t="str">
        <f>IF(HR_Data[[#This Row],[age]]&lt;25,"Under 25",IF(HR_Data[[#This Row],[age]]&lt;35,"25-34",IF(HR_Data[[#This Row],[age]]&lt;45,"35-44",IF(HR_Data[[#This Row],[age]]&lt;55,"45-54","55+"))))</f>
        <v>25-34</v>
      </c>
      <c r="X229" t="str">
        <f t="shared" si="3"/>
        <v>5,000-7,999</v>
      </c>
    </row>
    <row r="230" spans="1:24" x14ac:dyDescent="0.3">
      <c r="A230">
        <v>314</v>
      </c>
      <c r="B230">
        <v>35</v>
      </c>
      <c r="C230" t="s">
        <v>36</v>
      </c>
      <c r="D230" t="s">
        <v>37</v>
      </c>
      <c r="E230" t="s">
        <v>24</v>
      </c>
      <c r="F230">
        <v>1</v>
      </c>
      <c r="G230" t="s">
        <v>50</v>
      </c>
      <c r="H230" t="s">
        <v>58</v>
      </c>
      <c r="I230" t="s">
        <v>29</v>
      </c>
      <c r="J230" t="s">
        <v>28</v>
      </c>
      <c r="K230" t="s">
        <v>29</v>
      </c>
      <c r="L230" t="s">
        <v>30</v>
      </c>
      <c r="M230" t="s">
        <v>29</v>
      </c>
      <c r="N230" t="s">
        <v>32</v>
      </c>
      <c r="O230">
        <v>8789</v>
      </c>
      <c r="P230">
        <v>1</v>
      </c>
      <c r="Q230" t="s">
        <v>36</v>
      </c>
      <c r="R230">
        <v>14</v>
      </c>
      <c r="S230" t="s">
        <v>33</v>
      </c>
      <c r="T230" t="s">
        <v>34</v>
      </c>
      <c r="U230">
        <v>3</v>
      </c>
      <c r="V230" t="s">
        <v>59</v>
      </c>
      <c r="W230" t="str">
        <f>IF(HR_Data[[#This Row],[age]]&lt;25,"Under 25",IF(HR_Data[[#This Row],[age]]&lt;35,"25-34",IF(HR_Data[[#This Row],[age]]&lt;45,"35-44",IF(HR_Data[[#This Row],[age]]&lt;55,"45-54","55+"))))</f>
        <v>35-44</v>
      </c>
      <c r="X230" t="str">
        <f t="shared" si="3"/>
        <v>8,000+</v>
      </c>
    </row>
    <row r="231" spans="1:24" x14ac:dyDescent="0.3">
      <c r="A231">
        <v>315</v>
      </c>
      <c r="B231">
        <v>29</v>
      </c>
      <c r="C231" t="s">
        <v>22</v>
      </c>
      <c r="D231" t="s">
        <v>23</v>
      </c>
      <c r="E231" t="s">
        <v>38</v>
      </c>
      <c r="F231">
        <v>18</v>
      </c>
      <c r="G231" t="s">
        <v>39</v>
      </c>
      <c r="H231" t="s">
        <v>48</v>
      </c>
      <c r="I231" t="s">
        <v>29</v>
      </c>
      <c r="J231" t="s">
        <v>40</v>
      </c>
      <c r="K231" t="s">
        <v>27</v>
      </c>
      <c r="L231" t="s">
        <v>41</v>
      </c>
      <c r="M231" t="s">
        <v>31</v>
      </c>
      <c r="N231" t="s">
        <v>32</v>
      </c>
      <c r="O231">
        <v>2389</v>
      </c>
      <c r="P231">
        <v>1</v>
      </c>
      <c r="Q231" t="s">
        <v>22</v>
      </c>
      <c r="R231">
        <v>13</v>
      </c>
      <c r="S231" t="s">
        <v>33</v>
      </c>
      <c r="T231" t="s">
        <v>29</v>
      </c>
      <c r="U231">
        <v>3</v>
      </c>
      <c r="V231" t="s">
        <v>49</v>
      </c>
      <c r="W231" t="str">
        <f>IF(HR_Data[[#This Row],[age]]&lt;25,"Under 25",IF(HR_Data[[#This Row],[age]]&lt;35,"25-34",IF(HR_Data[[#This Row],[age]]&lt;45,"35-44",IF(HR_Data[[#This Row],[age]]&lt;55,"45-54","55+"))))</f>
        <v>25-34</v>
      </c>
      <c r="X231" t="str">
        <f t="shared" si="3"/>
        <v>Below 3,000</v>
      </c>
    </row>
    <row r="232" spans="1:24" x14ac:dyDescent="0.3">
      <c r="A232">
        <v>316</v>
      </c>
      <c r="B232">
        <v>52</v>
      </c>
      <c r="C232" t="s">
        <v>36</v>
      </c>
      <c r="D232" t="s">
        <v>23</v>
      </c>
      <c r="E232" t="s">
        <v>38</v>
      </c>
      <c r="F232">
        <v>2</v>
      </c>
      <c r="G232" t="s">
        <v>50</v>
      </c>
      <c r="H232" t="s">
        <v>26</v>
      </c>
      <c r="I232" t="s">
        <v>29</v>
      </c>
      <c r="J232" t="s">
        <v>28</v>
      </c>
      <c r="K232" t="s">
        <v>27</v>
      </c>
      <c r="L232" t="s">
        <v>46</v>
      </c>
      <c r="M232" t="s">
        <v>31</v>
      </c>
      <c r="N232" t="s">
        <v>32</v>
      </c>
      <c r="O232">
        <v>3212</v>
      </c>
      <c r="P232">
        <v>7</v>
      </c>
      <c r="Q232" t="s">
        <v>36</v>
      </c>
      <c r="R232">
        <v>15</v>
      </c>
      <c r="S232" t="s">
        <v>33</v>
      </c>
      <c r="T232" t="s">
        <v>27</v>
      </c>
      <c r="U232">
        <v>3</v>
      </c>
      <c r="V232" t="s">
        <v>49</v>
      </c>
      <c r="W232" t="str">
        <f>IF(HR_Data[[#This Row],[age]]&lt;25,"Under 25",IF(HR_Data[[#This Row],[age]]&lt;35,"25-34",IF(HR_Data[[#This Row],[age]]&lt;45,"35-44",IF(HR_Data[[#This Row],[age]]&lt;55,"45-54","55+"))))</f>
        <v>45-54</v>
      </c>
      <c r="X232" t="str">
        <f t="shared" si="3"/>
        <v>3,000-4,999</v>
      </c>
    </row>
    <row r="233" spans="1:24" x14ac:dyDescent="0.3">
      <c r="A233">
        <v>319</v>
      </c>
      <c r="B233">
        <v>42</v>
      </c>
      <c r="C233" t="s">
        <v>36</v>
      </c>
      <c r="D233" t="s">
        <v>23</v>
      </c>
      <c r="E233" t="s">
        <v>38</v>
      </c>
      <c r="F233">
        <v>4</v>
      </c>
      <c r="G233" t="s">
        <v>25</v>
      </c>
      <c r="H233" t="s">
        <v>60</v>
      </c>
      <c r="I233" t="s">
        <v>29</v>
      </c>
      <c r="J233" t="s">
        <v>40</v>
      </c>
      <c r="K233" t="s">
        <v>29</v>
      </c>
      <c r="L233" t="s">
        <v>55</v>
      </c>
      <c r="M233" t="s">
        <v>31</v>
      </c>
      <c r="N233" t="s">
        <v>42</v>
      </c>
      <c r="O233">
        <v>19232</v>
      </c>
      <c r="P233">
        <v>1</v>
      </c>
      <c r="Q233" t="s">
        <v>36</v>
      </c>
      <c r="R233">
        <v>11</v>
      </c>
      <c r="S233" t="s">
        <v>33</v>
      </c>
      <c r="T233" t="s">
        <v>31</v>
      </c>
      <c r="U233">
        <v>3</v>
      </c>
      <c r="V233" t="s">
        <v>44</v>
      </c>
      <c r="W233" t="str">
        <f>IF(HR_Data[[#This Row],[age]]&lt;25,"Under 25",IF(HR_Data[[#This Row],[age]]&lt;35,"25-34",IF(HR_Data[[#This Row],[age]]&lt;45,"35-44",IF(HR_Data[[#This Row],[age]]&lt;55,"45-54","55+"))))</f>
        <v>35-44</v>
      </c>
      <c r="X233" t="str">
        <f t="shared" si="3"/>
        <v>8,000+</v>
      </c>
    </row>
    <row r="234" spans="1:24" x14ac:dyDescent="0.3">
      <c r="A234">
        <v>321</v>
      </c>
      <c r="B234">
        <v>59</v>
      </c>
      <c r="C234" t="s">
        <v>36</v>
      </c>
      <c r="D234" t="s">
        <v>23</v>
      </c>
      <c r="E234" t="s">
        <v>62</v>
      </c>
      <c r="F234">
        <v>6</v>
      </c>
      <c r="G234" t="s">
        <v>25</v>
      </c>
      <c r="H234" t="s">
        <v>48</v>
      </c>
      <c r="I234" t="s">
        <v>27</v>
      </c>
      <c r="J234" t="s">
        <v>40</v>
      </c>
      <c r="K234" t="s">
        <v>29</v>
      </c>
      <c r="L234" t="s">
        <v>62</v>
      </c>
      <c r="M234" t="s">
        <v>29</v>
      </c>
      <c r="N234" t="s">
        <v>42</v>
      </c>
      <c r="O234">
        <v>2267</v>
      </c>
      <c r="P234">
        <v>8</v>
      </c>
      <c r="Q234" t="s">
        <v>36</v>
      </c>
      <c r="R234">
        <v>17</v>
      </c>
      <c r="S234" t="s">
        <v>33</v>
      </c>
      <c r="T234" t="s">
        <v>31</v>
      </c>
      <c r="U234">
        <v>2</v>
      </c>
      <c r="V234" t="s">
        <v>49</v>
      </c>
      <c r="W234" t="str">
        <f>IF(HR_Data[[#This Row],[age]]&lt;25,"Under 25",IF(HR_Data[[#This Row],[age]]&lt;35,"25-34",IF(HR_Data[[#This Row],[age]]&lt;45,"35-44",IF(HR_Data[[#This Row],[age]]&lt;55,"45-54","55+"))))</f>
        <v>55+</v>
      </c>
      <c r="X234" t="str">
        <f t="shared" si="3"/>
        <v>Below 3,000</v>
      </c>
    </row>
    <row r="235" spans="1:24" x14ac:dyDescent="0.3">
      <c r="A235">
        <v>323</v>
      </c>
      <c r="B235">
        <v>50</v>
      </c>
      <c r="C235" t="s">
        <v>36</v>
      </c>
      <c r="D235" t="s">
        <v>23</v>
      </c>
      <c r="E235" t="s">
        <v>24</v>
      </c>
      <c r="F235">
        <v>1</v>
      </c>
      <c r="G235" t="s">
        <v>47</v>
      </c>
      <c r="H235" t="s">
        <v>48</v>
      </c>
      <c r="I235" t="s">
        <v>31</v>
      </c>
      <c r="J235" t="s">
        <v>28</v>
      </c>
      <c r="K235" t="s">
        <v>29</v>
      </c>
      <c r="L235" t="s">
        <v>55</v>
      </c>
      <c r="M235" t="s">
        <v>31</v>
      </c>
      <c r="N235" t="s">
        <v>51</v>
      </c>
      <c r="O235">
        <v>19517</v>
      </c>
      <c r="P235">
        <v>3</v>
      </c>
      <c r="Q235" t="s">
        <v>36</v>
      </c>
      <c r="R235">
        <v>11</v>
      </c>
      <c r="S235" t="s">
        <v>33</v>
      </c>
      <c r="T235" t="s">
        <v>29</v>
      </c>
      <c r="U235">
        <v>3</v>
      </c>
      <c r="V235" t="s">
        <v>49</v>
      </c>
      <c r="W235" t="str">
        <f>IF(HR_Data[[#This Row],[age]]&lt;25,"Under 25",IF(HR_Data[[#This Row],[age]]&lt;35,"25-34",IF(HR_Data[[#This Row],[age]]&lt;45,"35-44",IF(HR_Data[[#This Row],[age]]&lt;55,"45-54","55+"))))</f>
        <v>45-54</v>
      </c>
      <c r="X235" t="str">
        <f t="shared" si="3"/>
        <v>8,000+</v>
      </c>
    </row>
    <row r="236" spans="1:24" x14ac:dyDescent="0.3">
      <c r="A236">
        <v>325</v>
      </c>
      <c r="B236">
        <v>33</v>
      </c>
      <c r="C236" t="s">
        <v>22</v>
      </c>
      <c r="D236" t="s">
        <v>23</v>
      </c>
      <c r="E236" t="s">
        <v>38</v>
      </c>
      <c r="F236">
        <v>14</v>
      </c>
      <c r="G236" t="s">
        <v>50</v>
      </c>
      <c r="H236" t="s">
        <v>48</v>
      </c>
      <c r="I236" t="s">
        <v>29</v>
      </c>
      <c r="J236" t="s">
        <v>40</v>
      </c>
      <c r="K236" t="s">
        <v>29</v>
      </c>
      <c r="L236" t="s">
        <v>46</v>
      </c>
      <c r="M236" t="s">
        <v>31</v>
      </c>
      <c r="N236" t="s">
        <v>42</v>
      </c>
      <c r="O236">
        <v>2436</v>
      </c>
      <c r="P236">
        <v>5</v>
      </c>
      <c r="Q236" t="s">
        <v>22</v>
      </c>
      <c r="R236">
        <v>13</v>
      </c>
      <c r="S236" t="s">
        <v>33</v>
      </c>
      <c r="T236" t="s">
        <v>29</v>
      </c>
      <c r="U236">
        <v>2</v>
      </c>
      <c r="V236" t="s">
        <v>35</v>
      </c>
      <c r="W236" t="str">
        <f>IF(HR_Data[[#This Row],[age]]&lt;25,"Under 25",IF(HR_Data[[#This Row],[age]]&lt;35,"25-34",IF(HR_Data[[#This Row],[age]]&lt;45,"35-44",IF(HR_Data[[#This Row],[age]]&lt;55,"45-54","55+"))))</f>
        <v>25-34</v>
      </c>
      <c r="X236" t="str">
        <f t="shared" si="3"/>
        <v>Below 3,000</v>
      </c>
    </row>
    <row r="237" spans="1:24" x14ac:dyDescent="0.3">
      <c r="A237">
        <v>327</v>
      </c>
      <c r="B237">
        <v>43</v>
      </c>
      <c r="C237" t="s">
        <v>36</v>
      </c>
      <c r="D237" t="s">
        <v>23</v>
      </c>
      <c r="E237" t="s">
        <v>24</v>
      </c>
      <c r="F237">
        <v>16</v>
      </c>
      <c r="G237" t="s">
        <v>50</v>
      </c>
      <c r="H237" t="s">
        <v>58</v>
      </c>
      <c r="I237" t="s">
        <v>31</v>
      </c>
      <c r="J237" t="s">
        <v>28</v>
      </c>
      <c r="K237" t="s">
        <v>29</v>
      </c>
      <c r="L237" t="s">
        <v>55</v>
      </c>
      <c r="M237" t="s">
        <v>31</v>
      </c>
      <c r="N237" t="s">
        <v>42</v>
      </c>
      <c r="O237">
        <v>16064</v>
      </c>
      <c r="P237">
        <v>5</v>
      </c>
      <c r="Q237" t="s">
        <v>22</v>
      </c>
      <c r="R237">
        <v>22</v>
      </c>
      <c r="S237" t="s">
        <v>43</v>
      </c>
      <c r="T237" t="s">
        <v>29</v>
      </c>
      <c r="U237">
        <v>3</v>
      </c>
      <c r="V237" t="s">
        <v>44</v>
      </c>
      <c r="W237" t="str">
        <f>IF(HR_Data[[#This Row],[age]]&lt;25,"Under 25",IF(HR_Data[[#This Row],[age]]&lt;35,"25-34",IF(HR_Data[[#This Row],[age]]&lt;45,"35-44",IF(HR_Data[[#This Row],[age]]&lt;55,"45-54","55+"))))</f>
        <v>35-44</v>
      </c>
      <c r="X237" t="str">
        <f t="shared" si="3"/>
        <v>8,000+</v>
      </c>
    </row>
    <row r="238" spans="1:24" x14ac:dyDescent="0.3">
      <c r="A238">
        <v>328</v>
      </c>
      <c r="B238">
        <v>33</v>
      </c>
      <c r="C238" t="s">
        <v>22</v>
      </c>
      <c r="D238" t="s">
        <v>23</v>
      </c>
      <c r="E238" t="s">
        <v>38</v>
      </c>
      <c r="F238">
        <v>2</v>
      </c>
      <c r="G238" t="s">
        <v>25</v>
      </c>
      <c r="H238" t="s">
        <v>26</v>
      </c>
      <c r="I238" t="s">
        <v>34</v>
      </c>
      <c r="J238" t="s">
        <v>28</v>
      </c>
      <c r="K238" t="s">
        <v>29</v>
      </c>
      <c r="L238" t="s">
        <v>46</v>
      </c>
      <c r="M238" t="s">
        <v>34</v>
      </c>
      <c r="N238" t="s">
        <v>42</v>
      </c>
      <c r="O238">
        <v>2707</v>
      </c>
      <c r="P238">
        <v>7</v>
      </c>
      <c r="Q238" t="s">
        <v>36</v>
      </c>
      <c r="R238">
        <v>20</v>
      </c>
      <c r="S238" t="s">
        <v>43</v>
      </c>
      <c r="T238" t="s">
        <v>34</v>
      </c>
      <c r="U238">
        <v>3</v>
      </c>
      <c r="V238" t="s">
        <v>59</v>
      </c>
      <c r="W238" t="str">
        <f>IF(HR_Data[[#This Row],[age]]&lt;25,"Under 25",IF(HR_Data[[#This Row],[age]]&lt;35,"25-34",IF(HR_Data[[#This Row],[age]]&lt;45,"35-44",IF(HR_Data[[#This Row],[age]]&lt;55,"45-54","55+"))))</f>
        <v>25-34</v>
      </c>
      <c r="X238" t="str">
        <f t="shared" si="3"/>
        <v>Below 3,000</v>
      </c>
    </row>
    <row r="239" spans="1:24" x14ac:dyDescent="0.3">
      <c r="A239">
        <v>329</v>
      </c>
      <c r="B239">
        <v>52</v>
      </c>
      <c r="C239" t="s">
        <v>36</v>
      </c>
      <c r="D239" t="s">
        <v>54</v>
      </c>
      <c r="E239" t="s">
        <v>24</v>
      </c>
      <c r="F239">
        <v>2</v>
      </c>
      <c r="G239" t="s">
        <v>47</v>
      </c>
      <c r="H239" t="s">
        <v>26</v>
      </c>
      <c r="I239" t="s">
        <v>34</v>
      </c>
      <c r="J239" t="s">
        <v>40</v>
      </c>
      <c r="K239" t="s">
        <v>27</v>
      </c>
      <c r="L239" t="s">
        <v>55</v>
      </c>
      <c r="M239" t="s">
        <v>29</v>
      </c>
      <c r="N239" t="s">
        <v>32</v>
      </c>
      <c r="O239">
        <v>19068</v>
      </c>
      <c r="P239">
        <v>1</v>
      </c>
      <c r="Q239" t="s">
        <v>22</v>
      </c>
      <c r="R239">
        <v>18</v>
      </c>
      <c r="S239" t="s">
        <v>33</v>
      </c>
      <c r="T239" t="s">
        <v>31</v>
      </c>
      <c r="U239">
        <v>2</v>
      </c>
      <c r="V239" t="s">
        <v>59</v>
      </c>
      <c r="W239" t="str">
        <f>IF(HR_Data[[#This Row],[age]]&lt;25,"Under 25",IF(HR_Data[[#This Row],[age]]&lt;35,"25-34",IF(HR_Data[[#This Row],[age]]&lt;45,"35-44",IF(HR_Data[[#This Row],[age]]&lt;55,"45-54","55+"))))</f>
        <v>45-54</v>
      </c>
      <c r="X239" t="str">
        <f t="shared" si="3"/>
        <v>8,000+</v>
      </c>
    </row>
    <row r="240" spans="1:24" x14ac:dyDescent="0.3">
      <c r="A240">
        <v>330</v>
      </c>
      <c r="B240">
        <v>32</v>
      </c>
      <c r="C240" t="s">
        <v>36</v>
      </c>
      <c r="D240" t="s">
        <v>23</v>
      </c>
      <c r="E240" t="s">
        <v>24</v>
      </c>
      <c r="F240">
        <v>4</v>
      </c>
      <c r="G240" t="s">
        <v>25</v>
      </c>
      <c r="H240" t="s">
        <v>26</v>
      </c>
      <c r="I240" t="s">
        <v>29</v>
      </c>
      <c r="J240" t="s">
        <v>28</v>
      </c>
      <c r="K240" t="s">
        <v>29</v>
      </c>
      <c r="L240" t="s">
        <v>56</v>
      </c>
      <c r="M240" t="s">
        <v>27</v>
      </c>
      <c r="N240" t="s">
        <v>42</v>
      </c>
      <c r="O240">
        <v>3931</v>
      </c>
      <c r="P240">
        <v>2</v>
      </c>
      <c r="Q240" t="s">
        <v>36</v>
      </c>
      <c r="R240">
        <v>11</v>
      </c>
      <c r="S240" t="s">
        <v>33</v>
      </c>
      <c r="T240" t="s">
        <v>34</v>
      </c>
      <c r="U240">
        <v>5</v>
      </c>
      <c r="V240" t="s">
        <v>44</v>
      </c>
      <c r="W240" t="str">
        <f>IF(HR_Data[[#This Row],[age]]&lt;25,"Under 25",IF(HR_Data[[#This Row],[age]]&lt;35,"25-34",IF(HR_Data[[#This Row],[age]]&lt;45,"35-44",IF(HR_Data[[#This Row],[age]]&lt;55,"45-54","55+"))))</f>
        <v>25-34</v>
      </c>
      <c r="X240" t="str">
        <f t="shared" si="3"/>
        <v>3,000-4,999</v>
      </c>
    </row>
    <row r="241" spans="1:24" x14ac:dyDescent="0.3">
      <c r="A241">
        <v>331</v>
      </c>
      <c r="B241">
        <v>32</v>
      </c>
      <c r="C241" t="s">
        <v>22</v>
      </c>
      <c r="D241" t="s">
        <v>23</v>
      </c>
      <c r="E241" t="s">
        <v>38</v>
      </c>
      <c r="F241">
        <v>1</v>
      </c>
      <c r="G241" t="s">
        <v>50</v>
      </c>
      <c r="H241" t="s">
        <v>26</v>
      </c>
      <c r="I241" t="s">
        <v>31</v>
      </c>
      <c r="J241" t="s">
        <v>40</v>
      </c>
      <c r="K241" t="s">
        <v>27</v>
      </c>
      <c r="L241" t="s">
        <v>46</v>
      </c>
      <c r="M241" t="s">
        <v>29</v>
      </c>
      <c r="N241" t="s">
        <v>32</v>
      </c>
      <c r="O241">
        <v>3730</v>
      </c>
      <c r="P241">
        <v>0</v>
      </c>
      <c r="Q241" t="s">
        <v>22</v>
      </c>
      <c r="R241">
        <v>14</v>
      </c>
      <c r="S241" t="s">
        <v>33</v>
      </c>
      <c r="T241" t="s">
        <v>31</v>
      </c>
      <c r="U241">
        <v>2</v>
      </c>
      <c r="V241" t="s">
        <v>35</v>
      </c>
      <c r="W241" t="str">
        <f>IF(HR_Data[[#This Row],[age]]&lt;25,"Under 25",IF(HR_Data[[#This Row],[age]]&lt;35,"25-34",IF(HR_Data[[#This Row],[age]]&lt;45,"35-44",IF(HR_Data[[#This Row],[age]]&lt;55,"45-54","55+"))))</f>
        <v>25-34</v>
      </c>
      <c r="X241" t="str">
        <f t="shared" si="3"/>
        <v>3,000-4,999</v>
      </c>
    </row>
    <row r="242" spans="1:24" x14ac:dyDescent="0.3">
      <c r="A242">
        <v>332</v>
      </c>
      <c r="B242">
        <v>39</v>
      </c>
      <c r="C242" t="s">
        <v>36</v>
      </c>
      <c r="D242" t="s">
        <v>23</v>
      </c>
      <c r="E242" t="s">
        <v>38</v>
      </c>
      <c r="F242">
        <v>1</v>
      </c>
      <c r="G242" t="s">
        <v>47</v>
      </c>
      <c r="H242" t="s">
        <v>48</v>
      </c>
      <c r="I242" t="s">
        <v>29</v>
      </c>
      <c r="J242" t="s">
        <v>28</v>
      </c>
      <c r="K242" t="s">
        <v>29</v>
      </c>
      <c r="L242" t="s">
        <v>46</v>
      </c>
      <c r="M242" t="s">
        <v>29</v>
      </c>
      <c r="N242" t="s">
        <v>51</v>
      </c>
      <c r="O242">
        <v>2232</v>
      </c>
      <c r="P242">
        <v>7</v>
      </c>
      <c r="Q242" t="s">
        <v>36</v>
      </c>
      <c r="R242">
        <v>14</v>
      </c>
      <c r="S242" t="s">
        <v>33</v>
      </c>
      <c r="T242" t="s">
        <v>29</v>
      </c>
      <c r="U242">
        <v>1</v>
      </c>
      <c r="V242" t="s">
        <v>44</v>
      </c>
      <c r="W242" t="str">
        <f>IF(HR_Data[[#This Row],[age]]&lt;25,"Under 25",IF(HR_Data[[#This Row],[age]]&lt;35,"25-34",IF(HR_Data[[#This Row],[age]]&lt;45,"35-44",IF(HR_Data[[#This Row],[age]]&lt;55,"45-54","55+"))))</f>
        <v>35-44</v>
      </c>
      <c r="X242" t="str">
        <f t="shared" si="3"/>
        <v>Below 3,000</v>
      </c>
    </row>
    <row r="243" spans="1:24" x14ac:dyDescent="0.3">
      <c r="A243">
        <v>333</v>
      </c>
      <c r="B243">
        <v>32</v>
      </c>
      <c r="C243" t="s">
        <v>36</v>
      </c>
      <c r="D243" t="s">
        <v>54</v>
      </c>
      <c r="E243" t="s">
        <v>24</v>
      </c>
      <c r="F243">
        <v>26</v>
      </c>
      <c r="G243" t="s">
        <v>47</v>
      </c>
      <c r="H243" t="s">
        <v>58</v>
      </c>
      <c r="I243" t="s">
        <v>29</v>
      </c>
      <c r="J243" t="s">
        <v>40</v>
      </c>
      <c r="K243" t="s">
        <v>29</v>
      </c>
      <c r="L243" t="s">
        <v>30</v>
      </c>
      <c r="M243" t="s">
        <v>31</v>
      </c>
      <c r="N243" t="s">
        <v>42</v>
      </c>
      <c r="O243">
        <v>4465</v>
      </c>
      <c r="P243">
        <v>0</v>
      </c>
      <c r="Q243" t="s">
        <v>36</v>
      </c>
      <c r="R243">
        <v>18</v>
      </c>
      <c r="S243" t="s">
        <v>33</v>
      </c>
      <c r="T243" t="s">
        <v>34</v>
      </c>
      <c r="U243">
        <v>2</v>
      </c>
      <c r="V243" t="s">
        <v>44</v>
      </c>
      <c r="W243" t="str">
        <f>IF(HR_Data[[#This Row],[age]]&lt;25,"Under 25",IF(HR_Data[[#This Row],[age]]&lt;35,"25-34",IF(HR_Data[[#This Row],[age]]&lt;45,"35-44",IF(HR_Data[[#This Row],[age]]&lt;55,"45-54","55+"))))</f>
        <v>25-34</v>
      </c>
      <c r="X243" t="str">
        <f t="shared" si="3"/>
        <v>3,000-4,999</v>
      </c>
    </row>
    <row r="244" spans="1:24" x14ac:dyDescent="0.3">
      <c r="A244">
        <v>334</v>
      </c>
      <c r="B244">
        <v>41</v>
      </c>
      <c r="C244" t="s">
        <v>36</v>
      </c>
      <c r="D244" t="s">
        <v>23</v>
      </c>
      <c r="E244" t="s">
        <v>38</v>
      </c>
      <c r="F244">
        <v>19</v>
      </c>
      <c r="G244" t="s">
        <v>25</v>
      </c>
      <c r="H244" t="s">
        <v>26</v>
      </c>
      <c r="I244" t="s">
        <v>29</v>
      </c>
      <c r="J244" t="s">
        <v>40</v>
      </c>
      <c r="K244" t="s">
        <v>29</v>
      </c>
      <c r="L244" t="s">
        <v>41</v>
      </c>
      <c r="M244" t="s">
        <v>34</v>
      </c>
      <c r="N244" t="s">
        <v>51</v>
      </c>
      <c r="O244">
        <v>3072</v>
      </c>
      <c r="P244">
        <v>2</v>
      </c>
      <c r="Q244" t="s">
        <v>36</v>
      </c>
      <c r="R244">
        <v>16</v>
      </c>
      <c r="S244" t="s">
        <v>33</v>
      </c>
      <c r="T244" t="s">
        <v>34</v>
      </c>
      <c r="U244">
        <v>2</v>
      </c>
      <c r="V244" t="s">
        <v>49</v>
      </c>
      <c r="W244" t="str">
        <f>IF(HR_Data[[#This Row],[age]]&lt;25,"Under 25",IF(HR_Data[[#This Row],[age]]&lt;35,"25-34",IF(HR_Data[[#This Row],[age]]&lt;45,"35-44",IF(HR_Data[[#This Row],[age]]&lt;55,"45-54","55+"))))</f>
        <v>35-44</v>
      </c>
      <c r="X244" t="str">
        <f t="shared" si="3"/>
        <v>3,000-4,999</v>
      </c>
    </row>
    <row r="245" spans="1:24" x14ac:dyDescent="0.3">
      <c r="A245">
        <v>335</v>
      </c>
      <c r="B245">
        <v>40</v>
      </c>
      <c r="C245" t="s">
        <v>36</v>
      </c>
      <c r="D245" t="s">
        <v>23</v>
      </c>
      <c r="E245" t="s">
        <v>38</v>
      </c>
      <c r="F245">
        <v>24</v>
      </c>
      <c r="G245" t="s">
        <v>25</v>
      </c>
      <c r="H245" t="s">
        <v>60</v>
      </c>
      <c r="I245" t="s">
        <v>34</v>
      </c>
      <c r="J245" t="s">
        <v>40</v>
      </c>
      <c r="K245" t="s">
        <v>29</v>
      </c>
      <c r="L245" t="s">
        <v>41</v>
      </c>
      <c r="M245" t="s">
        <v>31</v>
      </c>
      <c r="N245" t="s">
        <v>51</v>
      </c>
      <c r="O245">
        <v>3319</v>
      </c>
      <c r="P245">
        <v>1</v>
      </c>
      <c r="Q245" t="s">
        <v>36</v>
      </c>
      <c r="R245">
        <v>17</v>
      </c>
      <c r="S245" t="s">
        <v>33</v>
      </c>
      <c r="T245" t="s">
        <v>34</v>
      </c>
      <c r="U245">
        <v>3</v>
      </c>
      <c r="V245" t="s">
        <v>44</v>
      </c>
      <c r="W245" t="str">
        <f>IF(HR_Data[[#This Row],[age]]&lt;25,"Under 25",IF(HR_Data[[#This Row],[age]]&lt;35,"25-34",IF(HR_Data[[#This Row],[age]]&lt;45,"35-44",IF(HR_Data[[#This Row],[age]]&lt;55,"45-54","55+"))))</f>
        <v>35-44</v>
      </c>
      <c r="X245" t="str">
        <f t="shared" si="3"/>
        <v>3,000-4,999</v>
      </c>
    </row>
    <row r="246" spans="1:24" x14ac:dyDescent="0.3">
      <c r="A246">
        <v>336</v>
      </c>
      <c r="B246">
        <v>45</v>
      </c>
      <c r="C246" t="s">
        <v>36</v>
      </c>
      <c r="D246" t="s">
        <v>23</v>
      </c>
      <c r="E246" t="s">
        <v>38</v>
      </c>
      <c r="F246">
        <v>1</v>
      </c>
      <c r="G246" t="s">
        <v>50</v>
      </c>
      <c r="H246" t="s">
        <v>45</v>
      </c>
      <c r="I246" t="s">
        <v>29</v>
      </c>
      <c r="J246" t="s">
        <v>40</v>
      </c>
      <c r="K246" t="s">
        <v>31</v>
      </c>
      <c r="L246" t="s">
        <v>55</v>
      </c>
      <c r="M246" t="s">
        <v>31</v>
      </c>
      <c r="N246" t="s">
        <v>42</v>
      </c>
      <c r="O246">
        <v>19202</v>
      </c>
      <c r="P246">
        <v>0</v>
      </c>
      <c r="Q246" t="s">
        <v>36</v>
      </c>
      <c r="R246">
        <v>11</v>
      </c>
      <c r="S246" t="s">
        <v>33</v>
      </c>
      <c r="T246" t="s">
        <v>29</v>
      </c>
      <c r="U246">
        <v>2</v>
      </c>
      <c r="V246" t="s">
        <v>44</v>
      </c>
      <c r="W246" t="str">
        <f>IF(HR_Data[[#This Row],[age]]&lt;25,"Under 25",IF(HR_Data[[#This Row],[age]]&lt;35,"25-34",IF(HR_Data[[#This Row],[age]]&lt;45,"35-44",IF(HR_Data[[#This Row],[age]]&lt;55,"45-54","55+"))))</f>
        <v>45-54</v>
      </c>
      <c r="X246" t="str">
        <f t="shared" si="3"/>
        <v>8,000+</v>
      </c>
    </row>
    <row r="247" spans="1:24" x14ac:dyDescent="0.3">
      <c r="A247">
        <v>337</v>
      </c>
      <c r="B247">
        <v>31</v>
      </c>
      <c r="C247" t="s">
        <v>36</v>
      </c>
      <c r="D247" t="s">
        <v>37</v>
      </c>
      <c r="E247" t="s">
        <v>38</v>
      </c>
      <c r="F247">
        <v>3</v>
      </c>
      <c r="G247" t="s">
        <v>47</v>
      </c>
      <c r="H247" t="s">
        <v>48</v>
      </c>
      <c r="I247" t="s">
        <v>27</v>
      </c>
      <c r="J247" t="s">
        <v>40</v>
      </c>
      <c r="K247" t="s">
        <v>29</v>
      </c>
      <c r="L247" t="s">
        <v>57</v>
      </c>
      <c r="M247" t="s">
        <v>29</v>
      </c>
      <c r="N247" t="s">
        <v>51</v>
      </c>
      <c r="O247">
        <v>13675</v>
      </c>
      <c r="P247">
        <v>9</v>
      </c>
      <c r="Q247" t="s">
        <v>36</v>
      </c>
      <c r="R247">
        <v>12</v>
      </c>
      <c r="S247" t="s">
        <v>33</v>
      </c>
      <c r="T247" t="s">
        <v>34</v>
      </c>
      <c r="U247">
        <v>3</v>
      </c>
      <c r="V247" t="s">
        <v>44</v>
      </c>
      <c r="W247" t="str">
        <f>IF(HR_Data[[#This Row],[age]]&lt;25,"Under 25",IF(HR_Data[[#This Row],[age]]&lt;35,"25-34",IF(HR_Data[[#This Row],[age]]&lt;45,"35-44",IF(HR_Data[[#This Row],[age]]&lt;55,"45-54","55+"))))</f>
        <v>25-34</v>
      </c>
      <c r="X247" t="str">
        <f t="shared" si="3"/>
        <v>8,000+</v>
      </c>
    </row>
    <row r="248" spans="1:24" x14ac:dyDescent="0.3">
      <c r="A248">
        <v>338</v>
      </c>
      <c r="B248">
        <v>33</v>
      </c>
      <c r="C248" t="s">
        <v>36</v>
      </c>
      <c r="D248" t="s">
        <v>23</v>
      </c>
      <c r="E248" t="s">
        <v>38</v>
      </c>
      <c r="F248">
        <v>5</v>
      </c>
      <c r="G248" t="s">
        <v>47</v>
      </c>
      <c r="H248" t="s">
        <v>26</v>
      </c>
      <c r="I248" t="s">
        <v>29</v>
      </c>
      <c r="J248" t="s">
        <v>28</v>
      </c>
      <c r="K248" t="s">
        <v>27</v>
      </c>
      <c r="L248" t="s">
        <v>41</v>
      </c>
      <c r="M248" t="s">
        <v>31</v>
      </c>
      <c r="N248" t="s">
        <v>42</v>
      </c>
      <c r="O248">
        <v>2911</v>
      </c>
      <c r="P248">
        <v>1</v>
      </c>
      <c r="Q248" t="s">
        <v>36</v>
      </c>
      <c r="R248">
        <v>13</v>
      </c>
      <c r="S248" t="s">
        <v>33</v>
      </c>
      <c r="T248" t="s">
        <v>29</v>
      </c>
      <c r="U248">
        <v>2</v>
      </c>
      <c r="V248" t="s">
        <v>49</v>
      </c>
      <c r="W248" t="str">
        <f>IF(HR_Data[[#This Row],[age]]&lt;25,"Under 25",IF(HR_Data[[#This Row],[age]]&lt;35,"25-34",IF(HR_Data[[#This Row],[age]]&lt;45,"35-44",IF(HR_Data[[#This Row],[age]]&lt;55,"45-54","55+"))))</f>
        <v>25-34</v>
      </c>
      <c r="X248" t="str">
        <f t="shared" si="3"/>
        <v>Below 3,000</v>
      </c>
    </row>
    <row r="249" spans="1:24" x14ac:dyDescent="0.3">
      <c r="A249">
        <v>339</v>
      </c>
      <c r="B249">
        <v>34</v>
      </c>
      <c r="C249" t="s">
        <v>36</v>
      </c>
      <c r="D249" t="s">
        <v>23</v>
      </c>
      <c r="E249" t="s">
        <v>38</v>
      </c>
      <c r="F249">
        <v>2</v>
      </c>
      <c r="G249" t="s">
        <v>47</v>
      </c>
      <c r="H249" t="s">
        <v>26</v>
      </c>
      <c r="I249" t="s">
        <v>31</v>
      </c>
      <c r="J249" t="s">
        <v>40</v>
      </c>
      <c r="K249" t="s">
        <v>27</v>
      </c>
      <c r="L249" t="s">
        <v>52</v>
      </c>
      <c r="M249" t="s">
        <v>34</v>
      </c>
      <c r="N249" t="s">
        <v>42</v>
      </c>
      <c r="O249">
        <v>5957</v>
      </c>
      <c r="P249">
        <v>6</v>
      </c>
      <c r="Q249" t="s">
        <v>36</v>
      </c>
      <c r="R249">
        <v>13</v>
      </c>
      <c r="S249" t="s">
        <v>33</v>
      </c>
      <c r="T249" t="s">
        <v>27</v>
      </c>
      <c r="U249">
        <v>3</v>
      </c>
      <c r="V249" t="s">
        <v>44</v>
      </c>
      <c r="W249" t="str">
        <f>IF(HR_Data[[#This Row],[age]]&lt;25,"Under 25",IF(HR_Data[[#This Row],[age]]&lt;35,"25-34",IF(HR_Data[[#This Row],[age]]&lt;45,"35-44",IF(HR_Data[[#This Row],[age]]&lt;55,"45-54","55+"))))</f>
        <v>25-34</v>
      </c>
      <c r="X249" t="str">
        <f t="shared" si="3"/>
        <v>5,000-7,999</v>
      </c>
    </row>
    <row r="250" spans="1:24" x14ac:dyDescent="0.3">
      <c r="A250">
        <v>340</v>
      </c>
      <c r="B250">
        <v>37</v>
      </c>
      <c r="C250" t="s">
        <v>36</v>
      </c>
      <c r="D250" t="s">
        <v>23</v>
      </c>
      <c r="E250" t="s">
        <v>38</v>
      </c>
      <c r="F250">
        <v>1</v>
      </c>
      <c r="G250" t="s">
        <v>25</v>
      </c>
      <c r="H250" t="s">
        <v>48</v>
      </c>
      <c r="I250" t="s">
        <v>29</v>
      </c>
      <c r="J250" t="s">
        <v>28</v>
      </c>
      <c r="K250" t="s">
        <v>27</v>
      </c>
      <c r="L250" t="s">
        <v>41</v>
      </c>
      <c r="M250" t="s">
        <v>34</v>
      </c>
      <c r="N250" t="s">
        <v>42</v>
      </c>
      <c r="O250">
        <v>3920</v>
      </c>
      <c r="P250">
        <v>2</v>
      </c>
      <c r="Q250" t="s">
        <v>36</v>
      </c>
      <c r="R250">
        <v>14</v>
      </c>
      <c r="S250" t="s">
        <v>33</v>
      </c>
      <c r="T250" t="s">
        <v>34</v>
      </c>
      <c r="U250">
        <v>2</v>
      </c>
      <c r="V250" t="s">
        <v>49</v>
      </c>
      <c r="W250" t="str">
        <f>IF(HR_Data[[#This Row],[age]]&lt;25,"Under 25",IF(HR_Data[[#This Row],[age]]&lt;35,"25-34",IF(HR_Data[[#This Row],[age]]&lt;45,"35-44",IF(HR_Data[[#This Row],[age]]&lt;55,"45-54","55+"))))</f>
        <v>35-44</v>
      </c>
      <c r="X250" t="str">
        <f t="shared" si="3"/>
        <v>3,000-4,999</v>
      </c>
    </row>
    <row r="251" spans="1:24" x14ac:dyDescent="0.3">
      <c r="A251">
        <v>341</v>
      </c>
      <c r="B251">
        <v>45</v>
      </c>
      <c r="C251" t="s">
        <v>36</v>
      </c>
      <c r="D251" t="s">
        <v>37</v>
      </c>
      <c r="E251" t="s">
        <v>38</v>
      </c>
      <c r="F251">
        <v>7</v>
      </c>
      <c r="G251" t="s">
        <v>47</v>
      </c>
      <c r="H251" t="s">
        <v>26</v>
      </c>
      <c r="I251" t="s">
        <v>34</v>
      </c>
      <c r="J251" t="s">
        <v>40</v>
      </c>
      <c r="K251" t="s">
        <v>31</v>
      </c>
      <c r="L251" t="s">
        <v>52</v>
      </c>
      <c r="M251" t="s">
        <v>29</v>
      </c>
      <c r="N251" t="s">
        <v>42</v>
      </c>
      <c r="O251">
        <v>6434</v>
      </c>
      <c r="P251">
        <v>4</v>
      </c>
      <c r="Q251" t="s">
        <v>36</v>
      </c>
      <c r="R251">
        <v>17</v>
      </c>
      <c r="S251" t="s">
        <v>33</v>
      </c>
      <c r="T251" t="s">
        <v>31</v>
      </c>
      <c r="U251">
        <v>1</v>
      </c>
      <c r="V251" t="s">
        <v>44</v>
      </c>
      <c r="W251" t="str">
        <f>IF(HR_Data[[#This Row],[age]]&lt;25,"Under 25",IF(HR_Data[[#This Row],[age]]&lt;35,"25-34",IF(HR_Data[[#This Row],[age]]&lt;45,"35-44",IF(HR_Data[[#This Row],[age]]&lt;55,"45-54","55+"))))</f>
        <v>45-54</v>
      </c>
      <c r="X251" t="str">
        <f t="shared" si="3"/>
        <v>5,000-7,999</v>
      </c>
    </row>
    <row r="252" spans="1:24" x14ac:dyDescent="0.3">
      <c r="A252">
        <v>342</v>
      </c>
      <c r="B252">
        <v>37</v>
      </c>
      <c r="C252" t="s">
        <v>22</v>
      </c>
      <c r="D252" t="s">
        <v>37</v>
      </c>
      <c r="E252" t="s">
        <v>38</v>
      </c>
      <c r="F252">
        <v>10</v>
      </c>
      <c r="G252" t="s">
        <v>50</v>
      </c>
      <c r="H252" t="s">
        <v>48</v>
      </c>
      <c r="I252" t="s">
        <v>34</v>
      </c>
      <c r="J252" t="s">
        <v>40</v>
      </c>
      <c r="K252" t="s">
        <v>29</v>
      </c>
      <c r="L252" t="s">
        <v>52</v>
      </c>
      <c r="M252" t="s">
        <v>29</v>
      </c>
      <c r="N252" t="s">
        <v>51</v>
      </c>
      <c r="O252">
        <v>10048</v>
      </c>
      <c r="P252">
        <v>6</v>
      </c>
      <c r="Q252" t="s">
        <v>36</v>
      </c>
      <c r="R252">
        <v>11</v>
      </c>
      <c r="S252" t="s">
        <v>33</v>
      </c>
      <c r="T252" t="s">
        <v>27</v>
      </c>
      <c r="U252">
        <v>5</v>
      </c>
      <c r="V252" t="s">
        <v>44</v>
      </c>
      <c r="W252" t="str">
        <f>IF(HR_Data[[#This Row],[age]]&lt;25,"Under 25",IF(HR_Data[[#This Row],[age]]&lt;35,"25-34",IF(HR_Data[[#This Row],[age]]&lt;45,"35-44",IF(HR_Data[[#This Row],[age]]&lt;55,"45-54","55+"))))</f>
        <v>35-44</v>
      </c>
      <c r="X252" t="str">
        <f t="shared" si="3"/>
        <v>8,000+</v>
      </c>
    </row>
    <row r="253" spans="1:24" x14ac:dyDescent="0.3">
      <c r="A253">
        <v>343</v>
      </c>
      <c r="B253">
        <v>39</v>
      </c>
      <c r="C253" t="s">
        <v>36</v>
      </c>
      <c r="D253" t="s">
        <v>37</v>
      </c>
      <c r="E253" t="s">
        <v>38</v>
      </c>
      <c r="F253">
        <v>2</v>
      </c>
      <c r="G253" t="s">
        <v>47</v>
      </c>
      <c r="H253" t="s">
        <v>60</v>
      </c>
      <c r="I253" t="s">
        <v>29</v>
      </c>
      <c r="J253" t="s">
        <v>28</v>
      </c>
      <c r="K253" t="s">
        <v>29</v>
      </c>
      <c r="L253" t="s">
        <v>53</v>
      </c>
      <c r="M253" t="s">
        <v>29</v>
      </c>
      <c r="N253" t="s">
        <v>32</v>
      </c>
      <c r="O253">
        <v>10938</v>
      </c>
      <c r="P253">
        <v>0</v>
      </c>
      <c r="Q253" t="s">
        <v>36</v>
      </c>
      <c r="R253">
        <v>25</v>
      </c>
      <c r="S253" t="s">
        <v>43</v>
      </c>
      <c r="T253" t="s">
        <v>31</v>
      </c>
      <c r="U253">
        <v>1</v>
      </c>
      <c r="V253" t="s">
        <v>44</v>
      </c>
      <c r="W253" t="str">
        <f>IF(HR_Data[[#This Row],[age]]&lt;25,"Under 25",IF(HR_Data[[#This Row],[age]]&lt;35,"25-34",IF(HR_Data[[#This Row],[age]]&lt;45,"35-44",IF(HR_Data[[#This Row],[age]]&lt;55,"45-54","55+"))))</f>
        <v>35-44</v>
      </c>
      <c r="X253" t="str">
        <f t="shared" si="3"/>
        <v>8,000+</v>
      </c>
    </row>
    <row r="254" spans="1:24" x14ac:dyDescent="0.3">
      <c r="A254">
        <v>346</v>
      </c>
      <c r="B254">
        <v>29</v>
      </c>
      <c r="C254" t="s">
        <v>36</v>
      </c>
      <c r="D254" t="s">
        <v>23</v>
      </c>
      <c r="E254" t="s">
        <v>38</v>
      </c>
      <c r="F254">
        <v>15</v>
      </c>
      <c r="G254" t="s">
        <v>50</v>
      </c>
      <c r="H254" t="s">
        <v>26</v>
      </c>
      <c r="I254" t="s">
        <v>29</v>
      </c>
      <c r="J254" t="s">
        <v>40</v>
      </c>
      <c r="K254" t="s">
        <v>29</v>
      </c>
      <c r="L254" t="s">
        <v>41</v>
      </c>
      <c r="M254" t="s">
        <v>31</v>
      </c>
      <c r="N254" t="s">
        <v>32</v>
      </c>
      <c r="O254">
        <v>2340</v>
      </c>
      <c r="P254">
        <v>1</v>
      </c>
      <c r="Q254" t="s">
        <v>36</v>
      </c>
      <c r="R254">
        <v>19</v>
      </c>
      <c r="S254" t="s">
        <v>33</v>
      </c>
      <c r="T254" t="s">
        <v>34</v>
      </c>
      <c r="U254">
        <v>1</v>
      </c>
      <c r="V254" t="s">
        <v>44</v>
      </c>
      <c r="W254" t="str">
        <f>IF(HR_Data[[#This Row],[age]]&lt;25,"Under 25",IF(HR_Data[[#This Row],[age]]&lt;35,"25-34",IF(HR_Data[[#This Row],[age]]&lt;45,"35-44",IF(HR_Data[[#This Row],[age]]&lt;55,"45-54","55+"))))</f>
        <v>25-34</v>
      </c>
      <c r="X254" t="str">
        <f t="shared" si="3"/>
        <v>Below 3,000</v>
      </c>
    </row>
    <row r="255" spans="1:24" x14ac:dyDescent="0.3">
      <c r="A255">
        <v>347</v>
      </c>
      <c r="B255">
        <v>42</v>
      </c>
      <c r="C255" t="s">
        <v>36</v>
      </c>
      <c r="D255" t="s">
        <v>23</v>
      </c>
      <c r="E255" t="s">
        <v>38</v>
      </c>
      <c r="F255">
        <v>17</v>
      </c>
      <c r="G255" t="s">
        <v>25</v>
      </c>
      <c r="H255" t="s">
        <v>26</v>
      </c>
      <c r="I255" t="s">
        <v>31</v>
      </c>
      <c r="J255" t="s">
        <v>28</v>
      </c>
      <c r="K255" t="s">
        <v>31</v>
      </c>
      <c r="L255" t="s">
        <v>41</v>
      </c>
      <c r="M255" t="s">
        <v>34</v>
      </c>
      <c r="N255" t="s">
        <v>32</v>
      </c>
      <c r="O255">
        <v>6545</v>
      </c>
      <c r="P255">
        <v>3</v>
      </c>
      <c r="Q255" t="s">
        <v>22</v>
      </c>
      <c r="R255">
        <v>13</v>
      </c>
      <c r="S255" t="s">
        <v>33</v>
      </c>
      <c r="T255" t="s">
        <v>29</v>
      </c>
      <c r="U255">
        <v>1</v>
      </c>
      <c r="V255" t="s">
        <v>44</v>
      </c>
      <c r="W255" t="str">
        <f>IF(HR_Data[[#This Row],[age]]&lt;25,"Under 25",IF(HR_Data[[#This Row],[age]]&lt;35,"25-34",IF(HR_Data[[#This Row],[age]]&lt;45,"35-44",IF(HR_Data[[#This Row],[age]]&lt;55,"45-54","55+"))))</f>
        <v>35-44</v>
      </c>
      <c r="X255" t="str">
        <f t="shared" si="3"/>
        <v>5,000-7,999</v>
      </c>
    </row>
    <row r="256" spans="1:24" x14ac:dyDescent="0.3">
      <c r="A256">
        <v>349</v>
      </c>
      <c r="B256">
        <v>29</v>
      </c>
      <c r="C256" t="s">
        <v>36</v>
      </c>
      <c r="D256" t="s">
        <v>23</v>
      </c>
      <c r="E256" t="s">
        <v>24</v>
      </c>
      <c r="F256">
        <v>20</v>
      </c>
      <c r="G256" t="s">
        <v>25</v>
      </c>
      <c r="H256" t="s">
        <v>58</v>
      </c>
      <c r="I256" t="s">
        <v>31</v>
      </c>
      <c r="J256" t="s">
        <v>40</v>
      </c>
      <c r="K256" t="s">
        <v>29</v>
      </c>
      <c r="L256" t="s">
        <v>30</v>
      </c>
      <c r="M256" t="s">
        <v>31</v>
      </c>
      <c r="N256" t="s">
        <v>51</v>
      </c>
      <c r="O256">
        <v>6931</v>
      </c>
      <c r="P256">
        <v>2</v>
      </c>
      <c r="Q256" t="s">
        <v>36</v>
      </c>
      <c r="R256">
        <v>14</v>
      </c>
      <c r="S256" t="s">
        <v>33</v>
      </c>
      <c r="T256" t="s">
        <v>31</v>
      </c>
      <c r="U256">
        <v>2</v>
      </c>
      <c r="V256" t="s">
        <v>44</v>
      </c>
      <c r="W256" t="str">
        <f>IF(HR_Data[[#This Row],[age]]&lt;25,"Under 25",IF(HR_Data[[#This Row],[age]]&lt;35,"25-34",IF(HR_Data[[#This Row],[age]]&lt;45,"35-44",IF(HR_Data[[#This Row],[age]]&lt;55,"45-54","55+"))))</f>
        <v>25-34</v>
      </c>
      <c r="X256" t="str">
        <f t="shared" si="3"/>
        <v>5,000-7,999</v>
      </c>
    </row>
    <row r="257" spans="1:24" x14ac:dyDescent="0.3">
      <c r="A257">
        <v>350</v>
      </c>
      <c r="B257">
        <v>25</v>
      </c>
      <c r="C257" t="s">
        <v>36</v>
      </c>
      <c r="D257" t="s">
        <v>23</v>
      </c>
      <c r="E257" t="s">
        <v>38</v>
      </c>
      <c r="F257">
        <v>1</v>
      </c>
      <c r="G257" t="s">
        <v>50</v>
      </c>
      <c r="H257" t="s">
        <v>26</v>
      </c>
      <c r="I257" t="s">
        <v>34</v>
      </c>
      <c r="J257" t="s">
        <v>28</v>
      </c>
      <c r="K257" t="s">
        <v>29</v>
      </c>
      <c r="L257" t="s">
        <v>52</v>
      </c>
      <c r="M257" t="s">
        <v>29</v>
      </c>
      <c r="N257" t="s">
        <v>42</v>
      </c>
      <c r="O257">
        <v>4898</v>
      </c>
      <c r="P257">
        <v>0</v>
      </c>
      <c r="Q257" t="s">
        <v>36</v>
      </c>
      <c r="R257">
        <v>12</v>
      </c>
      <c r="S257" t="s">
        <v>33</v>
      </c>
      <c r="T257" t="s">
        <v>31</v>
      </c>
      <c r="U257">
        <v>3</v>
      </c>
      <c r="V257" t="s">
        <v>44</v>
      </c>
      <c r="W257" t="str">
        <f>IF(HR_Data[[#This Row],[age]]&lt;25,"Under 25",IF(HR_Data[[#This Row],[age]]&lt;35,"25-34",IF(HR_Data[[#This Row],[age]]&lt;45,"35-44",IF(HR_Data[[#This Row],[age]]&lt;55,"45-54","55+"))))</f>
        <v>25-34</v>
      </c>
      <c r="X257" t="str">
        <f t="shared" si="3"/>
        <v>3,000-4,999</v>
      </c>
    </row>
    <row r="258" spans="1:24" x14ac:dyDescent="0.3">
      <c r="A258">
        <v>351</v>
      </c>
      <c r="B258">
        <v>42</v>
      </c>
      <c r="C258" t="s">
        <v>36</v>
      </c>
      <c r="D258" t="s">
        <v>23</v>
      </c>
      <c r="E258" t="s">
        <v>38</v>
      </c>
      <c r="F258">
        <v>2</v>
      </c>
      <c r="G258" t="s">
        <v>50</v>
      </c>
      <c r="H258" t="s">
        <v>48</v>
      </c>
      <c r="I258" t="s">
        <v>31</v>
      </c>
      <c r="J258" t="s">
        <v>28</v>
      </c>
      <c r="K258" t="s">
        <v>27</v>
      </c>
      <c r="L258" t="s">
        <v>46</v>
      </c>
      <c r="M258" t="s">
        <v>34</v>
      </c>
      <c r="N258" t="s">
        <v>51</v>
      </c>
      <c r="O258">
        <v>2593</v>
      </c>
      <c r="P258">
        <v>0</v>
      </c>
      <c r="Q258" t="s">
        <v>22</v>
      </c>
      <c r="R258">
        <v>11</v>
      </c>
      <c r="S258" t="s">
        <v>33</v>
      </c>
      <c r="T258" t="s">
        <v>29</v>
      </c>
      <c r="U258">
        <v>4</v>
      </c>
      <c r="V258" t="s">
        <v>44</v>
      </c>
      <c r="W258" t="str">
        <f>IF(HR_Data[[#This Row],[age]]&lt;25,"Under 25",IF(HR_Data[[#This Row],[age]]&lt;35,"25-34",IF(HR_Data[[#This Row],[age]]&lt;45,"35-44",IF(HR_Data[[#This Row],[age]]&lt;55,"45-54","55+"))))</f>
        <v>35-44</v>
      </c>
      <c r="X258" t="str">
        <f t="shared" si="3"/>
        <v>Below 3,000</v>
      </c>
    </row>
    <row r="259" spans="1:24" x14ac:dyDescent="0.3">
      <c r="A259">
        <v>352</v>
      </c>
      <c r="B259">
        <v>40</v>
      </c>
      <c r="C259" t="s">
        <v>36</v>
      </c>
      <c r="D259" t="s">
        <v>23</v>
      </c>
      <c r="E259" t="s">
        <v>38</v>
      </c>
      <c r="F259">
        <v>2</v>
      </c>
      <c r="G259" t="s">
        <v>25</v>
      </c>
      <c r="H259" t="s">
        <v>48</v>
      </c>
      <c r="I259" t="s">
        <v>34</v>
      </c>
      <c r="J259" t="s">
        <v>40</v>
      </c>
      <c r="K259" t="s">
        <v>29</v>
      </c>
      <c r="L259" t="s">
        <v>57</v>
      </c>
      <c r="M259" t="s">
        <v>29</v>
      </c>
      <c r="N259" t="s">
        <v>51</v>
      </c>
      <c r="O259">
        <v>19436</v>
      </c>
      <c r="P259">
        <v>0</v>
      </c>
      <c r="Q259" t="s">
        <v>36</v>
      </c>
      <c r="R259">
        <v>19</v>
      </c>
      <c r="S259" t="s">
        <v>33</v>
      </c>
      <c r="T259" t="s">
        <v>31</v>
      </c>
      <c r="U259">
        <v>5</v>
      </c>
      <c r="V259" t="s">
        <v>44</v>
      </c>
      <c r="W259" t="str">
        <f>IF(HR_Data[[#This Row],[age]]&lt;25,"Under 25",IF(HR_Data[[#This Row],[age]]&lt;35,"25-34",IF(HR_Data[[#This Row],[age]]&lt;45,"35-44",IF(HR_Data[[#This Row],[age]]&lt;55,"45-54","55+"))))</f>
        <v>35-44</v>
      </c>
      <c r="X259" t="str">
        <f t="shared" ref="X259:X322" si="4">IF(O259&lt;3000,"Below 3,000",IF(O259&lt;5000,"3,000-4,999",IF(O259&lt;8000,"5,000-7,999","8,000+")))</f>
        <v>8,000+</v>
      </c>
    </row>
    <row r="260" spans="1:24" x14ac:dyDescent="0.3">
      <c r="A260">
        <v>353</v>
      </c>
      <c r="B260">
        <v>51</v>
      </c>
      <c r="C260" t="s">
        <v>36</v>
      </c>
      <c r="D260" t="s">
        <v>23</v>
      </c>
      <c r="E260" t="s">
        <v>38</v>
      </c>
      <c r="F260">
        <v>1</v>
      </c>
      <c r="G260" t="s">
        <v>50</v>
      </c>
      <c r="H260" t="s">
        <v>26</v>
      </c>
      <c r="I260" t="s">
        <v>29</v>
      </c>
      <c r="J260" t="s">
        <v>40</v>
      </c>
      <c r="K260" t="s">
        <v>29</v>
      </c>
      <c r="L260" t="s">
        <v>41</v>
      </c>
      <c r="M260" t="s">
        <v>31</v>
      </c>
      <c r="N260" t="s">
        <v>42</v>
      </c>
      <c r="O260">
        <v>2723</v>
      </c>
      <c r="P260">
        <v>1</v>
      </c>
      <c r="Q260" t="s">
        <v>36</v>
      </c>
      <c r="R260">
        <v>11</v>
      </c>
      <c r="S260" t="s">
        <v>33</v>
      </c>
      <c r="T260" t="s">
        <v>27</v>
      </c>
      <c r="U260">
        <v>0</v>
      </c>
      <c r="V260" t="s">
        <v>49</v>
      </c>
      <c r="W260" t="str">
        <f>IF(HR_Data[[#This Row],[age]]&lt;25,"Under 25",IF(HR_Data[[#This Row],[age]]&lt;35,"25-34",IF(HR_Data[[#This Row],[age]]&lt;45,"35-44",IF(HR_Data[[#This Row],[age]]&lt;55,"45-54","55+"))))</f>
        <v>45-54</v>
      </c>
      <c r="X260" t="str">
        <f t="shared" si="4"/>
        <v>Below 3,000</v>
      </c>
    </row>
    <row r="261" spans="1:24" x14ac:dyDescent="0.3">
      <c r="A261">
        <v>355</v>
      </c>
      <c r="B261">
        <v>31</v>
      </c>
      <c r="C261" t="s">
        <v>22</v>
      </c>
      <c r="D261" t="s">
        <v>37</v>
      </c>
      <c r="E261" t="s">
        <v>38</v>
      </c>
      <c r="F261">
        <v>29</v>
      </c>
      <c r="G261" t="s">
        <v>25</v>
      </c>
      <c r="H261" t="s">
        <v>48</v>
      </c>
      <c r="I261" t="s">
        <v>29</v>
      </c>
      <c r="J261" t="s">
        <v>40</v>
      </c>
      <c r="K261" t="s">
        <v>27</v>
      </c>
      <c r="L261" t="s">
        <v>46</v>
      </c>
      <c r="M261" t="s">
        <v>27</v>
      </c>
      <c r="N261" t="s">
        <v>32</v>
      </c>
      <c r="O261">
        <v>3479</v>
      </c>
      <c r="P261">
        <v>0</v>
      </c>
      <c r="Q261" t="s">
        <v>36</v>
      </c>
      <c r="R261">
        <v>11</v>
      </c>
      <c r="S261" t="s">
        <v>33</v>
      </c>
      <c r="T261" t="s">
        <v>27</v>
      </c>
      <c r="U261">
        <v>2</v>
      </c>
      <c r="V261" t="s">
        <v>59</v>
      </c>
      <c r="W261" t="str">
        <f>IF(HR_Data[[#This Row],[age]]&lt;25,"Under 25",IF(HR_Data[[#This Row],[age]]&lt;35,"25-34",IF(HR_Data[[#This Row],[age]]&lt;45,"35-44",IF(HR_Data[[#This Row],[age]]&lt;55,"45-54","55+"))))</f>
        <v>25-34</v>
      </c>
      <c r="X261" t="str">
        <f t="shared" si="4"/>
        <v>3,000-4,999</v>
      </c>
    </row>
    <row r="262" spans="1:24" x14ac:dyDescent="0.3">
      <c r="A262">
        <v>359</v>
      </c>
      <c r="B262">
        <v>32</v>
      </c>
      <c r="C262" t="s">
        <v>36</v>
      </c>
      <c r="D262" t="s">
        <v>37</v>
      </c>
      <c r="E262" t="s">
        <v>38</v>
      </c>
      <c r="F262">
        <v>7</v>
      </c>
      <c r="G262" t="s">
        <v>50</v>
      </c>
      <c r="H262" t="s">
        <v>26</v>
      </c>
      <c r="I262" t="s">
        <v>27</v>
      </c>
      <c r="J262" t="s">
        <v>40</v>
      </c>
      <c r="K262" t="s">
        <v>31</v>
      </c>
      <c r="L262" t="s">
        <v>46</v>
      </c>
      <c r="M262" t="s">
        <v>27</v>
      </c>
      <c r="N262" t="s">
        <v>42</v>
      </c>
      <c r="O262">
        <v>2794</v>
      </c>
      <c r="P262">
        <v>1</v>
      </c>
      <c r="Q262" t="s">
        <v>36</v>
      </c>
      <c r="R262">
        <v>20</v>
      </c>
      <c r="S262" t="s">
        <v>43</v>
      </c>
      <c r="T262" t="s">
        <v>29</v>
      </c>
      <c r="U262">
        <v>3</v>
      </c>
      <c r="V262" t="s">
        <v>35</v>
      </c>
      <c r="W262" t="str">
        <f>IF(HR_Data[[#This Row],[age]]&lt;25,"Under 25",IF(HR_Data[[#This Row],[age]]&lt;35,"25-34",IF(HR_Data[[#This Row],[age]]&lt;45,"35-44",IF(HR_Data[[#This Row],[age]]&lt;55,"45-54","55+"))))</f>
        <v>25-34</v>
      </c>
      <c r="X262" t="str">
        <f t="shared" si="4"/>
        <v>Below 3,000</v>
      </c>
    </row>
    <row r="263" spans="1:24" x14ac:dyDescent="0.3">
      <c r="A263">
        <v>361</v>
      </c>
      <c r="B263">
        <v>38</v>
      </c>
      <c r="C263" t="s">
        <v>36</v>
      </c>
      <c r="D263" t="s">
        <v>54</v>
      </c>
      <c r="E263" t="s">
        <v>24</v>
      </c>
      <c r="F263">
        <v>2</v>
      </c>
      <c r="G263" t="s">
        <v>25</v>
      </c>
      <c r="H263" t="s">
        <v>26</v>
      </c>
      <c r="I263" t="s">
        <v>31</v>
      </c>
      <c r="J263" t="s">
        <v>40</v>
      </c>
      <c r="K263" t="s">
        <v>27</v>
      </c>
      <c r="L263" t="s">
        <v>30</v>
      </c>
      <c r="M263" t="s">
        <v>31</v>
      </c>
      <c r="N263" t="s">
        <v>42</v>
      </c>
      <c r="O263">
        <v>5249</v>
      </c>
      <c r="P263">
        <v>3</v>
      </c>
      <c r="Q263" t="s">
        <v>36</v>
      </c>
      <c r="R263">
        <v>18</v>
      </c>
      <c r="S263" t="s">
        <v>33</v>
      </c>
      <c r="T263" t="s">
        <v>31</v>
      </c>
      <c r="U263">
        <v>0</v>
      </c>
      <c r="V263" t="s">
        <v>44</v>
      </c>
      <c r="W263" t="str">
        <f>IF(HR_Data[[#This Row],[age]]&lt;25,"Under 25",IF(HR_Data[[#This Row],[age]]&lt;35,"25-34",IF(HR_Data[[#This Row],[age]]&lt;45,"35-44",IF(HR_Data[[#This Row],[age]]&lt;55,"45-54","55+"))))</f>
        <v>35-44</v>
      </c>
      <c r="X263" t="str">
        <f t="shared" si="4"/>
        <v>5,000-7,999</v>
      </c>
    </row>
    <row r="264" spans="1:24" x14ac:dyDescent="0.3">
      <c r="A264">
        <v>362</v>
      </c>
      <c r="B264">
        <v>32</v>
      </c>
      <c r="C264" t="s">
        <v>36</v>
      </c>
      <c r="D264" t="s">
        <v>23</v>
      </c>
      <c r="E264" t="s">
        <v>38</v>
      </c>
      <c r="F264">
        <v>2</v>
      </c>
      <c r="G264" t="s">
        <v>39</v>
      </c>
      <c r="H264" t="s">
        <v>60</v>
      </c>
      <c r="I264" t="s">
        <v>31</v>
      </c>
      <c r="J264" t="s">
        <v>40</v>
      </c>
      <c r="K264" t="s">
        <v>27</v>
      </c>
      <c r="L264" t="s">
        <v>46</v>
      </c>
      <c r="M264" t="s">
        <v>34</v>
      </c>
      <c r="N264" t="s">
        <v>32</v>
      </c>
      <c r="O264">
        <v>2176</v>
      </c>
      <c r="P264">
        <v>4</v>
      </c>
      <c r="Q264" t="s">
        <v>36</v>
      </c>
      <c r="R264">
        <v>13</v>
      </c>
      <c r="S264" t="s">
        <v>33</v>
      </c>
      <c r="T264" t="s">
        <v>31</v>
      </c>
      <c r="U264">
        <v>5</v>
      </c>
      <c r="V264" t="s">
        <v>44</v>
      </c>
      <c r="W264" t="str">
        <f>IF(HR_Data[[#This Row],[age]]&lt;25,"Under 25",IF(HR_Data[[#This Row],[age]]&lt;35,"25-34",IF(HR_Data[[#This Row],[age]]&lt;45,"35-44",IF(HR_Data[[#This Row],[age]]&lt;55,"45-54","55+"))))</f>
        <v>25-34</v>
      </c>
      <c r="X264" t="str">
        <f t="shared" si="4"/>
        <v>Below 3,000</v>
      </c>
    </row>
    <row r="265" spans="1:24" x14ac:dyDescent="0.3">
      <c r="A265">
        <v>363</v>
      </c>
      <c r="B265">
        <v>46</v>
      </c>
      <c r="C265" t="s">
        <v>36</v>
      </c>
      <c r="D265" t="s">
        <v>23</v>
      </c>
      <c r="E265" t="s">
        <v>24</v>
      </c>
      <c r="F265">
        <v>2</v>
      </c>
      <c r="G265" t="s">
        <v>50</v>
      </c>
      <c r="H265" t="s">
        <v>60</v>
      </c>
      <c r="I265" t="s">
        <v>29</v>
      </c>
      <c r="J265" t="s">
        <v>28</v>
      </c>
      <c r="K265" t="s">
        <v>34</v>
      </c>
      <c r="L265" t="s">
        <v>55</v>
      </c>
      <c r="M265" t="s">
        <v>27</v>
      </c>
      <c r="N265" t="s">
        <v>42</v>
      </c>
      <c r="O265">
        <v>16872</v>
      </c>
      <c r="P265">
        <v>3</v>
      </c>
      <c r="Q265" t="s">
        <v>22</v>
      </c>
      <c r="R265">
        <v>12</v>
      </c>
      <c r="S265" t="s">
        <v>33</v>
      </c>
      <c r="T265" t="s">
        <v>27</v>
      </c>
      <c r="U265">
        <v>2</v>
      </c>
      <c r="V265" t="s">
        <v>49</v>
      </c>
      <c r="W265" t="str">
        <f>IF(HR_Data[[#This Row],[age]]&lt;25,"Under 25",IF(HR_Data[[#This Row],[age]]&lt;35,"25-34",IF(HR_Data[[#This Row],[age]]&lt;45,"35-44",IF(HR_Data[[#This Row],[age]]&lt;55,"45-54","55+"))))</f>
        <v>45-54</v>
      </c>
      <c r="X265" t="str">
        <f t="shared" si="4"/>
        <v>8,000+</v>
      </c>
    </row>
    <row r="266" spans="1:24" x14ac:dyDescent="0.3">
      <c r="A266">
        <v>364</v>
      </c>
      <c r="B266">
        <v>28</v>
      </c>
      <c r="C266" t="s">
        <v>22</v>
      </c>
      <c r="D266" t="s">
        <v>23</v>
      </c>
      <c r="E266" t="s">
        <v>38</v>
      </c>
      <c r="F266">
        <v>2</v>
      </c>
      <c r="G266" t="s">
        <v>47</v>
      </c>
      <c r="H266" t="s">
        <v>26</v>
      </c>
      <c r="I266" t="s">
        <v>34</v>
      </c>
      <c r="J266" t="s">
        <v>40</v>
      </c>
      <c r="K266" t="s">
        <v>29</v>
      </c>
      <c r="L266" t="s">
        <v>46</v>
      </c>
      <c r="M266" t="s">
        <v>29</v>
      </c>
      <c r="N266" t="s">
        <v>32</v>
      </c>
      <c r="O266">
        <v>3485</v>
      </c>
      <c r="P266">
        <v>2</v>
      </c>
      <c r="Q266" t="s">
        <v>36</v>
      </c>
      <c r="R266">
        <v>11</v>
      </c>
      <c r="S266" t="s">
        <v>33</v>
      </c>
      <c r="T266" t="s">
        <v>29</v>
      </c>
      <c r="U266">
        <v>5</v>
      </c>
      <c r="V266" t="s">
        <v>35</v>
      </c>
      <c r="W266" t="str">
        <f>IF(HR_Data[[#This Row],[age]]&lt;25,"Under 25",IF(HR_Data[[#This Row],[age]]&lt;35,"25-34",IF(HR_Data[[#This Row],[age]]&lt;45,"35-44",IF(HR_Data[[#This Row],[age]]&lt;55,"45-54","55+"))))</f>
        <v>25-34</v>
      </c>
      <c r="X266" t="str">
        <f t="shared" si="4"/>
        <v>3,000-4,999</v>
      </c>
    </row>
    <row r="267" spans="1:24" x14ac:dyDescent="0.3">
      <c r="A267">
        <v>366</v>
      </c>
      <c r="B267">
        <v>29</v>
      </c>
      <c r="C267" t="s">
        <v>36</v>
      </c>
      <c r="D267" t="s">
        <v>23</v>
      </c>
      <c r="E267" t="s">
        <v>24</v>
      </c>
      <c r="F267">
        <v>2</v>
      </c>
      <c r="G267" t="s">
        <v>50</v>
      </c>
      <c r="H267" t="s">
        <v>48</v>
      </c>
      <c r="I267" t="s">
        <v>34</v>
      </c>
      <c r="J267" t="s">
        <v>40</v>
      </c>
      <c r="K267" t="s">
        <v>27</v>
      </c>
      <c r="L267" t="s">
        <v>30</v>
      </c>
      <c r="M267" t="s">
        <v>27</v>
      </c>
      <c r="N267" t="s">
        <v>42</v>
      </c>
      <c r="O267">
        <v>6644</v>
      </c>
      <c r="P267">
        <v>2</v>
      </c>
      <c r="Q267" t="s">
        <v>36</v>
      </c>
      <c r="R267">
        <v>19</v>
      </c>
      <c r="S267" t="s">
        <v>33</v>
      </c>
      <c r="T267" t="s">
        <v>27</v>
      </c>
      <c r="U267">
        <v>2</v>
      </c>
      <c r="V267" t="s">
        <v>44</v>
      </c>
      <c r="W267" t="str">
        <f>IF(HR_Data[[#This Row],[age]]&lt;25,"Under 25",IF(HR_Data[[#This Row],[age]]&lt;35,"25-34",IF(HR_Data[[#This Row],[age]]&lt;45,"35-44",IF(HR_Data[[#This Row],[age]]&lt;55,"45-54","55+"))))</f>
        <v>25-34</v>
      </c>
      <c r="X267" t="str">
        <f t="shared" si="4"/>
        <v>5,000-7,999</v>
      </c>
    </row>
    <row r="268" spans="1:24" x14ac:dyDescent="0.3">
      <c r="A268">
        <v>367</v>
      </c>
      <c r="B268">
        <v>31</v>
      </c>
      <c r="C268" t="s">
        <v>36</v>
      </c>
      <c r="D268" t="s">
        <v>23</v>
      </c>
      <c r="E268" t="s">
        <v>38</v>
      </c>
      <c r="F268">
        <v>23</v>
      </c>
      <c r="G268" t="s">
        <v>50</v>
      </c>
      <c r="H268" t="s">
        <v>48</v>
      </c>
      <c r="I268" t="s">
        <v>27</v>
      </c>
      <c r="J268" t="s">
        <v>40</v>
      </c>
      <c r="K268" t="s">
        <v>27</v>
      </c>
      <c r="L268" t="s">
        <v>53</v>
      </c>
      <c r="M268" t="s">
        <v>31</v>
      </c>
      <c r="N268" t="s">
        <v>42</v>
      </c>
      <c r="O268">
        <v>5582</v>
      </c>
      <c r="P268">
        <v>0</v>
      </c>
      <c r="Q268" t="s">
        <v>36</v>
      </c>
      <c r="R268">
        <v>21</v>
      </c>
      <c r="S268" t="s">
        <v>43</v>
      </c>
      <c r="T268" t="s">
        <v>27</v>
      </c>
      <c r="U268">
        <v>2</v>
      </c>
      <c r="V268" t="s">
        <v>44</v>
      </c>
      <c r="W268" t="str">
        <f>IF(HR_Data[[#This Row],[age]]&lt;25,"Under 25",IF(HR_Data[[#This Row],[age]]&lt;35,"25-34",IF(HR_Data[[#This Row],[age]]&lt;45,"35-44",IF(HR_Data[[#This Row],[age]]&lt;55,"45-54","55+"))))</f>
        <v>25-34</v>
      </c>
      <c r="X268" t="str">
        <f t="shared" si="4"/>
        <v>5,000-7,999</v>
      </c>
    </row>
    <row r="269" spans="1:24" x14ac:dyDescent="0.3">
      <c r="A269">
        <v>369</v>
      </c>
      <c r="B269">
        <v>25</v>
      </c>
      <c r="C269" t="s">
        <v>36</v>
      </c>
      <c r="D269" t="s">
        <v>54</v>
      </c>
      <c r="E269" t="s">
        <v>38</v>
      </c>
      <c r="F269">
        <v>5</v>
      </c>
      <c r="G269" t="s">
        <v>25</v>
      </c>
      <c r="H269" t="s">
        <v>26</v>
      </c>
      <c r="I269" t="s">
        <v>27</v>
      </c>
      <c r="J269" t="s">
        <v>40</v>
      </c>
      <c r="K269" t="s">
        <v>31</v>
      </c>
      <c r="L269" t="s">
        <v>53</v>
      </c>
      <c r="M269" t="s">
        <v>34</v>
      </c>
      <c r="N269" t="s">
        <v>51</v>
      </c>
      <c r="O269">
        <v>4000</v>
      </c>
      <c r="P269">
        <v>1</v>
      </c>
      <c r="Q269" t="s">
        <v>36</v>
      </c>
      <c r="R269">
        <v>12</v>
      </c>
      <c r="S269" t="s">
        <v>33</v>
      </c>
      <c r="T269" t="s">
        <v>31</v>
      </c>
      <c r="U269">
        <v>2</v>
      </c>
      <c r="V269" t="s">
        <v>44</v>
      </c>
      <c r="W269" t="str">
        <f>IF(HR_Data[[#This Row],[age]]&lt;25,"Under 25",IF(HR_Data[[#This Row],[age]]&lt;35,"25-34",IF(HR_Data[[#This Row],[age]]&lt;45,"35-44",IF(HR_Data[[#This Row],[age]]&lt;55,"45-54","55+"))))</f>
        <v>25-34</v>
      </c>
      <c r="X269" t="str">
        <f t="shared" si="4"/>
        <v>3,000-4,999</v>
      </c>
    </row>
    <row r="270" spans="1:24" x14ac:dyDescent="0.3">
      <c r="A270">
        <v>372</v>
      </c>
      <c r="B270">
        <v>45</v>
      </c>
      <c r="C270" t="s">
        <v>36</v>
      </c>
      <c r="D270" t="s">
        <v>23</v>
      </c>
      <c r="E270" t="s">
        <v>38</v>
      </c>
      <c r="F270">
        <v>20</v>
      </c>
      <c r="G270" t="s">
        <v>25</v>
      </c>
      <c r="H270" t="s">
        <v>48</v>
      </c>
      <c r="I270" t="s">
        <v>29</v>
      </c>
      <c r="J270" t="s">
        <v>40</v>
      </c>
      <c r="K270" t="s">
        <v>29</v>
      </c>
      <c r="L270" t="s">
        <v>53</v>
      </c>
      <c r="M270" t="s">
        <v>31</v>
      </c>
      <c r="N270" t="s">
        <v>42</v>
      </c>
      <c r="O270">
        <v>13496</v>
      </c>
      <c r="P270">
        <v>0</v>
      </c>
      <c r="Q270" t="s">
        <v>22</v>
      </c>
      <c r="R270">
        <v>14</v>
      </c>
      <c r="S270" t="s">
        <v>33</v>
      </c>
      <c r="T270" t="s">
        <v>27</v>
      </c>
      <c r="U270">
        <v>2</v>
      </c>
      <c r="V270" t="s">
        <v>44</v>
      </c>
      <c r="W270" t="str">
        <f>IF(HR_Data[[#This Row],[age]]&lt;25,"Under 25",IF(HR_Data[[#This Row],[age]]&lt;35,"25-34",IF(HR_Data[[#This Row],[age]]&lt;45,"35-44",IF(HR_Data[[#This Row],[age]]&lt;55,"45-54","55+"))))</f>
        <v>45-54</v>
      </c>
      <c r="X270" t="str">
        <f t="shared" si="4"/>
        <v>8,000+</v>
      </c>
    </row>
    <row r="271" spans="1:24" x14ac:dyDescent="0.3">
      <c r="A271">
        <v>373</v>
      </c>
      <c r="B271">
        <v>36</v>
      </c>
      <c r="C271" t="s">
        <v>36</v>
      </c>
      <c r="D271" t="s">
        <v>23</v>
      </c>
      <c r="E271" t="s">
        <v>38</v>
      </c>
      <c r="F271">
        <v>6</v>
      </c>
      <c r="G271" t="s">
        <v>50</v>
      </c>
      <c r="H271" t="s">
        <v>26</v>
      </c>
      <c r="I271" t="s">
        <v>31</v>
      </c>
      <c r="J271" t="s">
        <v>40</v>
      </c>
      <c r="K271" t="s">
        <v>29</v>
      </c>
      <c r="L271" t="s">
        <v>46</v>
      </c>
      <c r="M271" t="s">
        <v>31</v>
      </c>
      <c r="N271" t="s">
        <v>42</v>
      </c>
      <c r="O271">
        <v>3210</v>
      </c>
      <c r="P271">
        <v>0</v>
      </c>
      <c r="Q271" t="s">
        <v>36</v>
      </c>
      <c r="R271">
        <v>11</v>
      </c>
      <c r="S271" t="s">
        <v>33</v>
      </c>
      <c r="T271" t="s">
        <v>29</v>
      </c>
      <c r="U271">
        <v>4</v>
      </c>
      <c r="V271" t="s">
        <v>44</v>
      </c>
      <c r="W271" t="str">
        <f>IF(HR_Data[[#This Row],[age]]&lt;25,"Under 25",IF(HR_Data[[#This Row],[age]]&lt;35,"25-34",IF(HR_Data[[#This Row],[age]]&lt;45,"35-44",IF(HR_Data[[#This Row],[age]]&lt;55,"45-54","55+"))))</f>
        <v>35-44</v>
      </c>
      <c r="X271" t="str">
        <f t="shared" si="4"/>
        <v>3,000-4,999</v>
      </c>
    </row>
    <row r="272" spans="1:24" x14ac:dyDescent="0.3">
      <c r="A272">
        <v>374</v>
      </c>
      <c r="B272">
        <v>55</v>
      </c>
      <c r="C272" t="s">
        <v>36</v>
      </c>
      <c r="D272" t="s">
        <v>23</v>
      </c>
      <c r="E272" t="s">
        <v>38</v>
      </c>
      <c r="F272">
        <v>1</v>
      </c>
      <c r="G272" t="s">
        <v>50</v>
      </c>
      <c r="H272" t="s">
        <v>48</v>
      </c>
      <c r="I272" t="s">
        <v>31</v>
      </c>
      <c r="J272" t="s">
        <v>40</v>
      </c>
      <c r="K272" t="s">
        <v>29</v>
      </c>
      <c r="L272" t="s">
        <v>55</v>
      </c>
      <c r="M272" t="s">
        <v>34</v>
      </c>
      <c r="N272" t="s">
        <v>32</v>
      </c>
      <c r="O272">
        <v>19045</v>
      </c>
      <c r="P272">
        <v>0</v>
      </c>
      <c r="Q272" t="s">
        <v>22</v>
      </c>
      <c r="R272">
        <v>14</v>
      </c>
      <c r="S272" t="s">
        <v>33</v>
      </c>
      <c r="T272" t="s">
        <v>29</v>
      </c>
      <c r="U272">
        <v>2</v>
      </c>
      <c r="V272" t="s">
        <v>44</v>
      </c>
      <c r="W272" t="str">
        <f>IF(HR_Data[[#This Row],[age]]&lt;25,"Under 25",IF(HR_Data[[#This Row],[age]]&lt;35,"25-34",IF(HR_Data[[#This Row],[age]]&lt;45,"35-44",IF(HR_Data[[#This Row],[age]]&lt;55,"45-54","55+"))))</f>
        <v>55+</v>
      </c>
      <c r="X272" t="str">
        <f t="shared" si="4"/>
        <v>8,000+</v>
      </c>
    </row>
    <row r="273" spans="1:24" x14ac:dyDescent="0.3">
      <c r="A273">
        <v>376</v>
      </c>
      <c r="B273">
        <v>47</v>
      </c>
      <c r="C273" t="s">
        <v>22</v>
      </c>
      <c r="D273" t="s">
        <v>54</v>
      </c>
      <c r="E273" t="s">
        <v>38</v>
      </c>
      <c r="F273">
        <v>29</v>
      </c>
      <c r="G273" t="s">
        <v>47</v>
      </c>
      <c r="H273" t="s">
        <v>26</v>
      </c>
      <c r="I273" t="s">
        <v>34</v>
      </c>
      <c r="J273" t="s">
        <v>40</v>
      </c>
      <c r="K273" t="s">
        <v>29</v>
      </c>
      <c r="L273" t="s">
        <v>55</v>
      </c>
      <c r="M273" t="s">
        <v>27</v>
      </c>
      <c r="N273" t="s">
        <v>42</v>
      </c>
      <c r="O273">
        <v>11849</v>
      </c>
      <c r="P273">
        <v>1</v>
      </c>
      <c r="Q273" t="s">
        <v>22</v>
      </c>
      <c r="R273">
        <v>12</v>
      </c>
      <c r="S273" t="s">
        <v>33</v>
      </c>
      <c r="T273" t="s">
        <v>31</v>
      </c>
      <c r="U273">
        <v>2</v>
      </c>
      <c r="V273" t="s">
        <v>49</v>
      </c>
      <c r="W273" t="str">
        <f>IF(HR_Data[[#This Row],[age]]&lt;25,"Under 25",IF(HR_Data[[#This Row],[age]]&lt;35,"25-34",IF(HR_Data[[#This Row],[age]]&lt;45,"35-44",IF(HR_Data[[#This Row],[age]]&lt;55,"45-54","55+"))))</f>
        <v>45-54</v>
      </c>
      <c r="X273" t="str">
        <f t="shared" si="4"/>
        <v>8,000+</v>
      </c>
    </row>
    <row r="274" spans="1:24" x14ac:dyDescent="0.3">
      <c r="A274">
        <v>377</v>
      </c>
      <c r="B274">
        <v>28</v>
      </c>
      <c r="C274" t="s">
        <v>36</v>
      </c>
      <c r="D274" t="s">
        <v>23</v>
      </c>
      <c r="E274" t="s">
        <v>38</v>
      </c>
      <c r="F274">
        <v>9</v>
      </c>
      <c r="G274" t="s">
        <v>50</v>
      </c>
      <c r="H274" t="s">
        <v>48</v>
      </c>
      <c r="I274" t="s">
        <v>31</v>
      </c>
      <c r="J274" t="s">
        <v>40</v>
      </c>
      <c r="K274" t="s">
        <v>29</v>
      </c>
      <c r="L274" t="s">
        <v>41</v>
      </c>
      <c r="M274" t="s">
        <v>31</v>
      </c>
      <c r="N274" t="s">
        <v>42</v>
      </c>
      <c r="O274">
        <v>2070</v>
      </c>
      <c r="P274">
        <v>1</v>
      </c>
      <c r="Q274" t="s">
        <v>36</v>
      </c>
      <c r="R274">
        <v>23</v>
      </c>
      <c r="S274" t="s">
        <v>43</v>
      </c>
      <c r="T274" t="s">
        <v>31</v>
      </c>
      <c r="U274">
        <v>3</v>
      </c>
      <c r="V274" t="s">
        <v>49</v>
      </c>
      <c r="W274" t="str">
        <f>IF(HR_Data[[#This Row],[age]]&lt;25,"Under 25",IF(HR_Data[[#This Row],[age]]&lt;35,"25-34",IF(HR_Data[[#This Row],[age]]&lt;45,"35-44",IF(HR_Data[[#This Row],[age]]&lt;55,"45-54","55+"))))</f>
        <v>25-34</v>
      </c>
      <c r="X274" t="str">
        <f t="shared" si="4"/>
        <v>Below 3,000</v>
      </c>
    </row>
    <row r="275" spans="1:24" x14ac:dyDescent="0.3">
      <c r="A275">
        <v>378</v>
      </c>
      <c r="B275">
        <v>37</v>
      </c>
      <c r="C275" t="s">
        <v>36</v>
      </c>
      <c r="D275" t="s">
        <v>23</v>
      </c>
      <c r="E275" t="s">
        <v>24</v>
      </c>
      <c r="F275">
        <v>6</v>
      </c>
      <c r="G275" t="s">
        <v>47</v>
      </c>
      <c r="H275" t="s">
        <v>48</v>
      </c>
      <c r="I275" t="s">
        <v>29</v>
      </c>
      <c r="J275" t="s">
        <v>40</v>
      </c>
      <c r="K275" t="s">
        <v>29</v>
      </c>
      <c r="L275" t="s">
        <v>30</v>
      </c>
      <c r="M275" t="s">
        <v>31</v>
      </c>
      <c r="N275" t="s">
        <v>42</v>
      </c>
      <c r="O275">
        <v>6502</v>
      </c>
      <c r="P275">
        <v>4</v>
      </c>
      <c r="Q275" t="s">
        <v>36</v>
      </c>
      <c r="R275">
        <v>14</v>
      </c>
      <c r="S275" t="s">
        <v>33</v>
      </c>
      <c r="T275" t="s">
        <v>27</v>
      </c>
      <c r="U275">
        <v>5</v>
      </c>
      <c r="V275" t="s">
        <v>59</v>
      </c>
      <c r="W275" t="str">
        <f>IF(HR_Data[[#This Row],[age]]&lt;25,"Under 25",IF(HR_Data[[#This Row],[age]]&lt;35,"25-34",IF(HR_Data[[#This Row],[age]]&lt;45,"35-44",IF(HR_Data[[#This Row],[age]]&lt;55,"45-54","55+"))))</f>
        <v>35-44</v>
      </c>
      <c r="X275" t="str">
        <f t="shared" si="4"/>
        <v>5,000-7,999</v>
      </c>
    </row>
    <row r="276" spans="1:24" x14ac:dyDescent="0.3">
      <c r="A276">
        <v>379</v>
      </c>
      <c r="B276">
        <v>21</v>
      </c>
      <c r="C276" t="s">
        <v>36</v>
      </c>
      <c r="D276" t="s">
        <v>23</v>
      </c>
      <c r="E276" t="s">
        <v>38</v>
      </c>
      <c r="F276">
        <v>3</v>
      </c>
      <c r="G276" t="s">
        <v>25</v>
      </c>
      <c r="H276" t="s">
        <v>48</v>
      </c>
      <c r="I276" t="s">
        <v>31</v>
      </c>
      <c r="J276" t="s">
        <v>40</v>
      </c>
      <c r="K276" t="s">
        <v>27</v>
      </c>
      <c r="L276" t="s">
        <v>41</v>
      </c>
      <c r="M276" t="s">
        <v>29</v>
      </c>
      <c r="N276" t="s">
        <v>32</v>
      </c>
      <c r="O276">
        <v>3230</v>
      </c>
      <c r="P276">
        <v>1</v>
      </c>
      <c r="Q276" t="s">
        <v>36</v>
      </c>
      <c r="R276">
        <v>17</v>
      </c>
      <c r="S276" t="s">
        <v>33</v>
      </c>
      <c r="T276" t="s">
        <v>34</v>
      </c>
      <c r="U276">
        <v>4</v>
      </c>
      <c r="V276" t="s">
        <v>59</v>
      </c>
      <c r="W276" t="str">
        <f>IF(HR_Data[[#This Row],[age]]&lt;25,"Under 25",IF(HR_Data[[#This Row],[age]]&lt;35,"25-34",IF(HR_Data[[#This Row],[age]]&lt;45,"35-44",IF(HR_Data[[#This Row],[age]]&lt;55,"45-54","55+"))))</f>
        <v>Under 25</v>
      </c>
      <c r="X276" t="str">
        <f t="shared" si="4"/>
        <v>3,000-4,999</v>
      </c>
    </row>
    <row r="277" spans="1:24" x14ac:dyDescent="0.3">
      <c r="A277">
        <v>380</v>
      </c>
      <c r="B277">
        <v>37</v>
      </c>
      <c r="C277" t="s">
        <v>36</v>
      </c>
      <c r="D277" t="s">
        <v>54</v>
      </c>
      <c r="E277" t="s">
        <v>38</v>
      </c>
      <c r="F277">
        <v>1</v>
      </c>
      <c r="G277" t="s">
        <v>47</v>
      </c>
      <c r="H277" t="s">
        <v>48</v>
      </c>
      <c r="I277" t="s">
        <v>34</v>
      </c>
      <c r="J277" t="s">
        <v>28</v>
      </c>
      <c r="K277" t="s">
        <v>29</v>
      </c>
      <c r="L277" t="s">
        <v>57</v>
      </c>
      <c r="M277" t="s">
        <v>31</v>
      </c>
      <c r="N277" t="s">
        <v>51</v>
      </c>
      <c r="O277">
        <v>13603</v>
      </c>
      <c r="P277">
        <v>2</v>
      </c>
      <c r="Q277" t="s">
        <v>22</v>
      </c>
      <c r="R277">
        <v>18</v>
      </c>
      <c r="S277" t="s">
        <v>33</v>
      </c>
      <c r="T277" t="s">
        <v>34</v>
      </c>
      <c r="U277">
        <v>2</v>
      </c>
      <c r="V277" t="s">
        <v>44</v>
      </c>
      <c r="W277" t="str">
        <f>IF(HR_Data[[#This Row],[age]]&lt;25,"Under 25",IF(HR_Data[[#This Row],[age]]&lt;35,"25-34",IF(HR_Data[[#This Row],[age]]&lt;45,"35-44",IF(HR_Data[[#This Row],[age]]&lt;55,"45-54","55+"))))</f>
        <v>35-44</v>
      </c>
      <c r="X277" t="str">
        <f t="shared" si="4"/>
        <v>8,000+</v>
      </c>
    </row>
    <row r="278" spans="1:24" x14ac:dyDescent="0.3">
      <c r="A278">
        <v>381</v>
      </c>
      <c r="B278">
        <v>35</v>
      </c>
      <c r="C278" t="s">
        <v>36</v>
      </c>
      <c r="D278" t="s">
        <v>23</v>
      </c>
      <c r="E278" t="s">
        <v>38</v>
      </c>
      <c r="F278">
        <v>22</v>
      </c>
      <c r="G278" t="s">
        <v>50</v>
      </c>
      <c r="H278" t="s">
        <v>26</v>
      </c>
      <c r="I278" t="s">
        <v>27</v>
      </c>
      <c r="J278" t="s">
        <v>28</v>
      </c>
      <c r="K278" t="s">
        <v>31</v>
      </c>
      <c r="L278" t="s">
        <v>55</v>
      </c>
      <c r="M278" t="s">
        <v>27</v>
      </c>
      <c r="N278" t="s">
        <v>51</v>
      </c>
      <c r="O278">
        <v>11996</v>
      </c>
      <c r="P278">
        <v>7</v>
      </c>
      <c r="Q278" t="s">
        <v>36</v>
      </c>
      <c r="R278">
        <v>18</v>
      </c>
      <c r="S278" t="s">
        <v>33</v>
      </c>
      <c r="T278" t="s">
        <v>27</v>
      </c>
      <c r="U278">
        <v>6</v>
      </c>
      <c r="V278" t="s">
        <v>49</v>
      </c>
      <c r="W278" t="str">
        <f>IF(HR_Data[[#This Row],[age]]&lt;25,"Under 25",IF(HR_Data[[#This Row],[age]]&lt;35,"25-34",IF(HR_Data[[#This Row],[age]]&lt;45,"35-44",IF(HR_Data[[#This Row],[age]]&lt;55,"45-54","55+"))))</f>
        <v>35-44</v>
      </c>
      <c r="X278" t="str">
        <f t="shared" si="4"/>
        <v>8,000+</v>
      </c>
    </row>
    <row r="279" spans="1:24" x14ac:dyDescent="0.3">
      <c r="A279">
        <v>382</v>
      </c>
      <c r="B279">
        <v>38</v>
      </c>
      <c r="C279" t="s">
        <v>36</v>
      </c>
      <c r="D279" t="s">
        <v>23</v>
      </c>
      <c r="E279" t="s">
        <v>24</v>
      </c>
      <c r="F279">
        <v>7</v>
      </c>
      <c r="G279" t="s">
        <v>25</v>
      </c>
      <c r="H279" t="s">
        <v>48</v>
      </c>
      <c r="I279" t="s">
        <v>34</v>
      </c>
      <c r="J279" t="s">
        <v>28</v>
      </c>
      <c r="K279" t="s">
        <v>31</v>
      </c>
      <c r="L279" t="s">
        <v>30</v>
      </c>
      <c r="M279" t="s">
        <v>34</v>
      </c>
      <c r="N279" t="s">
        <v>51</v>
      </c>
      <c r="O279">
        <v>5605</v>
      </c>
      <c r="P279">
        <v>1</v>
      </c>
      <c r="Q279" t="s">
        <v>22</v>
      </c>
      <c r="R279">
        <v>24</v>
      </c>
      <c r="S279" t="s">
        <v>43</v>
      </c>
      <c r="T279" t="s">
        <v>29</v>
      </c>
      <c r="U279">
        <v>3</v>
      </c>
      <c r="V279" t="s">
        <v>44</v>
      </c>
      <c r="W279" t="str">
        <f>IF(HR_Data[[#This Row],[age]]&lt;25,"Under 25",IF(HR_Data[[#This Row],[age]]&lt;35,"25-34",IF(HR_Data[[#This Row],[age]]&lt;45,"35-44",IF(HR_Data[[#This Row],[age]]&lt;55,"45-54","55+"))))</f>
        <v>35-44</v>
      </c>
      <c r="X279" t="str">
        <f t="shared" si="4"/>
        <v>5,000-7,999</v>
      </c>
    </row>
    <row r="280" spans="1:24" x14ac:dyDescent="0.3">
      <c r="A280">
        <v>384</v>
      </c>
      <c r="B280">
        <v>26</v>
      </c>
      <c r="C280" t="s">
        <v>36</v>
      </c>
      <c r="D280" t="s">
        <v>37</v>
      </c>
      <c r="E280" t="s">
        <v>38</v>
      </c>
      <c r="F280">
        <v>1</v>
      </c>
      <c r="G280" t="s">
        <v>50</v>
      </c>
      <c r="H280" t="s">
        <v>26</v>
      </c>
      <c r="I280" t="s">
        <v>29</v>
      </c>
      <c r="J280" t="s">
        <v>28</v>
      </c>
      <c r="K280" t="s">
        <v>29</v>
      </c>
      <c r="L280" t="s">
        <v>52</v>
      </c>
      <c r="M280" t="s">
        <v>27</v>
      </c>
      <c r="N280" t="s">
        <v>51</v>
      </c>
      <c r="O280">
        <v>6397</v>
      </c>
      <c r="P280">
        <v>1</v>
      </c>
      <c r="Q280" t="s">
        <v>36</v>
      </c>
      <c r="R280">
        <v>20</v>
      </c>
      <c r="S280" t="s">
        <v>43</v>
      </c>
      <c r="T280" t="s">
        <v>34</v>
      </c>
      <c r="U280">
        <v>6</v>
      </c>
      <c r="V280" t="s">
        <v>35</v>
      </c>
      <c r="W280" t="str">
        <f>IF(HR_Data[[#This Row],[age]]&lt;25,"Under 25",IF(HR_Data[[#This Row],[age]]&lt;35,"25-34",IF(HR_Data[[#This Row],[age]]&lt;45,"35-44",IF(HR_Data[[#This Row],[age]]&lt;55,"45-54","55+"))))</f>
        <v>25-34</v>
      </c>
      <c r="X280" t="str">
        <f t="shared" si="4"/>
        <v>5,000-7,999</v>
      </c>
    </row>
    <row r="281" spans="1:24" x14ac:dyDescent="0.3">
      <c r="A281">
        <v>385</v>
      </c>
      <c r="B281">
        <v>50</v>
      </c>
      <c r="C281" t="s">
        <v>36</v>
      </c>
      <c r="D281" t="s">
        <v>23</v>
      </c>
      <c r="E281" t="s">
        <v>38</v>
      </c>
      <c r="F281">
        <v>4</v>
      </c>
      <c r="G281" t="s">
        <v>39</v>
      </c>
      <c r="H281" t="s">
        <v>26</v>
      </c>
      <c r="I281" t="s">
        <v>34</v>
      </c>
      <c r="J281" t="s">
        <v>40</v>
      </c>
      <c r="K281" t="s">
        <v>29</v>
      </c>
      <c r="L281" t="s">
        <v>57</v>
      </c>
      <c r="M281" t="s">
        <v>27</v>
      </c>
      <c r="N281" t="s">
        <v>51</v>
      </c>
      <c r="O281">
        <v>19144</v>
      </c>
      <c r="P281">
        <v>3</v>
      </c>
      <c r="Q281" t="s">
        <v>36</v>
      </c>
      <c r="R281">
        <v>14</v>
      </c>
      <c r="S281" t="s">
        <v>33</v>
      </c>
      <c r="T281" t="s">
        <v>34</v>
      </c>
      <c r="U281">
        <v>4</v>
      </c>
      <c r="V281" t="s">
        <v>49</v>
      </c>
      <c r="W281" t="str">
        <f>IF(HR_Data[[#This Row],[age]]&lt;25,"Under 25",IF(HR_Data[[#This Row],[age]]&lt;35,"25-34",IF(HR_Data[[#This Row],[age]]&lt;45,"35-44",IF(HR_Data[[#This Row],[age]]&lt;55,"45-54","55+"))))</f>
        <v>45-54</v>
      </c>
      <c r="X281" t="str">
        <f t="shared" si="4"/>
        <v>8,000+</v>
      </c>
    </row>
    <row r="282" spans="1:24" x14ac:dyDescent="0.3">
      <c r="A282">
        <v>386</v>
      </c>
      <c r="B282">
        <v>53</v>
      </c>
      <c r="C282" t="s">
        <v>36</v>
      </c>
      <c r="D282" t="s">
        <v>23</v>
      </c>
      <c r="E282" t="s">
        <v>38</v>
      </c>
      <c r="F282">
        <v>3</v>
      </c>
      <c r="G282" t="s">
        <v>47</v>
      </c>
      <c r="H282" t="s">
        <v>48</v>
      </c>
      <c r="I282" t="s">
        <v>29</v>
      </c>
      <c r="J282" t="s">
        <v>40</v>
      </c>
      <c r="K282" t="s">
        <v>29</v>
      </c>
      <c r="L282" t="s">
        <v>57</v>
      </c>
      <c r="M282" t="s">
        <v>29</v>
      </c>
      <c r="N282" t="s">
        <v>42</v>
      </c>
      <c r="O282">
        <v>17584</v>
      </c>
      <c r="P282">
        <v>3</v>
      </c>
      <c r="Q282" t="s">
        <v>22</v>
      </c>
      <c r="R282">
        <v>16</v>
      </c>
      <c r="S282" t="s">
        <v>33</v>
      </c>
      <c r="T282" t="s">
        <v>31</v>
      </c>
      <c r="U282">
        <v>5</v>
      </c>
      <c r="V282" t="s">
        <v>49</v>
      </c>
      <c r="W282" t="str">
        <f>IF(HR_Data[[#This Row],[age]]&lt;25,"Under 25",IF(HR_Data[[#This Row],[age]]&lt;35,"25-34",IF(HR_Data[[#This Row],[age]]&lt;45,"35-44",IF(HR_Data[[#This Row],[age]]&lt;55,"45-54","55+"))))</f>
        <v>45-54</v>
      </c>
      <c r="X282" t="str">
        <f t="shared" si="4"/>
        <v>8,000+</v>
      </c>
    </row>
    <row r="283" spans="1:24" x14ac:dyDescent="0.3">
      <c r="A283">
        <v>387</v>
      </c>
      <c r="B283">
        <v>42</v>
      </c>
      <c r="C283" t="s">
        <v>36</v>
      </c>
      <c r="D283" t="s">
        <v>23</v>
      </c>
      <c r="E283" t="s">
        <v>24</v>
      </c>
      <c r="F283">
        <v>1</v>
      </c>
      <c r="G283" t="s">
        <v>39</v>
      </c>
      <c r="H283" t="s">
        <v>26</v>
      </c>
      <c r="I283" t="s">
        <v>27</v>
      </c>
      <c r="J283" t="s">
        <v>40</v>
      </c>
      <c r="K283" t="s">
        <v>29</v>
      </c>
      <c r="L283" t="s">
        <v>30</v>
      </c>
      <c r="M283" t="s">
        <v>29</v>
      </c>
      <c r="N283" t="s">
        <v>42</v>
      </c>
      <c r="O283">
        <v>4907</v>
      </c>
      <c r="P283">
        <v>1</v>
      </c>
      <c r="Q283" t="s">
        <v>36</v>
      </c>
      <c r="R283">
        <v>25</v>
      </c>
      <c r="S283" t="s">
        <v>43</v>
      </c>
      <c r="T283" t="s">
        <v>29</v>
      </c>
      <c r="U283">
        <v>3</v>
      </c>
      <c r="V283" t="s">
        <v>44</v>
      </c>
      <c r="W283" t="str">
        <f>IF(HR_Data[[#This Row],[age]]&lt;25,"Under 25",IF(HR_Data[[#This Row],[age]]&lt;35,"25-34",IF(HR_Data[[#This Row],[age]]&lt;45,"35-44",IF(HR_Data[[#This Row],[age]]&lt;55,"45-54","55+"))))</f>
        <v>35-44</v>
      </c>
      <c r="X283" t="str">
        <f t="shared" si="4"/>
        <v>3,000-4,999</v>
      </c>
    </row>
    <row r="284" spans="1:24" x14ac:dyDescent="0.3">
      <c r="A284">
        <v>388</v>
      </c>
      <c r="B284">
        <v>29</v>
      </c>
      <c r="C284" t="s">
        <v>36</v>
      </c>
      <c r="D284" t="s">
        <v>37</v>
      </c>
      <c r="E284" t="s">
        <v>24</v>
      </c>
      <c r="F284">
        <v>2</v>
      </c>
      <c r="G284" t="s">
        <v>25</v>
      </c>
      <c r="H284" t="s">
        <v>26</v>
      </c>
      <c r="I284" t="s">
        <v>27</v>
      </c>
      <c r="J284" t="s">
        <v>40</v>
      </c>
      <c r="K284" t="s">
        <v>29</v>
      </c>
      <c r="L284" t="s">
        <v>30</v>
      </c>
      <c r="M284" t="s">
        <v>31</v>
      </c>
      <c r="N284" t="s">
        <v>32</v>
      </c>
      <c r="O284">
        <v>4554</v>
      </c>
      <c r="P284">
        <v>1</v>
      </c>
      <c r="Q284" t="s">
        <v>36</v>
      </c>
      <c r="R284">
        <v>18</v>
      </c>
      <c r="S284" t="s">
        <v>33</v>
      </c>
      <c r="T284" t="s">
        <v>34</v>
      </c>
      <c r="U284">
        <v>3</v>
      </c>
      <c r="V284" t="s">
        <v>49</v>
      </c>
      <c r="W284" t="str">
        <f>IF(HR_Data[[#This Row],[age]]&lt;25,"Under 25",IF(HR_Data[[#This Row],[age]]&lt;35,"25-34",IF(HR_Data[[#This Row],[age]]&lt;45,"35-44",IF(HR_Data[[#This Row],[age]]&lt;55,"45-54","55+"))))</f>
        <v>25-34</v>
      </c>
      <c r="X284" t="str">
        <f t="shared" si="4"/>
        <v>3,000-4,999</v>
      </c>
    </row>
    <row r="285" spans="1:24" x14ac:dyDescent="0.3">
      <c r="A285">
        <v>389</v>
      </c>
      <c r="B285">
        <v>55</v>
      </c>
      <c r="C285" t="s">
        <v>36</v>
      </c>
      <c r="D285" t="s">
        <v>23</v>
      </c>
      <c r="E285" t="s">
        <v>38</v>
      </c>
      <c r="F285">
        <v>20</v>
      </c>
      <c r="G285" t="s">
        <v>25</v>
      </c>
      <c r="H285" t="s">
        <v>60</v>
      </c>
      <c r="I285" t="s">
        <v>27</v>
      </c>
      <c r="J285" t="s">
        <v>40</v>
      </c>
      <c r="K285" t="s">
        <v>29</v>
      </c>
      <c r="L285" t="s">
        <v>46</v>
      </c>
      <c r="M285" t="s">
        <v>31</v>
      </c>
      <c r="N285" t="s">
        <v>42</v>
      </c>
      <c r="O285">
        <v>5415</v>
      </c>
      <c r="P285">
        <v>3</v>
      </c>
      <c r="Q285" t="s">
        <v>22</v>
      </c>
      <c r="R285">
        <v>19</v>
      </c>
      <c r="S285" t="s">
        <v>33</v>
      </c>
      <c r="T285" t="s">
        <v>31</v>
      </c>
      <c r="U285">
        <v>4</v>
      </c>
      <c r="V285" t="s">
        <v>44</v>
      </c>
      <c r="W285" t="str">
        <f>IF(HR_Data[[#This Row],[age]]&lt;25,"Under 25",IF(HR_Data[[#This Row],[age]]&lt;35,"25-34",IF(HR_Data[[#This Row],[age]]&lt;45,"35-44",IF(HR_Data[[#This Row],[age]]&lt;55,"45-54","55+"))))</f>
        <v>55+</v>
      </c>
      <c r="X285" t="str">
        <f t="shared" si="4"/>
        <v>5,000-7,999</v>
      </c>
    </row>
    <row r="286" spans="1:24" x14ac:dyDescent="0.3">
      <c r="A286">
        <v>390</v>
      </c>
      <c r="B286">
        <v>26</v>
      </c>
      <c r="C286" t="s">
        <v>36</v>
      </c>
      <c r="D286" t="s">
        <v>37</v>
      </c>
      <c r="E286" t="s">
        <v>38</v>
      </c>
      <c r="F286">
        <v>11</v>
      </c>
      <c r="G286" t="s">
        <v>25</v>
      </c>
      <c r="H286" t="s">
        <v>48</v>
      </c>
      <c r="I286" t="s">
        <v>34</v>
      </c>
      <c r="J286" t="s">
        <v>40</v>
      </c>
      <c r="K286" t="s">
        <v>29</v>
      </c>
      <c r="L286" t="s">
        <v>53</v>
      </c>
      <c r="M286" t="s">
        <v>34</v>
      </c>
      <c r="N286" t="s">
        <v>42</v>
      </c>
      <c r="O286">
        <v>4741</v>
      </c>
      <c r="P286">
        <v>1</v>
      </c>
      <c r="Q286" t="s">
        <v>22</v>
      </c>
      <c r="R286">
        <v>13</v>
      </c>
      <c r="S286" t="s">
        <v>33</v>
      </c>
      <c r="T286" t="s">
        <v>29</v>
      </c>
      <c r="U286">
        <v>3</v>
      </c>
      <c r="V286" t="s">
        <v>44</v>
      </c>
      <c r="W286" t="str">
        <f>IF(HR_Data[[#This Row],[age]]&lt;25,"Under 25",IF(HR_Data[[#This Row],[age]]&lt;35,"25-34",IF(HR_Data[[#This Row],[age]]&lt;45,"35-44",IF(HR_Data[[#This Row],[age]]&lt;55,"45-54","55+"))))</f>
        <v>25-34</v>
      </c>
      <c r="X286" t="str">
        <f t="shared" si="4"/>
        <v>3,000-4,999</v>
      </c>
    </row>
    <row r="287" spans="1:24" x14ac:dyDescent="0.3">
      <c r="A287">
        <v>391</v>
      </c>
      <c r="B287">
        <v>37</v>
      </c>
      <c r="C287" t="s">
        <v>36</v>
      </c>
      <c r="D287" t="s">
        <v>23</v>
      </c>
      <c r="E287" t="s">
        <v>38</v>
      </c>
      <c r="F287">
        <v>1</v>
      </c>
      <c r="G287" t="s">
        <v>50</v>
      </c>
      <c r="H287" t="s">
        <v>26</v>
      </c>
      <c r="I287" t="s">
        <v>31</v>
      </c>
      <c r="J287" t="s">
        <v>28</v>
      </c>
      <c r="K287" t="s">
        <v>29</v>
      </c>
      <c r="L287" t="s">
        <v>41</v>
      </c>
      <c r="M287" t="s">
        <v>31</v>
      </c>
      <c r="N287" t="s">
        <v>32</v>
      </c>
      <c r="O287">
        <v>2115</v>
      </c>
      <c r="P287">
        <v>1</v>
      </c>
      <c r="Q287" t="s">
        <v>36</v>
      </c>
      <c r="R287">
        <v>12</v>
      </c>
      <c r="S287" t="s">
        <v>33</v>
      </c>
      <c r="T287" t="s">
        <v>27</v>
      </c>
      <c r="U287">
        <v>3</v>
      </c>
      <c r="V287" t="s">
        <v>44</v>
      </c>
      <c r="W287" t="str">
        <f>IF(HR_Data[[#This Row],[age]]&lt;25,"Under 25",IF(HR_Data[[#This Row],[age]]&lt;35,"25-34",IF(HR_Data[[#This Row],[age]]&lt;45,"35-44",IF(HR_Data[[#This Row],[age]]&lt;55,"45-54","55+"))))</f>
        <v>35-44</v>
      </c>
      <c r="X287" t="str">
        <f t="shared" si="4"/>
        <v>Below 3,000</v>
      </c>
    </row>
    <row r="288" spans="1:24" x14ac:dyDescent="0.3">
      <c r="A288">
        <v>392</v>
      </c>
      <c r="B288">
        <v>44</v>
      </c>
      <c r="C288" t="s">
        <v>22</v>
      </c>
      <c r="D288" t="s">
        <v>37</v>
      </c>
      <c r="E288" t="s">
        <v>38</v>
      </c>
      <c r="F288">
        <v>24</v>
      </c>
      <c r="G288" t="s">
        <v>50</v>
      </c>
      <c r="H288" t="s">
        <v>26</v>
      </c>
      <c r="I288" t="s">
        <v>31</v>
      </c>
      <c r="J288" t="s">
        <v>40</v>
      </c>
      <c r="K288" t="s">
        <v>29</v>
      </c>
      <c r="L288" t="s">
        <v>46</v>
      </c>
      <c r="M288" t="s">
        <v>29</v>
      </c>
      <c r="N288" t="s">
        <v>51</v>
      </c>
      <c r="O288">
        <v>3161</v>
      </c>
      <c r="P288">
        <v>3</v>
      </c>
      <c r="Q288" t="s">
        <v>22</v>
      </c>
      <c r="R288">
        <v>22</v>
      </c>
      <c r="S288" t="s">
        <v>43</v>
      </c>
      <c r="T288" t="s">
        <v>31</v>
      </c>
      <c r="U288">
        <v>0</v>
      </c>
      <c r="V288" t="s">
        <v>35</v>
      </c>
      <c r="W288" t="str">
        <f>IF(HR_Data[[#This Row],[age]]&lt;25,"Under 25",IF(HR_Data[[#This Row],[age]]&lt;35,"25-34",IF(HR_Data[[#This Row],[age]]&lt;45,"35-44",IF(HR_Data[[#This Row],[age]]&lt;55,"45-54","55+"))))</f>
        <v>35-44</v>
      </c>
      <c r="X288" t="str">
        <f t="shared" si="4"/>
        <v>3,000-4,999</v>
      </c>
    </row>
    <row r="289" spans="1:24" x14ac:dyDescent="0.3">
      <c r="A289">
        <v>393</v>
      </c>
      <c r="B289">
        <v>38</v>
      </c>
      <c r="C289" t="s">
        <v>36</v>
      </c>
      <c r="D289" t="s">
        <v>23</v>
      </c>
      <c r="E289" t="s">
        <v>38</v>
      </c>
      <c r="F289">
        <v>23</v>
      </c>
      <c r="G289" t="s">
        <v>47</v>
      </c>
      <c r="H289" t="s">
        <v>26</v>
      </c>
      <c r="I289" t="s">
        <v>31</v>
      </c>
      <c r="J289" t="s">
        <v>40</v>
      </c>
      <c r="K289" t="s">
        <v>29</v>
      </c>
      <c r="L289" t="s">
        <v>53</v>
      </c>
      <c r="M289" t="s">
        <v>31</v>
      </c>
      <c r="N289" t="s">
        <v>51</v>
      </c>
      <c r="O289">
        <v>5745</v>
      </c>
      <c r="P289">
        <v>9</v>
      </c>
      <c r="Q289" t="s">
        <v>36</v>
      </c>
      <c r="R289">
        <v>14</v>
      </c>
      <c r="S289" t="s">
        <v>33</v>
      </c>
      <c r="T289" t="s">
        <v>27</v>
      </c>
      <c r="U289">
        <v>2</v>
      </c>
      <c r="V289" t="s">
        <v>44</v>
      </c>
      <c r="W289" t="str">
        <f>IF(HR_Data[[#This Row],[age]]&lt;25,"Under 25",IF(HR_Data[[#This Row],[age]]&lt;35,"25-34",IF(HR_Data[[#This Row],[age]]&lt;45,"35-44",IF(HR_Data[[#This Row],[age]]&lt;55,"45-54","55+"))))</f>
        <v>35-44</v>
      </c>
      <c r="X289" t="str">
        <f t="shared" si="4"/>
        <v>5,000-7,999</v>
      </c>
    </row>
    <row r="290" spans="1:24" x14ac:dyDescent="0.3">
      <c r="A290">
        <v>394</v>
      </c>
      <c r="B290">
        <v>26</v>
      </c>
      <c r="C290" t="s">
        <v>22</v>
      </c>
      <c r="D290" t="s">
        <v>23</v>
      </c>
      <c r="E290" t="s">
        <v>38</v>
      </c>
      <c r="F290">
        <v>16</v>
      </c>
      <c r="G290" t="s">
        <v>47</v>
      </c>
      <c r="H290" t="s">
        <v>48</v>
      </c>
      <c r="I290" t="s">
        <v>34</v>
      </c>
      <c r="J290" t="s">
        <v>40</v>
      </c>
      <c r="K290" t="s">
        <v>29</v>
      </c>
      <c r="L290" t="s">
        <v>46</v>
      </c>
      <c r="M290" t="s">
        <v>27</v>
      </c>
      <c r="N290" t="s">
        <v>51</v>
      </c>
      <c r="O290">
        <v>2373</v>
      </c>
      <c r="P290">
        <v>2</v>
      </c>
      <c r="Q290" t="s">
        <v>22</v>
      </c>
      <c r="R290">
        <v>13</v>
      </c>
      <c r="S290" t="s">
        <v>33</v>
      </c>
      <c r="T290" t="s">
        <v>31</v>
      </c>
      <c r="U290">
        <v>2</v>
      </c>
      <c r="V290" t="s">
        <v>44</v>
      </c>
      <c r="W290" t="str">
        <f>IF(HR_Data[[#This Row],[age]]&lt;25,"Under 25",IF(HR_Data[[#This Row],[age]]&lt;35,"25-34",IF(HR_Data[[#This Row],[age]]&lt;45,"35-44",IF(HR_Data[[#This Row],[age]]&lt;55,"45-54","55+"))))</f>
        <v>25-34</v>
      </c>
      <c r="X290" t="str">
        <f t="shared" si="4"/>
        <v>Below 3,000</v>
      </c>
    </row>
    <row r="291" spans="1:24" x14ac:dyDescent="0.3">
      <c r="A291">
        <v>395</v>
      </c>
      <c r="B291">
        <v>28</v>
      </c>
      <c r="C291" t="s">
        <v>36</v>
      </c>
      <c r="D291" t="s">
        <v>23</v>
      </c>
      <c r="E291" t="s">
        <v>38</v>
      </c>
      <c r="F291">
        <v>8</v>
      </c>
      <c r="G291" t="s">
        <v>25</v>
      </c>
      <c r="H291" t="s">
        <v>26</v>
      </c>
      <c r="I291" t="s">
        <v>31</v>
      </c>
      <c r="J291" t="s">
        <v>28</v>
      </c>
      <c r="K291" t="s">
        <v>29</v>
      </c>
      <c r="L291" t="s">
        <v>41</v>
      </c>
      <c r="M291" t="s">
        <v>31</v>
      </c>
      <c r="N291" t="s">
        <v>32</v>
      </c>
      <c r="O291">
        <v>3310</v>
      </c>
      <c r="P291">
        <v>1</v>
      </c>
      <c r="Q291" t="s">
        <v>36</v>
      </c>
      <c r="R291">
        <v>21</v>
      </c>
      <c r="S291" t="s">
        <v>43</v>
      </c>
      <c r="T291" t="s">
        <v>31</v>
      </c>
      <c r="U291">
        <v>3</v>
      </c>
      <c r="V291" t="s">
        <v>44</v>
      </c>
      <c r="W291" t="str">
        <f>IF(HR_Data[[#This Row],[age]]&lt;25,"Under 25",IF(HR_Data[[#This Row],[age]]&lt;35,"25-34",IF(HR_Data[[#This Row],[age]]&lt;45,"35-44",IF(HR_Data[[#This Row],[age]]&lt;55,"45-54","55+"))))</f>
        <v>25-34</v>
      </c>
      <c r="X291" t="str">
        <f t="shared" si="4"/>
        <v>3,000-4,999</v>
      </c>
    </row>
    <row r="292" spans="1:24" x14ac:dyDescent="0.3">
      <c r="A292">
        <v>396</v>
      </c>
      <c r="B292">
        <v>49</v>
      </c>
      <c r="C292" t="s">
        <v>36</v>
      </c>
      <c r="D292" t="s">
        <v>37</v>
      </c>
      <c r="E292" t="s">
        <v>38</v>
      </c>
      <c r="F292">
        <v>10</v>
      </c>
      <c r="G292" t="s">
        <v>47</v>
      </c>
      <c r="H292" t="s">
        <v>26</v>
      </c>
      <c r="I292" t="s">
        <v>29</v>
      </c>
      <c r="J292" t="s">
        <v>28</v>
      </c>
      <c r="K292" t="s">
        <v>29</v>
      </c>
      <c r="L292" t="s">
        <v>57</v>
      </c>
      <c r="M292" t="s">
        <v>34</v>
      </c>
      <c r="N292" t="s">
        <v>32</v>
      </c>
      <c r="O292">
        <v>18665</v>
      </c>
      <c r="P292">
        <v>9</v>
      </c>
      <c r="Q292" t="s">
        <v>22</v>
      </c>
      <c r="R292">
        <v>11</v>
      </c>
      <c r="S292" t="s">
        <v>33</v>
      </c>
      <c r="T292" t="s">
        <v>31</v>
      </c>
      <c r="U292">
        <v>4</v>
      </c>
      <c r="V292" t="s">
        <v>44</v>
      </c>
      <c r="W292" t="str">
        <f>IF(HR_Data[[#This Row],[age]]&lt;25,"Under 25",IF(HR_Data[[#This Row],[age]]&lt;35,"25-34",IF(HR_Data[[#This Row],[age]]&lt;45,"35-44",IF(HR_Data[[#This Row],[age]]&lt;55,"45-54","55+"))))</f>
        <v>45-54</v>
      </c>
      <c r="X292" t="str">
        <f t="shared" si="4"/>
        <v>8,000+</v>
      </c>
    </row>
    <row r="293" spans="1:24" x14ac:dyDescent="0.3">
      <c r="A293">
        <v>397</v>
      </c>
      <c r="B293">
        <v>36</v>
      </c>
      <c r="C293" t="s">
        <v>36</v>
      </c>
      <c r="D293" t="s">
        <v>23</v>
      </c>
      <c r="E293" t="s">
        <v>38</v>
      </c>
      <c r="F293">
        <v>3</v>
      </c>
      <c r="G293" t="s">
        <v>50</v>
      </c>
      <c r="H293" t="s">
        <v>60</v>
      </c>
      <c r="I293" t="s">
        <v>29</v>
      </c>
      <c r="J293" t="s">
        <v>40</v>
      </c>
      <c r="K293" t="s">
        <v>29</v>
      </c>
      <c r="L293" t="s">
        <v>41</v>
      </c>
      <c r="M293" t="s">
        <v>27</v>
      </c>
      <c r="N293" t="s">
        <v>32</v>
      </c>
      <c r="O293">
        <v>4485</v>
      </c>
      <c r="P293">
        <v>4</v>
      </c>
      <c r="Q293" t="s">
        <v>36</v>
      </c>
      <c r="R293">
        <v>12</v>
      </c>
      <c r="S293" t="s">
        <v>33</v>
      </c>
      <c r="T293" t="s">
        <v>31</v>
      </c>
      <c r="U293">
        <v>2</v>
      </c>
      <c r="V293" t="s">
        <v>44</v>
      </c>
      <c r="W293" t="str">
        <f>IF(HR_Data[[#This Row],[age]]&lt;25,"Under 25",IF(HR_Data[[#This Row],[age]]&lt;35,"25-34",IF(HR_Data[[#This Row],[age]]&lt;45,"35-44",IF(HR_Data[[#This Row],[age]]&lt;55,"45-54","55+"))))</f>
        <v>35-44</v>
      </c>
      <c r="X293" t="str">
        <f t="shared" si="4"/>
        <v>3,000-4,999</v>
      </c>
    </row>
    <row r="294" spans="1:24" x14ac:dyDescent="0.3">
      <c r="A294">
        <v>399</v>
      </c>
      <c r="B294">
        <v>31</v>
      </c>
      <c r="C294" t="s">
        <v>36</v>
      </c>
      <c r="D294" t="s">
        <v>37</v>
      </c>
      <c r="E294" t="s">
        <v>24</v>
      </c>
      <c r="F294">
        <v>5</v>
      </c>
      <c r="G294" t="s">
        <v>50</v>
      </c>
      <c r="H294" t="s">
        <v>58</v>
      </c>
      <c r="I294" t="s">
        <v>31</v>
      </c>
      <c r="J294" t="s">
        <v>28</v>
      </c>
      <c r="K294" t="s">
        <v>29</v>
      </c>
      <c r="L294" t="s">
        <v>56</v>
      </c>
      <c r="M294" t="s">
        <v>27</v>
      </c>
      <c r="N294" t="s">
        <v>51</v>
      </c>
      <c r="O294">
        <v>2789</v>
      </c>
      <c r="P294">
        <v>1</v>
      </c>
      <c r="Q294" t="s">
        <v>36</v>
      </c>
      <c r="R294">
        <v>11</v>
      </c>
      <c r="S294" t="s">
        <v>33</v>
      </c>
      <c r="T294" t="s">
        <v>29</v>
      </c>
      <c r="U294">
        <v>5</v>
      </c>
      <c r="V294" t="s">
        <v>49</v>
      </c>
      <c r="W294" t="str">
        <f>IF(HR_Data[[#This Row],[age]]&lt;25,"Under 25",IF(HR_Data[[#This Row],[age]]&lt;35,"25-34",IF(HR_Data[[#This Row],[age]]&lt;45,"35-44",IF(HR_Data[[#This Row],[age]]&lt;55,"45-54","55+"))))</f>
        <v>25-34</v>
      </c>
      <c r="X294" t="str">
        <f t="shared" si="4"/>
        <v>Below 3,000</v>
      </c>
    </row>
    <row r="295" spans="1:24" x14ac:dyDescent="0.3">
      <c r="A295">
        <v>401</v>
      </c>
      <c r="B295">
        <v>26</v>
      </c>
      <c r="C295" t="s">
        <v>22</v>
      </c>
      <c r="D295" t="s">
        <v>23</v>
      </c>
      <c r="E295" t="s">
        <v>24</v>
      </c>
      <c r="F295">
        <v>4</v>
      </c>
      <c r="G295" t="s">
        <v>47</v>
      </c>
      <c r="H295" t="s">
        <v>58</v>
      </c>
      <c r="I295" t="s">
        <v>31</v>
      </c>
      <c r="J295" t="s">
        <v>40</v>
      </c>
      <c r="K295" t="s">
        <v>27</v>
      </c>
      <c r="L295" t="s">
        <v>30</v>
      </c>
      <c r="M295" t="s">
        <v>31</v>
      </c>
      <c r="N295" t="s">
        <v>32</v>
      </c>
      <c r="O295">
        <v>5828</v>
      </c>
      <c r="P295">
        <v>1</v>
      </c>
      <c r="Q295" t="s">
        <v>22</v>
      </c>
      <c r="R295">
        <v>12</v>
      </c>
      <c r="S295" t="s">
        <v>33</v>
      </c>
      <c r="T295" t="s">
        <v>27</v>
      </c>
      <c r="U295">
        <v>0</v>
      </c>
      <c r="V295" t="s">
        <v>44</v>
      </c>
      <c r="W295" t="str">
        <f>IF(HR_Data[[#This Row],[age]]&lt;25,"Under 25",IF(HR_Data[[#This Row],[age]]&lt;35,"25-34",IF(HR_Data[[#This Row],[age]]&lt;45,"35-44",IF(HR_Data[[#This Row],[age]]&lt;55,"45-54","55+"))))</f>
        <v>25-34</v>
      </c>
      <c r="X295" t="str">
        <f t="shared" si="4"/>
        <v>5,000-7,999</v>
      </c>
    </row>
    <row r="296" spans="1:24" x14ac:dyDescent="0.3">
      <c r="A296">
        <v>403</v>
      </c>
      <c r="B296">
        <v>37</v>
      </c>
      <c r="C296" t="s">
        <v>36</v>
      </c>
      <c r="D296" t="s">
        <v>37</v>
      </c>
      <c r="E296" t="s">
        <v>38</v>
      </c>
      <c r="F296">
        <v>9</v>
      </c>
      <c r="G296" t="s">
        <v>50</v>
      </c>
      <c r="H296" t="s">
        <v>48</v>
      </c>
      <c r="I296" t="s">
        <v>27</v>
      </c>
      <c r="J296" t="s">
        <v>40</v>
      </c>
      <c r="K296" t="s">
        <v>29</v>
      </c>
      <c r="L296" t="s">
        <v>41</v>
      </c>
      <c r="M296" t="s">
        <v>31</v>
      </c>
      <c r="N296" t="s">
        <v>42</v>
      </c>
      <c r="O296">
        <v>2326</v>
      </c>
      <c r="P296">
        <v>1</v>
      </c>
      <c r="Q296" t="s">
        <v>22</v>
      </c>
      <c r="R296">
        <v>12</v>
      </c>
      <c r="S296" t="s">
        <v>33</v>
      </c>
      <c r="T296" t="s">
        <v>29</v>
      </c>
      <c r="U296">
        <v>3</v>
      </c>
      <c r="V296" t="s">
        <v>49</v>
      </c>
      <c r="W296" t="str">
        <f>IF(HR_Data[[#This Row],[age]]&lt;25,"Under 25",IF(HR_Data[[#This Row],[age]]&lt;35,"25-34",IF(HR_Data[[#This Row],[age]]&lt;45,"35-44",IF(HR_Data[[#This Row],[age]]&lt;55,"45-54","55+"))))</f>
        <v>35-44</v>
      </c>
      <c r="X296" t="str">
        <f t="shared" si="4"/>
        <v>Below 3,000</v>
      </c>
    </row>
    <row r="297" spans="1:24" x14ac:dyDescent="0.3">
      <c r="A297">
        <v>404</v>
      </c>
      <c r="B297">
        <v>42</v>
      </c>
      <c r="C297" t="s">
        <v>36</v>
      </c>
      <c r="D297" t="s">
        <v>37</v>
      </c>
      <c r="E297" t="s">
        <v>24</v>
      </c>
      <c r="F297">
        <v>26</v>
      </c>
      <c r="G297" t="s">
        <v>50</v>
      </c>
      <c r="H297" t="s">
        <v>58</v>
      </c>
      <c r="I297" t="s">
        <v>29</v>
      </c>
      <c r="J297" t="s">
        <v>28</v>
      </c>
      <c r="K297" t="s">
        <v>29</v>
      </c>
      <c r="L297" t="s">
        <v>30</v>
      </c>
      <c r="M297" t="s">
        <v>27</v>
      </c>
      <c r="N297" t="s">
        <v>42</v>
      </c>
      <c r="O297">
        <v>13525</v>
      </c>
      <c r="P297">
        <v>5</v>
      </c>
      <c r="Q297" t="s">
        <v>36</v>
      </c>
      <c r="R297">
        <v>14</v>
      </c>
      <c r="S297" t="s">
        <v>33</v>
      </c>
      <c r="T297" t="s">
        <v>31</v>
      </c>
      <c r="U297">
        <v>2</v>
      </c>
      <c r="V297" t="s">
        <v>59</v>
      </c>
      <c r="W297" t="str">
        <f>IF(HR_Data[[#This Row],[age]]&lt;25,"Under 25",IF(HR_Data[[#This Row],[age]]&lt;35,"25-34",IF(HR_Data[[#This Row],[age]]&lt;45,"35-44",IF(HR_Data[[#This Row],[age]]&lt;55,"45-54","55+"))))</f>
        <v>35-44</v>
      </c>
      <c r="X297" t="str">
        <f t="shared" si="4"/>
        <v>8,000+</v>
      </c>
    </row>
    <row r="298" spans="1:24" x14ac:dyDescent="0.3">
      <c r="A298">
        <v>405</v>
      </c>
      <c r="B298">
        <v>18</v>
      </c>
      <c r="C298" t="s">
        <v>22</v>
      </c>
      <c r="D298" t="s">
        <v>23</v>
      </c>
      <c r="E298" t="s">
        <v>38</v>
      </c>
      <c r="F298">
        <v>3</v>
      </c>
      <c r="G298" t="s">
        <v>50</v>
      </c>
      <c r="H298" t="s">
        <v>26</v>
      </c>
      <c r="I298" t="s">
        <v>29</v>
      </c>
      <c r="J298" t="s">
        <v>40</v>
      </c>
      <c r="K298" t="s">
        <v>29</v>
      </c>
      <c r="L298" t="s">
        <v>46</v>
      </c>
      <c r="M298" t="s">
        <v>29</v>
      </c>
      <c r="N298" t="s">
        <v>32</v>
      </c>
      <c r="O298">
        <v>1420</v>
      </c>
      <c r="P298">
        <v>1</v>
      </c>
      <c r="Q298" t="s">
        <v>36</v>
      </c>
      <c r="R298">
        <v>13</v>
      </c>
      <c r="S298" t="s">
        <v>33</v>
      </c>
      <c r="T298" t="s">
        <v>29</v>
      </c>
      <c r="U298">
        <v>2</v>
      </c>
      <c r="V298" t="s">
        <v>44</v>
      </c>
      <c r="W298" t="str">
        <f>IF(HR_Data[[#This Row],[age]]&lt;25,"Under 25",IF(HR_Data[[#This Row],[age]]&lt;35,"25-34",IF(HR_Data[[#This Row],[age]]&lt;45,"35-44",IF(HR_Data[[#This Row],[age]]&lt;55,"45-54","55+"))))</f>
        <v>Under 25</v>
      </c>
      <c r="X298" t="str">
        <f t="shared" si="4"/>
        <v>Below 3,000</v>
      </c>
    </row>
    <row r="299" spans="1:24" x14ac:dyDescent="0.3">
      <c r="A299">
        <v>406</v>
      </c>
      <c r="B299">
        <v>35</v>
      </c>
      <c r="C299" t="s">
        <v>36</v>
      </c>
      <c r="D299" t="s">
        <v>23</v>
      </c>
      <c r="E299" t="s">
        <v>24</v>
      </c>
      <c r="F299">
        <v>16</v>
      </c>
      <c r="G299" t="s">
        <v>50</v>
      </c>
      <c r="H299" t="s">
        <v>58</v>
      </c>
      <c r="I299" t="s">
        <v>29</v>
      </c>
      <c r="J299" t="s">
        <v>40</v>
      </c>
      <c r="K299" t="s">
        <v>29</v>
      </c>
      <c r="L299" t="s">
        <v>30</v>
      </c>
      <c r="M299" t="s">
        <v>27</v>
      </c>
      <c r="N299" t="s">
        <v>42</v>
      </c>
      <c r="O299">
        <v>8020</v>
      </c>
      <c r="P299">
        <v>0</v>
      </c>
      <c r="Q299" t="s">
        <v>36</v>
      </c>
      <c r="R299">
        <v>15</v>
      </c>
      <c r="S299" t="s">
        <v>33</v>
      </c>
      <c r="T299" t="s">
        <v>29</v>
      </c>
      <c r="U299">
        <v>3</v>
      </c>
      <c r="V299" t="s">
        <v>49</v>
      </c>
      <c r="W299" t="str">
        <f>IF(HR_Data[[#This Row],[age]]&lt;25,"Under 25",IF(HR_Data[[#This Row],[age]]&lt;35,"25-34",IF(HR_Data[[#This Row],[age]]&lt;45,"35-44",IF(HR_Data[[#This Row],[age]]&lt;55,"45-54","55+"))))</f>
        <v>35-44</v>
      </c>
      <c r="X299" t="str">
        <f t="shared" si="4"/>
        <v>8,000+</v>
      </c>
    </row>
    <row r="300" spans="1:24" x14ac:dyDescent="0.3">
      <c r="A300">
        <v>407</v>
      </c>
      <c r="B300">
        <v>36</v>
      </c>
      <c r="C300" t="s">
        <v>36</v>
      </c>
      <c r="D300" t="s">
        <v>37</v>
      </c>
      <c r="E300" t="s">
        <v>38</v>
      </c>
      <c r="F300">
        <v>18</v>
      </c>
      <c r="G300" t="s">
        <v>47</v>
      </c>
      <c r="H300" t="s">
        <v>26</v>
      </c>
      <c r="I300" t="s">
        <v>29</v>
      </c>
      <c r="J300" t="s">
        <v>40</v>
      </c>
      <c r="K300" t="s">
        <v>31</v>
      </c>
      <c r="L300" t="s">
        <v>46</v>
      </c>
      <c r="M300" t="s">
        <v>31</v>
      </c>
      <c r="N300" t="s">
        <v>42</v>
      </c>
      <c r="O300">
        <v>3688</v>
      </c>
      <c r="P300">
        <v>4</v>
      </c>
      <c r="Q300" t="s">
        <v>36</v>
      </c>
      <c r="R300">
        <v>18</v>
      </c>
      <c r="S300" t="s">
        <v>33</v>
      </c>
      <c r="T300" t="s">
        <v>31</v>
      </c>
      <c r="U300">
        <v>2</v>
      </c>
      <c r="V300" t="s">
        <v>44</v>
      </c>
      <c r="W300" t="str">
        <f>IF(HR_Data[[#This Row],[age]]&lt;25,"Under 25",IF(HR_Data[[#This Row],[age]]&lt;35,"25-34",IF(HR_Data[[#This Row],[age]]&lt;45,"35-44",IF(HR_Data[[#This Row],[age]]&lt;55,"45-54","55+"))))</f>
        <v>35-44</v>
      </c>
      <c r="X300" t="str">
        <f t="shared" si="4"/>
        <v>3,000-4,999</v>
      </c>
    </row>
    <row r="301" spans="1:24" x14ac:dyDescent="0.3">
      <c r="A301">
        <v>408</v>
      </c>
      <c r="B301">
        <v>51</v>
      </c>
      <c r="C301" t="s">
        <v>36</v>
      </c>
      <c r="D301" t="s">
        <v>23</v>
      </c>
      <c r="E301" t="s">
        <v>38</v>
      </c>
      <c r="F301">
        <v>2</v>
      </c>
      <c r="G301" t="s">
        <v>50</v>
      </c>
      <c r="H301" t="s">
        <v>48</v>
      </c>
      <c r="I301" t="s">
        <v>31</v>
      </c>
      <c r="J301" t="s">
        <v>40</v>
      </c>
      <c r="K301" t="s">
        <v>34</v>
      </c>
      <c r="L301" t="s">
        <v>52</v>
      </c>
      <c r="M301" t="s">
        <v>27</v>
      </c>
      <c r="N301" t="s">
        <v>51</v>
      </c>
      <c r="O301">
        <v>5482</v>
      </c>
      <c r="P301">
        <v>5</v>
      </c>
      <c r="Q301" t="s">
        <v>36</v>
      </c>
      <c r="R301">
        <v>18</v>
      </c>
      <c r="S301" t="s">
        <v>33</v>
      </c>
      <c r="T301" t="s">
        <v>31</v>
      </c>
      <c r="U301">
        <v>3</v>
      </c>
      <c r="V301" t="s">
        <v>44</v>
      </c>
      <c r="W301" t="str">
        <f>IF(HR_Data[[#This Row],[age]]&lt;25,"Under 25",IF(HR_Data[[#This Row],[age]]&lt;35,"25-34",IF(HR_Data[[#This Row],[age]]&lt;45,"35-44",IF(HR_Data[[#This Row],[age]]&lt;55,"45-54","55+"))))</f>
        <v>45-54</v>
      </c>
      <c r="X301" t="str">
        <f t="shared" si="4"/>
        <v>5,000-7,999</v>
      </c>
    </row>
    <row r="302" spans="1:24" x14ac:dyDescent="0.3">
      <c r="A302">
        <v>410</v>
      </c>
      <c r="B302">
        <v>41</v>
      </c>
      <c r="C302" t="s">
        <v>36</v>
      </c>
      <c r="D302" t="s">
        <v>23</v>
      </c>
      <c r="E302" t="s">
        <v>24</v>
      </c>
      <c r="F302">
        <v>2</v>
      </c>
      <c r="G302" t="s">
        <v>47</v>
      </c>
      <c r="H302" t="s">
        <v>26</v>
      </c>
      <c r="I302" t="s">
        <v>31</v>
      </c>
      <c r="J302" t="s">
        <v>40</v>
      </c>
      <c r="K302" t="s">
        <v>29</v>
      </c>
      <c r="L302" t="s">
        <v>55</v>
      </c>
      <c r="M302" t="s">
        <v>27</v>
      </c>
      <c r="N302" t="s">
        <v>32</v>
      </c>
      <c r="O302">
        <v>16015</v>
      </c>
      <c r="P302">
        <v>1</v>
      </c>
      <c r="Q302" t="s">
        <v>36</v>
      </c>
      <c r="R302">
        <v>19</v>
      </c>
      <c r="S302" t="s">
        <v>33</v>
      </c>
      <c r="T302" t="s">
        <v>27</v>
      </c>
      <c r="U302">
        <v>2</v>
      </c>
      <c r="V302" t="s">
        <v>44</v>
      </c>
      <c r="W302" t="str">
        <f>IF(HR_Data[[#This Row],[age]]&lt;25,"Under 25",IF(HR_Data[[#This Row],[age]]&lt;35,"25-34",IF(HR_Data[[#This Row],[age]]&lt;45,"35-44",IF(HR_Data[[#This Row],[age]]&lt;55,"45-54","55+"))))</f>
        <v>35-44</v>
      </c>
      <c r="X302" t="str">
        <f t="shared" si="4"/>
        <v>8,000+</v>
      </c>
    </row>
    <row r="303" spans="1:24" x14ac:dyDescent="0.3">
      <c r="A303">
        <v>411</v>
      </c>
      <c r="B303">
        <v>18</v>
      </c>
      <c r="C303" t="s">
        <v>36</v>
      </c>
      <c r="D303" t="s">
        <v>23</v>
      </c>
      <c r="E303" t="s">
        <v>24</v>
      </c>
      <c r="F303">
        <v>10</v>
      </c>
      <c r="G303" t="s">
        <v>50</v>
      </c>
      <c r="H303" t="s">
        <v>48</v>
      </c>
      <c r="I303" t="s">
        <v>31</v>
      </c>
      <c r="J303" t="s">
        <v>28</v>
      </c>
      <c r="K303" t="s">
        <v>27</v>
      </c>
      <c r="L303" t="s">
        <v>56</v>
      </c>
      <c r="M303" t="s">
        <v>29</v>
      </c>
      <c r="N303" t="s">
        <v>32</v>
      </c>
      <c r="O303">
        <v>1200</v>
      </c>
      <c r="P303">
        <v>1</v>
      </c>
      <c r="Q303" t="s">
        <v>36</v>
      </c>
      <c r="R303">
        <v>12</v>
      </c>
      <c r="S303" t="s">
        <v>33</v>
      </c>
      <c r="T303" t="s">
        <v>34</v>
      </c>
      <c r="U303">
        <v>2</v>
      </c>
      <c r="V303" t="s">
        <v>44</v>
      </c>
      <c r="W303" t="str">
        <f>IF(HR_Data[[#This Row],[age]]&lt;25,"Under 25",IF(HR_Data[[#This Row],[age]]&lt;35,"25-34",IF(HR_Data[[#This Row],[age]]&lt;45,"35-44",IF(HR_Data[[#This Row],[age]]&lt;55,"45-54","55+"))))</f>
        <v>Under 25</v>
      </c>
      <c r="X303" t="str">
        <f t="shared" si="4"/>
        <v>Below 3,000</v>
      </c>
    </row>
    <row r="304" spans="1:24" x14ac:dyDescent="0.3">
      <c r="A304">
        <v>412</v>
      </c>
      <c r="B304">
        <v>28</v>
      </c>
      <c r="C304" t="s">
        <v>36</v>
      </c>
      <c r="D304" t="s">
        <v>23</v>
      </c>
      <c r="E304" t="s">
        <v>38</v>
      </c>
      <c r="F304">
        <v>16</v>
      </c>
      <c r="G304" t="s">
        <v>25</v>
      </c>
      <c r="H304" t="s">
        <v>48</v>
      </c>
      <c r="I304" t="s">
        <v>27</v>
      </c>
      <c r="J304" t="s">
        <v>40</v>
      </c>
      <c r="K304" t="s">
        <v>31</v>
      </c>
      <c r="L304" t="s">
        <v>53</v>
      </c>
      <c r="M304" t="s">
        <v>34</v>
      </c>
      <c r="N304" t="s">
        <v>32</v>
      </c>
      <c r="O304">
        <v>5661</v>
      </c>
      <c r="P304">
        <v>0</v>
      </c>
      <c r="Q304" t="s">
        <v>36</v>
      </c>
      <c r="R304">
        <v>19</v>
      </c>
      <c r="S304" t="s">
        <v>33</v>
      </c>
      <c r="T304" t="s">
        <v>29</v>
      </c>
      <c r="U304">
        <v>2</v>
      </c>
      <c r="V304" t="s">
        <v>44</v>
      </c>
      <c r="W304" t="str">
        <f>IF(HR_Data[[#This Row],[age]]&lt;25,"Under 25",IF(HR_Data[[#This Row],[age]]&lt;35,"25-34",IF(HR_Data[[#This Row],[age]]&lt;45,"35-44",IF(HR_Data[[#This Row],[age]]&lt;55,"45-54","55+"))))</f>
        <v>25-34</v>
      </c>
      <c r="X304" t="str">
        <f t="shared" si="4"/>
        <v>5,000-7,999</v>
      </c>
    </row>
    <row r="305" spans="1:24" x14ac:dyDescent="0.3">
      <c r="A305">
        <v>416</v>
      </c>
      <c r="B305">
        <v>31</v>
      </c>
      <c r="C305" t="s">
        <v>36</v>
      </c>
      <c r="D305" t="s">
        <v>23</v>
      </c>
      <c r="E305" t="s">
        <v>24</v>
      </c>
      <c r="F305">
        <v>7</v>
      </c>
      <c r="G305" t="s">
        <v>50</v>
      </c>
      <c r="H305" t="s">
        <v>60</v>
      </c>
      <c r="I305" t="s">
        <v>27</v>
      </c>
      <c r="J305" t="s">
        <v>40</v>
      </c>
      <c r="K305" t="s">
        <v>31</v>
      </c>
      <c r="L305" t="s">
        <v>30</v>
      </c>
      <c r="M305" t="s">
        <v>31</v>
      </c>
      <c r="N305" t="s">
        <v>42</v>
      </c>
      <c r="O305">
        <v>6929</v>
      </c>
      <c r="P305">
        <v>4</v>
      </c>
      <c r="Q305" t="s">
        <v>36</v>
      </c>
      <c r="R305">
        <v>11</v>
      </c>
      <c r="S305" t="s">
        <v>33</v>
      </c>
      <c r="T305" t="s">
        <v>27</v>
      </c>
      <c r="U305">
        <v>3</v>
      </c>
      <c r="V305" t="s">
        <v>49</v>
      </c>
      <c r="W305" t="str">
        <f>IF(HR_Data[[#This Row],[age]]&lt;25,"Under 25",IF(HR_Data[[#This Row],[age]]&lt;35,"25-34",IF(HR_Data[[#This Row],[age]]&lt;45,"35-44",IF(HR_Data[[#This Row],[age]]&lt;55,"45-54","55+"))))</f>
        <v>25-34</v>
      </c>
      <c r="X305" t="str">
        <f t="shared" si="4"/>
        <v>5,000-7,999</v>
      </c>
    </row>
    <row r="306" spans="1:24" x14ac:dyDescent="0.3">
      <c r="A306">
        <v>417</v>
      </c>
      <c r="B306">
        <v>39</v>
      </c>
      <c r="C306" t="s">
        <v>36</v>
      </c>
      <c r="D306" t="s">
        <v>23</v>
      </c>
      <c r="E306" t="s">
        <v>38</v>
      </c>
      <c r="F306">
        <v>1</v>
      </c>
      <c r="G306" t="s">
        <v>50</v>
      </c>
      <c r="H306" t="s">
        <v>48</v>
      </c>
      <c r="I306" t="s">
        <v>29</v>
      </c>
      <c r="J306" t="s">
        <v>40</v>
      </c>
      <c r="K306" t="s">
        <v>31</v>
      </c>
      <c r="L306" t="s">
        <v>53</v>
      </c>
      <c r="M306" t="s">
        <v>31</v>
      </c>
      <c r="N306" t="s">
        <v>51</v>
      </c>
      <c r="O306">
        <v>9613</v>
      </c>
      <c r="P306">
        <v>0</v>
      </c>
      <c r="Q306" t="s">
        <v>36</v>
      </c>
      <c r="R306">
        <v>17</v>
      </c>
      <c r="S306" t="s">
        <v>33</v>
      </c>
      <c r="T306" t="s">
        <v>34</v>
      </c>
      <c r="U306">
        <v>5</v>
      </c>
      <c r="V306" t="s">
        <v>49</v>
      </c>
      <c r="W306" t="str">
        <f>IF(HR_Data[[#This Row],[age]]&lt;25,"Under 25",IF(HR_Data[[#This Row],[age]]&lt;35,"25-34",IF(HR_Data[[#This Row],[age]]&lt;45,"35-44",IF(HR_Data[[#This Row],[age]]&lt;55,"45-54","55+"))))</f>
        <v>35-44</v>
      </c>
      <c r="X306" t="str">
        <f t="shared" si="4"/>
        <v>8,000+</v>
      </c>
    </row>
    <row r="307" spans="1:24" x14ac:dyDescent="0.3">
      <c r="A307">
        <v>419</v>
      </c>
      <c r="B307">
        <v>36</v>
      </c>
      <c r="C307" t="s">
        <v>36</v>
      </c>
      <c r="D307" t="s">
        <v>54</v>
      </c>
      <c r="E307" t="s">
        <v>38</v>
      </c>
      <c r="F307">
        <v>24</v>
      </c>
      <c r="G307" t="s">
        <v>47</v>
      </c>
      <c r="H307" t="s">
        <v>26</v>
      </c>
      <c r="I307" t="s">
        <v>27</v>
      </c>
      <c r="J307" t="s">
        <v>28</v>
      </c>
      <c r="K307" t="s">
        <v>29</v>
      </c>
      <c r="L307" t="s">
        <v>46</v>
      </c>
      <c r="M307" t="s">
        <v>27</v>
      </c>
      <c r="N307" t="s">
        <v>42</v>
      </c>
      <c r="O307">
        <v>5674</v>
      </c>
      <c r="P307">
        <v>7</v>
      </c>
      <c r="Q307" t="s">
        <v>36</v>
      </c>
      <c r="R307">
        <v>15</v>
      </c>
      <c r="S307" t="s">
        <v>33</v>
      </c>
      <c r="T307" t="s">
        <v>29</v>
      </c>
      <c r="U307">
        <v>3</v>
      </c>
      <c r="V307" t="s">
        <v>44</v>
      </c>
      <c r="W307" t="str">
        <f>IF(HR_Data[[#This Row],[age]]&lt;25,"Under 25",IF(HR_Data[[#This Row],[age]]&lt;35,"25-34",IF(HR_Data[[#This Row],[age]]&lt;45,"35-44",IF(HR_Data[[#This Row],[age]]&lt;55,"45-54","55+"))))</f>
        <v>35-44</v>
      </c>
      <c r="X307" t="str">
        <f t="shared" si="4"/>
        <v>5,000-7,999</v>
      </c>
    </row>
    <row r="308" spans="1:24" x14ac:dyDescent="0.3">
      <c r="A308">
        <v>420</v>
      </c>
      <c r="B308">
        <v>32</v>
      </c>
      <c r="C308" t="s">
        <v>36</v>
      </c>
      <c r="D308" t="s">
        <v>23</v>
      </c>
      <c r="E308" t="s">
        <v>24</v>
      </c>
      <c r="F308">
        <v>7</v>
      </c>
      <c r="G308" t="s">
        <v>50</v>
      </c>
      <c r="H308" t="s">
        <v>26</v>
      </c>
      <c r="I308" t="s">
        <v>31</v>
      </c>
      <c r="J308" t="s">
        <v>40</v>
      </c>
      <c r="K308" t="s">
        <v>27</v>
      </c>
      <c r="L308" t="s">
        <v>30</v>
      </c>
      <c r="M308" t="s">
        <v>29</v>
      </c>
      <c r="N308" t="s">
        <v>42</v>
      </c>
      <c r="O308">
        <v>5484</v>
      </c>
      <c r="P308">
        <v>1</v>
      </c>
      <c r="Q308" t="s">
        <v>36</v>
      </c>
      <c r="R308">
        <v>14</v>
      </c>
      <c r="S308" t="s">
        <v>33</v>
      </c>
      <c r="T308" t="s">
        <v>29</v>
      </c>
      <c r="U308">
        <v>3</v>
      </c>
      <c r="V308" t="s">
        <v>49</v>
      </c>
      <c r="W308" t="str">
        <f>IF(HR_Data[[#This Row],[age]]&lt;25,"Under 25",IF(HR_Data[[#This Row],[age]]&lt;35,"25-34",IF(HR_Data[[#This Row],[age]]&lt;45,"35-44",IF(HR_Data[[#This Row],[age]]&lt;55,"45-54","55+"))))</f>
        <v>25-34</v>
      </c>
      <c r="X308" t="str">
        <f t="shared" si="4"/>
        <v>5,000-7,999</v>
      </c>
    </row>
    <row r="309" spans="1:24" x14ac:dyDescent="0.3">
      <c r="A309">
        <v>421</v>
      </c>
      <c r="B309">
        <v>38</v>
      </c>
      <c r="C309" t="s">
        <v>36</v>
      </c>
      <c r="D309" t="s">
        <v>23</v>
      </c>
      <c r="E309" t="s">
        <v>38</v>
      </c>
      <c r="F309">
        <v>25</v>
      </c>
      <c r="G309" t="s">
        <v>25</v>
      </c>
      <c r="H309" t="s">
        <v>26</v>
      </c>
      <c r="I309" t="s">
        <v>34</v>
      </c>
      <c r="J309" t="s">
        <v>28</v>
      </c>
      <c r="K309" t="s">
        <v>27</v>
      </c>
      <c r="L309" t="s">
        <v>57</v>
      </c>
      <c r="M309" t="s">
        <v>27</v>
      </c>
      <c r="N309" t="s">
        <v>42</v>
      </c>
      <c r="O309">
        <v>12061</v>
      </c>
      <c r="P309">
        <v>3</v>
      </c>
      <c r="Q309" t="s">
        <v>36</v>
      </c>
      <c r="R309">
        <v>17</v>
      </c>
      <c r="S309" t="s">
        <v>33</v>
      </c>
      <c r="T309" t="s">
        <v>29</v>
      </c>
      <c r="U309">
        <v>2</v>
      </c>
      <c r="V309" t="s">
        <v>44</v>
      </c>
      <c r="W309" t="str">
        <f>IF(HR_Data[[#This Row],[age]]&lt;25,"Under 25",IF(HR_Data[[#This Row],[age]]&lt;35,"25-34",IF(HR_Data[[#This Row],[age]]&lt;45,"35-44",IF(HR_Data[[#This Row],[age]]&lt;55,"45-54","55+"))))</f>
        <v>35-44</v>
      </c>
      <c r="X309" t="str">
        <f t="shared" si="4"/>
        <v>8,000+</v>
      </c>
    </row>
    <row r="310" spans="1:24" x14ac:dyDescent="0.3">
      <c r="A310">
        <v>422</v>
      </c>
      <c r="B310">
        <v>58</v>
      </c>
      <c r="C310" t="s">
        <v>36</v>
      </c>
      <c r="D310" t="s">
        <v>54</v>
      </c>
      <c r="E310" t="s">
        <v>38</v>
      </c>
      <c r="F310">
        <v>1</v>
      </c>
      <c r="G310" t="s">
        <v>47</v>
      </c>
      <c r="H310" t="s">
        <v>26</v>
      </c>
      <c r="I310" t="s">
        <v>31</v>
      </c>
      <c r="J310" t="s">
        <v>40</v>
      </c>
      <c r="K310" t="s">
        <v>34</v>
      </c>
      <c r="L310" t="s">
        <v>53</v>
      </c>
      <c r="M310" t="s">
        <v>29</v>
      </c>
      <c r="N310" t="s">
        <v>51</v>
      </c>
      <c r="O310">
        <v>5660</v>
      </c>
      <c r="P310">
        <v>2</v>
      </c>
      <c r="Q310" t="s">
        <v>22</v>
      </c>
      <c r="R310">
        <v>13</v>
      </c>
      <c r="S310" t="s">
        <v>33</v>
      </c>
      <c r="T310" t="s">
        <v>31</v>
      </c>
      <c r="U310">
        <v>2</v>
      </c>
      <c r="V310" t="s">
        <v>44</v>
      </c>
      <c r="W310" t="str">
        <f>IF(HR_Data[[#This Row],[age]]&lt;25,"Under 25",IF(HR_Data[[#This Row],[age]]&lt;35,"25-34",IF(HR_Data[[#This Row],[age]]&lt;45,"35-44",IF(HR_Data[[#This Row],[age]]&lt;55,"45-54","55+"))))</f>
        <v>55+</v>
      </c>
      <c r="X310" t="str">
        <f t="shared" si="4"/>
        <v>5,000-7,999</v>
      </c>
    </row>
    <row r="311" spans="1:24" x14ac:dyDescent="0.3">
      <c r="A311">
        <v>423</v>
      </c>
      <c r="B311">
        <v>31</v>
      </c>
      <c r="C311" t="s">
        <v>36</v>
      </c>
      <c r="D311" t="s">
        <v>23</v>
      </c>
      <c r="E311" t="s">
        <v>38</v>
      </c>
      <c r="F311">
        <v>5</v>
      </c>
      <c r="G311" t="s">
        <v>47</v>
      </c>
      <c r="H311" t="s">
        <v>60</v>
      </c>
      <c r="I311" t="s">
        <v>29</v>
      </c>
      <c r="J311" t="s">
        <v>40</v>
      </c>
      <c r="K311" t="s">
        <v>29</v>
      </c>
      <c r="L311" t="s">
        <v>41</v>
      </c>
      <c r="M311" t="s">
        <v>31</v>
      </c>
      <c r="N311" t="s">
        <v>42</v>
      </c>
      <c r="O311">
        <v>4821</v>
      </c>
      <c r="P311">
        <v>0</v>
      </c>
      <c r="Q311" t="s">
        <v>22</v>
      </c>
      <c r="R311">
        <v>12</v>
      </c>
      <c r="S311" t="s">
        <v>33</v>
      </c>
      <c r="T311" t="s">
        <v>29</v>
      </c>
      <c r="U311">
        <v>4</v>
      </c>
      <c r="V311" t="s">
        <v>44</v>
      </c>
      <c r="W311" t="str">
        <f>IF(HR_Data[[#This Row],[age]]&lt;25,"Under 25",IF(HR_Data[[#This Row],[age]]&lt;35,"25-34",IF(HR_Data[[#This Row],[age]]&lt;45,"35-44",IF(HR_Data[[#This Row],[age]]&lt;55,"45-54","55+"))))</f>
        <v>25-34</v>
      </c>
      <c r="X311" t="str">
        <f t="shared" si="4"/>
        <v>3,000-4,999</v>
      </c>
    </row>
    <row r="312" spans="1:24" x14ac:dyDescent="0.3">
      <c r="A312">
        <v>424</v>
      </c>
      <c r="B312">
        <v>31</v>
      </c>
      <c r="C312" t="s">
        <v>36</v>
      </c>
      <c r="D312" t="s">
        <v>23</v>
      </c>
      <c r="E312" t="s">
        <v>62</v>
      </c>
      <c r="F312">
        <v>2</v>
      </c>
      <c r="G312" t="s">
        <v>50</v>
      </c>
      <c r="H312" t="s">
        <v>62</v>
      </c>
      <c r="I312" t="s">
        <v>34</v>
      </c>
      <c r="J312" t="s">
        <v>40</v>
      </c>
      <c r="K312" t="s">
        <v>27</v>
      </c>
      <c r="L312" t="s">
        <v>62</v>
      </c>
      <c r="M312" t="s">
        <v>34</v>
      </c>
      <c r="N312" t="s">
        <v>42</v>
      </c>
      <c r="O312">
        <v>6410</v>
      </c>
      <c r="P312">
        <v>3</v>
      </c>
      <c r="Q312" t="s">
        <v>36</v>
      </c>
      <c r="R312">
        <v>12</v>
      </c>
      <c r="S312" t="s">
        <v>33</v>
      </c>
      <c r="T312" t="s">
        <v>31</v>
      </c>
      <c r="U312">
        <v>1</v>
      </c>
      <c r="V312" t="s">
        <v>44</v>
      </c>
      <c r="W312" t="str">
        <f>IF(HR_Data[[#This Row],[age]]&lt;25,"Under 25",IF(HR_Data[[#This Row],[age]]&lt;35,"25-34",IF(HR_Data[[#This Row],[age]]&lt;45,"35-44",IF(HR_Data[[#This Row],[age]]&lt;55,"45-54","55+"))))</f>
        <v>25-34</v>
      </c>
      <c r="X312" t="str">
        <f t="shared" si="4"/>
        <v>5,000-7,999</v>
      </c>
    </row>
    <row r="313" spans="1:24" x14ac:dyDescent="0.3">
      <c r="A313">
        <v>425</v>
      </c>
      <c r="B313">
        <v>45</v>
      </c>
      <c r="C313" t="s">
        <v>36</v>
      </c>
      <c r="D313" t="s">
        <v>37</v>
      </c>
      <c r="E313" t="s">
        <v>38</v>
      </c>
      <c r="F313">
        <v>7</v>
      </c>
      <c r="G313" t="s">
        <v>50</v>
      </c>
      <c r="H313" t="s">
        <v>26</v>
      </c>
      <c r="I313" t="s">
        <v>34</v>
      </c>
      <c r="J313" t="s">
        <v>40</v>
      </c>
      <c r="K313" t="s">
        <v>29</v>
      </c>
      <c r="L313" t="s">
        <v>46</v>
      </c>
      <c r="M313" t="s">
        <v>34</v>
      </c>
      <c r="N313" t="s">
        <v>51</v>
      </c>
      <c r="O313">
        <v>5210</v>
      </c>
      <c r="P313">
        <v>1</v>
      </c>
      <c r="Q313" t="s">
        <v>36</v>
      </c>
      <c r="R313">
        <v>18</v>
      </c>
      <c r="S313" t="s">
        <v>33</v>
      </c>
      <c r="T313" t="s">
        <v>34</v>
      </c>
      <c r="U313">
        <v>2</v>
      </c>
      <c r="V313" t="s">
        <v>44</v>
      </c>
      <c r="W313" t="str">
        <f>IF(HR_Data[[#This Row],[age]]&lt;25,"Under 25",IF(HR_Data[[#This Row],[age]]&lt;35,"25-34",IF(HR_Data[[#This Row],[age]]&lt;45,"35-44",IF(HR_Data[[#This Row],[age]]&lt;55,"45-54","55+"))))</f>
        <v>45-54</v>
      </c>
      <c r="X313" t="str">
        <f t="shared" si="4"/>
        <v>5,000-7,999</v>
      </c>
    </row>
    <row r="314" spans="1:24" x14ac:dyDescent="0.3">
      <c r="A314">
        <v>426</v>
      </c>
      <c r="B314">
        <v>31</v>
      </c>
      <c r="C314" t="s">
        <v>36</v>
      </c>
      <c r="D314" t="s">
        <v>23</v>
      </c>
      <c r="E314" t="s">
        <v>38</v>
      </c>
      <c r="F314">
        <v>2</v>
      </c>
      <c r="G314" t="s">
        <v>47</v>
      </c>
      <c r="H314" t="s">
        <v>26</v>
      </c>
      <c r="I314" t="s">
        <v>29</v>
      </c>
      <c r="J314" t="s">
        <v>40</v>
      </c>
      <c r="K314" t="s">
        <v>29</v>
      </c>
      <c r="L314" t="s">
        <v>41</v>
      </c>
      <c r="M314" t="s">
        <v>31</v>
      </c>
      <c r="N314" t="s">
        <v>51</v>
      </c>
      <c r="O314">
        <v>2695</v>
      </c>
      <c r="P314">
        <v>0</v>
      </c>
      <c r="Q314" t="s">
        <v>22</v>
      </c>
      <c r="R314">
        <v>18</v>
      </c>
      <c r="S314" t="s">
        <v>33</v>
      </c>
      <c r="T314" t="s">
        <v>27</v>
      </c>
      <c r="U314">
        <v>2</v>
      </c>
      <c r="V314" t="s">
        <v>35</v>
      </c>
      <c r="W314" t="str">
        <f>IF(HR_Data[[#This Row],[age]]&lt;25,"Under 25",IF(HR_Data[[#This Row],[age]]&lt;35,"25-34",IF(HR_Data[[#This Row],[age]]&lt;45,"35-44",IF(HR_Data[[#This Row],[age]]&lt;55,"45-54","55+"))))</f>
        <v>25-34</v>
      </c>
      <c r="X314" t="str">
        <f t="shared" si="4"/>
        <v>Below 3,000</v>
      </c>
    </row>
    <row r="315" spans="1:24" x14ac:dyDescent="0.3">
      <c r="A315">
        <v>428</v>
      </c>
      <c r="B315">
        <v>33</v>
      </c>
      <c r="C315" t="s">
        <v>36</v>
      </c>
      <c r="D315" t="s">
        <v>37</v>
      </c>
      <c r="E315" t="s">
        <v>38</v>
      </c>
      <c r="F315">
        <v>5</v>
      </c>
      <c r="G315" t="s">
        <v>47</v>
      </c>
      <c r="H315" t="s">
        <v>26</v>
      </c>
      <c r="I315" t="s">
        <v>31</v>
      </c>
      <c r="J315" t="s">
        <v>28</v>
      </c>
      <c r="K315" t="s">
        <v>29</v>
      </c>
      <c r="L315" t="s">
        <v>55</v>
      </c>
      <c r="M315" t="s">
        <v>27</v>
      </c>
      <c r="N315" t="s">
        <v>42</v>
      </c>
      <c r="O315">
        <v>11878</v>
      </c>
      <c r="P315">
        <v>6</v>
      </c>
      <c r="Q315" t="s">
        <v>36</v>
      </c>
      <c r="R315">
        <v>11</v>
      </c>
      <c r="S315" t="s">
        <v>33</v>
      </c>
      <c r="T315" t="s">
        <v>27</v>
      </c>
      <c r="U315">
        <v>2</v>
      </c>
      <c r="V315" t="s">
        <v>44</v>
      </c>
      <c r="W315" t="str">
        <f>IF(HR_Data[[#This Row],[age]]&lt;25,"Under 25",IF(HR_Data[[#This Row],[age]]&lt;35,"25-34",IF(HR_Data[[#This Row],[age]]&lt;45,"35-44",IF(HR_Data[[#This Row],[age]]&lt;55,"45-54","55+"))))</f>
        <v>25-34</v>
      </c>
      <c r="X315" t="str">
        <f t="shared" si="4"/>
        <v>8,000+</v>
      </c>
    </row>
    <row r="316" spans="1:24" x14ac:dyDescent="0.3">
      <c r="A316">
        <v>429</v>
      </c>
      <c r="B316">
        <v>39</v>
      </c>
      <c r="C316" t="s">
        <v>36</v>
      </c>
      <c r="D316" t="s">
        <v>23</v>
      </c>
      <c r="E316" t="s">
        <v>38</v>
      </c>
      <c r="F316">
        <v>10</v>
      </c>
      <c r="G316" t="s">
        <v>39</v>
      </c>
      <c r="H316" t="s">
        <v>48</v>
      </c>
      <c r="I316" t="s">
        <v>29</v>
      </c>
      <c r="J316" t="s">
        <v>40</v>
      </c>
      <c r="K316" t="s">
        <v>29</v>
      </c>
      <c r="L316" t="s">
        <v>55</v>
      </c>
      <c r="M316" t="s">
        <v>34</v>
      </c>
      <c r="N316" t="s">
        <v>42</v>
      </c>
      <c r="O316">
        <v>17068</v>
      </c>
      <c r="P316">
        <v>1</v>
      </c>
      <c r="Q316" t="s">
        <v>22</v>
      </c>
      <c r="R316">
        <v>14</v>
      </c>
      <c r="S316" t="s">
        <v>33</v>
      </c>
      <c r="T316" t="s">
        <v>31</v>
      </c>
      <c r="U316">
        <v>3</v>
      </c>
      <c r="V316" t="s">
        <v>44</v>
      </c>
      <c r="W316" t="str">
        <f>IF(HR_Data[[#This Row],[age]]&lt;25,"Under 25",IF(HR_Data[[#This Row],[age]]&lt;35,"25-34",IF(HR_Data[[#This Row],[age]]&lt;45,"35-44",IF(HR_Data[[#This Row],[age]]&lt;55,"45-54","55+"))))</f>
        <v>35-44</v>
      </c>
      <c r="X316" t="str">
        <f t="shared" si="4"/>
        <v>8,000+</v>
      </c>
    </row>
    <row r="317" spans="1:24" x14ac:dyDescent="0.3">
      <c r="A317">
        <v>430</v>
      </c>
      <c r="B317">
        <v>43</v>
      </c>
      <c r="C317" t="s">
        <v>36</v>
      </c>
      <c r="D317" t="s">
        <v>37</v>
      </c>
      <c r="E317" t="s">
        <v>38</v>
      </c>
      <c r="F317">
        <v>10</v>
      </c>
      <c r="G317" t="s">
        <v>47</v>
      </c>
      <c r="H317" t="s">
        <v>26</v>
      </c>
      <c r="I317" t="s">
        <v>29</v>
      </c>
      <c r="J317" t="s">
        <v>28</v>
      </c>
      <c r="K317" t="s">
        <v>29</v>
      </c>
      <c r="L317" t="s">
        <v>46</v>
      </c>
      <c r="M317" t="s">
        <v>31</v>
      </c>
      <c r="N317" t="s">
        <v>32</v>
      </c>
      <c r="O317">
        <v>2455</v>
      </c>
      <c r="P317">
        <v>0</v>
      </c>
      <c r="Q317" t="s">
        <v>36</v>
      </c>
      <c r="R317">
        <v>19</v>
      </c>
      <c r="S317" t="s">
        <v>33</v>
      </c>
      <c r="T317" t="s">
        <v>34</v>
      </c>
      <c r="U317">
        <v>5</v>
      </c>
      <c r="V317" t="s">
        <v>44</v>
      </c>
      <c r="W317" t="str">
        <f>IF(HR_Data[[#This Row],[age]]&lt;25,"Under 25",IF(HR_Data[[#This Row],[age]]&lt;35,"25-34",IF(HR_Data[[#This Row],[age]]&lt;45,"35-44",IF(HR_Data[[#This Row],[age]]&lt;55,"45-54","55+"))))</f>
        <v>35-44</v>
      </c>
      <c r="X317" t="str">
        <f t="shared" si="4"/>
        <v>Below 3,000</v>
      </c>
    </row>
    <row r="318" spans="1:24" x14ac:dyDescent="0.3">
      <c r="A318">
        <v>431</v>
      </c>
      <c r="B318">
        <v>49</v>
      </c>
      <c r="C318" t="s">
        <v>36</v>
      </c>
      <c r="D318" t="s">
        <v>23</v>
      </c>
      <c r="E318" t="s">
        <v>38</v>
      </c>
      <c r="F318">
        <v>1</v>
      </c>
      <c r="G318" t="s">
        <v>25</v>
      </c>
      <c r="H318" t="s">
        <v>60</v>
      </c>
      <c r="I318" t="s">
        <v>29</v>
      </c>
      <c r="J318" t="s">
        <v>28</v>
      </c>
      <c r="K318" t="s">
        <v>27</v>
      </c>
      <c r="L318" t="s">
        <v>53</v>
      </c>
      <c r="M318" t="s">
        <v>29</v>
      </c>
      <c r="N318" t="s">
        <v>32</v>
      </c>
      <c r="O318">
        <v>13964</v>
      </c>
      <c r="P318">
        <v>7</v>
      </c>
      <c r="Q318" t="s">
        <v>22</v>
      </c>
      <c r="R318">
        <v>12</v>
      </c>
      <c r="S318" t="s">
        <v>33</v>
      </c>
      <c r="T318" t="s">
        <v>31</v>
      </c>
      <c r="U318">
        <v>2</v>
      </c>
      <c r="V318" t="s">
        <v>44</v>
      </c>
      <c r="W318" t="str">
        <f>IF(HR_Data[[#This Row],[age]]&lt;25,"Under 25",IF(HR_Data[[#This Row],[age]]&lt;35,"25-34",IF(HR_Data[[#This Row],[age]]&lt;45,"35-44",IF(HR_Data[[#This Row],[age]]&lt;55,"45-54","55+"))))</f>
        <v>45-54</v>
      </c>
      <c r="X318" t="str">
        <f t="shared" si="4"/>
        <v>8,000+</v>
      </c>
    </row>
    <row r="319" spans="1:24" x14ac:dyDescent="0.3">
      <c r="A319">
        <v>433</v>
      </c>
      <c r="B319">
        <v>52</v>
      </c>
      <c r="C319" t="s">
        <v>22</v>
      </c>
      <c r="D319" t="s">
        <v>23</v>
      </c>
      <c r="E319" t="s">
        <v>38</v>
      </c>
      <c r="F319">
        <v>8</v>
      </c>
      <c r="G319" t="s">
        <v>47</v>
      </c>
      <c r="H319" t="s">
        <v>48</v>
      </c>
      <c r="I319" t="s">
        <v>29</v>
      </c>
      <c r="J319" t="s">
        <v>40</v>
      </c>
      <c r="K319" t="s">
        <v>27</v>
      </c>
      <c r="L319" t="s">
        <v>41</v>
      </c>
      <c r="M319" t="s">
        <v>27</v>
      </c>
      <c r="N319" t="s">
        <v>42</v>
      </c>
      <c r="O319">
        <v>4941</v>
      </c>
      <c r="P319">
        <v>2</v>
      </c>
      <c r="Q319" t="s">
        <v>36</v>
      </c>
      <c r="R319">
        <v>15</v>
      </c>
      <c r="S319" t="s">
        <v>33</v>
      </c>
      <c r="T319" t="s">
        <v>34</v>
      </c>
      <c r="U319">
        <v>3</v>
      </c>
      <c r="V319" t="s">
        <v>49</v>
      </c>
      <c r="W319" t="str">
        <f>IF(HR_Data[[#This Row],[age]]&lt;25,"Under 25",IF(HR_Data[[#This Row],[age]]&lt;35,"25-34",IF(HR_Data[[#This Row],[age]]&lt;45,"35-44",IF(HR_Data[[#This Row],[age]]&lt;55,"45-54","55+"))))</f>
        <v>45-54</v>
      </c>
      <c r="X319" t="str">
        <f t="shared" si="4"/>
        <v>3,000-4,999</v>
      </c>
    </row>
    <row r="320" spans="1:24" x14ac:dyDescent="0.3">
      <c r="A320">
        <v>434</v>
      </c>
      <c r="B320">
        <v>27</v>
      </c>
      <c r="C320" t="s">
        <v>36</v>
      </c>
      <c r="D320" t="s">
        <v>23</v>
      </c>
      <c r="E320" t="s">
        <v>38</v>
      </c>
      <c r="F320">
        <v>5</v>
      </c>
      <c r="G320" t="s">
        <v>50</v>
      </c>
      <c r="H320" t="s">
        <v>26</v>
      </c>
      <c r="I320" t="s">
        <v>29</v>
      </c>
      <c r="J320" t="s">
        <v>28</v>
      </c>
      <c r="K320" t="s">
        <v>29</v>
      </c>
      <c r="L320" t="s">
        <v>41</v>
      </c>
      <c r="M320" t="s">
        <v>27</v>
      </c>
      <c r="N320" t="s">
        <v>32</v>
      </c>
      <c r="O320">
        <v>2478</v>
      </c>
      <c r="P320">
        <v>1</v>
      </c>
      <c r="Q320" t="s">
        <v>22</v>
      </c>
      <c r="R320">
        <v>12</v>
      </c>
      <c r="S320" t="s">
        <v>33</v>
      </c>
      <c r="T320" t="s">
        <v>27</v>
      </c>
      <c r="U320">
        <v>2</v>
      </c>
      <c r="V320" t="s">
        <v>49</v>
      </c>
      <c r="W320" t="str">
        <f>IF(HR_Data[[#This Row],[age]]&lt;25,"Under 25",IF(HR_Data[[#This Row],[age]]&lt;35,"25-34",IF(HR_Data[[#This Row],[age]]&lt;45,"35-44",IF(HR_Data[[#This Row],[age]]&lt;55,"45-54","55+"))))</f>
        <v>25-34</v>
      </c>
      <c r="X320" t="str">
        <f t="shared" si="4"/>
        <v>Below 3,000</v>
      </c>
    </row>
    <row r="321" spans="1:24" x14ac:dyDescent="0.3">
      <c r="A321">
        <v>436</v>
      </c>
      <c r="B321">
        <v>32</v>
      </c>
      <c r="C321" t="s">
        <v>36</v>
      </c>
      <c r="D321" t="s">
        <v>23</v>
      </c>
      <c r="E321" t="s">
        <v>24</v>
      </c>
      <c r="F321">
        <v>8</v>
      </c>
      <c r="G321" t="s">
        <v>25</v>
      </c>
      <c r="H321" t="s">
        <v>60</v>
      </c>
      <c r="I321" t="s">
        <v>29</v>
      </c>
      <c r="J321" t="s">
        <v>28</v>
      </c>
      <c r="K321" t="s">
        <v>27</v>
      </c>
      <c r="L321" t="s">
        <v>30</v>
      </c>
      <c r="M321" t="s">
        <v>27</v>
      </c>
      <c r="N321" t="s">
        <v>42</v>
      </c>
      <c r="O321">
        <v>5228</v>
      </c>
      <c r="P321">
        <v>1</v>
      </c>
      <c r="Q321" t="s">
        <v>22</v>
      </c>
      <c r="R321">
        <v>11</v>
      </c>
      <c r="S321" t="s">
        <v>33</v>
      </c>
      <c r="T321" t="s">
        <v>31</v>
      </c>
      <c r="U321">
        <v>2</v>
      </c>
      <c r="V321" t="s">
        <v>44</v>
      </c>
      <c r="W321" t="str">
        <f>IF(HR_Data[[#This Row],[age]]&lt;25,"Under 25",IF(HR_Data[[#This Row],[age]]&lt;35,"25-34",IF(HR_Data[[#This Row],[age]]&lt;45,"35-44",IF(HR_Data[[#This Row],[age]]&lt;55,"45-54","55+"))))</f>
        <v>25-34</v>
      </c>
      <c r="X321" t="str">
        <f t="shared" si="4"/>
        <v>5,000-7,999</v>
      </c>
    </row>
    <row r="322" spans="1:24" x14ac:dyDescent="0.3">
      <c r="A322">
        <v>437</v>
      </c>
      <c r="B322">
        <v>27</v>
      </c>
      <c r="C322" t="s">
        <v>36</v>
      </c>
      <c r="D322" t="s">
        <v>23</v>
      </c>
      <c r="E322" t="s">
        <v>24</v>
      </c>
      <c r="F322">
        <v>2</v>
      </c>
      <c r="G322" t="s">
        <v>50</v>
      </c>
      <c r="H322" t="s">
        <v>26</v>
      </c>
      <c r="I322" t="s">
        <v>31</v>
      </c>
      <c r="J322" t="s">
        <v>40</v>
      </c>
      <c r="K322" t="s">
        <v>29</v>
      </c>
      <c r="L322" t="s">
        <v>30</v>
      </c>
      <c r="M322" t="s">
        <v>29</v>
      </c>
      <c r="N322" t="s">
        <v>32</v>
      </c>
      <c r="O322">
        <v>4478</v>
      </c>
      <c r="P322">
        <v>1</v>
      </c>
      <c r="Q322" t="s">
        <v>22</v>
      </c>
      <c r="R322">
        <v>11</v>
      </c>
      <c r="S322" t="s">
        <v>33</v>
      </c>
      <c r="T322" t="s">
        <v>34</v>
      </c>
      <c r="U322">
        <v>3</v>
      </c>
      <c r="V322" t="s">
        <v>44</v>
      </c>
      <c r="W322" t="str">
        <f>IF(HR_Data[[#This Row],[age]]&lt;25,"Under 25",IF(HR_Data[[#This Row],[age]]&lt;35,"25-34",IF(HR_Data[[#This Row],[age]]&lt;45,"35-44",IF(HR_Data[[#This Row],[age]]&lt;55,"45-54","55+"))))</f>
        <v>25-34</v>
      </c>
      <c r="X322" t="str">
        <f t="shared" si="4"/>
        <v>3,000-4,999</v>
      </c>
    </row>
    <row r="323" spans="1:24" x14ac:dyDescent="0.3">
      <c r="A323">
        <v>438</v>
      </c>
      <c r="B323">
        <v>31</v>
      </c>
      <c r="C323" t="s">
        <v>36</v>
      </c>
      <c r="D323" t="s">
        <v>23</v>
      </c>
      <c r="E323" t="s">
        <v>24</v>
      </c>
      <c r="F323">
        <v>7</v>
      </c>
      <c r="G323" t="s">
        <v>50</v>
      </c>
      <c r="H323" t="s">
        <v>58</v>
      </c>
      <c r="I323" t="s">
        <v>31</v>
      </c>
      <c r="J323" t="s">
        <v>40</v>
      </c>
      <c r="K323" t="s">
        <v>29</v>
      </c>
      <c r="L323" t="s">
        <v>30</v>
      </c>
      <c r="M323" t="s">
        <v>31</v>
      </c>
      <c r="N323" t="s">
        <v>51</v>
      </c>
      <c r="O323">
        <v>7547</v>
      </c>
      <c r="P323">
        <v>4</v>
      </c>
      <c r="Q323" t="s">
        <v>36</v>
      </c>
      <c r="R323">
        <v>12</v>
      </c>
      <c r="S323" t="s">
        <v>33</v>
      </c>
      <c r="T323" t="s">
        <v>31</v>
      </c>
      <c r="U323">
        <v>3</v>
      </c>
      <c r="V323" t="s">
        <v>44</v>
      </c>
      <c r="W323" t="str">
        <f>IF(HR_Data[[#This Row],[age]]&lt;25,"Under 25",IF(HR_Data[[#This Row],[age]]&lt;35,"25-34",IF(HR_Data[[#This Row],[age]]&lt;45,"35-44",IF(HR_Data[[#This Row],[age]]&lt;55,"45-54","55+"))))</f>
        <v>25-34</v>
      </c>
      <c r="X323" t="str">
        <f t="shared" ref="X323:X386" si="5">IF(O323&lt;3000,"Below 3,000",IF(O323&lt;5000,"3,000-4,999",IF(O323&lt;8000,"5,000-7,999","8,000+")))</f>
        <v>5,000-7,999</v>
      </c>
    </row>
    <row r="324" spans="1:24" x14ac:dyDescent="0.3">
      <c r="A324">
        <v>439</v>
      </c>
      <c r="B324">
        <v>32</v>
      </c>
      <c r="C324" t="s">
        <v>36</v>
      </c>
      <c r="D324" t="s">
        <v>23</v>
      </c>
      <c r="E324" t="s">
        <v>38</v>
      </c>
      <c r="F324">
        <v>2</v>
      </c>
      <c r="G324" t="s">
        <v>47</v>
      </c>
      <c r="H324" t="s">
        <v>48</v>
      </c>
      <c r="I324" t="s">
        <v>34</v>
      </c>
      <c r="J324" t="s">
        <v>28</v>
      </c>
      <c r="K324" t="s">
        <v>31</v>
      </c>
      <c r="L324" t="s">
        <v>41</v>
      </c>
      <c r="M324" t="s">
        <v>31</v>
      </c>
      <c r="N324" t="s">
        <v>32</v>
      </c>
      <c r="O324">
        <v>5055</v>
      </c>
      <c r="P324">
        <v>7</v>
      </c>
      <c r="Q324" t="s">
        <v>36</v>
      </c>
      <c r="R324">
        <v>16</v>
      </c>
      <c r="S324" t="s">
        <v>33</v>
      </c>
      <c r="T324" t="s">
        <v>29</v>
      </c>
      <c r="U324">
        <v>0</v>
      </c>
      <c r="V324" t="s">
        <v>49</v>
      </c>
      <c r="W324" t="str">
        <f>IF(HR_Data[[#This Row],[age]]&lt;25,"Under 25",IF(HR_Data[[#This Row],[age]]&lt;35,"25-34",IF(HR_Data[[#This Row],[age]]&lt;45,"35-44",IF(HR_Data[[#This Row],[age]]&lt;55,"45-54","55+"))))</f>
        <v>25-34</v>
      </c>
      <c r="X324" t="str">
        <f t="shared" si="5"/>
        <v>5,000-7,999</v>
      </c>
    </row>
    <row r="325" spans="1:24" x14ac:dyDescent="0.3">
      <c r="A325">
        <v>440</v>
      </c>
      <c r="B325">
        <v>28</v>
      </c>
      <c r="C325" t="s">
        <v>22</v>
      </c>
      <c r="D325" t="s">
        <v>23</v>
      </c>
      <c r="E325" t="s">
        <v>38</v>
      </c>
      <c r="F325">
        <v>2</v>
      </c>
      <c r="G325" t="s">
        <v>47</v>
      </c>
      <c r="H325" t="s">
        <v>48</v>
      </c>
      <c r="I325" t="s">
        <v>34</v>
      </c>
      <c r="J325" t="s">
        <v>40</v>
      </c>
      <c r="K325" t="s">
        <v>34</v>
      </c>
      <c r="L325" t="s">
        <v>41</v>
      </c>
      <c r="M325" t="s">
        <v>31</v>
      </c>
      <c r="N325" t="s">
        <v>42</v>
      </c>
      <c r="O325">
        <v>3464</v>
      </c>
      <c r="P325">
        <v>5</v>
      </c>
      <c r="Q325" t="s">
        <v>22</v>
      </c>
      <c r="R325">
        <v>13</v>
      </c>
      <c r="S325" t="s">
        <v>33</v>
      </c>
      <c r="T325" t="s">
        <v>31</v>
      </c>
      <c r="U325">
        <v>4</v>
      </c>
      <c r="V325" t="s">
        <v>49</v>
      </c>
      <c r="W325" t="str">
        <f>IF(HR_Data[[#This Row],[age]]&lt;25,"Under 25",IF(HR_Data[[#This Row],[age]]&lt;35,"25-34",IF(HR_Data[[#This Row],[age]]&lt;45,"35-44",IF(HR_Data[[#This Row],[age]]&lt;55,"45-54","55+"))))</f>
        <v>25-34</v>
      </c>
      <c r="X325" t="str">
        <f t="shared" si="5"/>
        <v>3,000-4,999</v>
      </c>
    </row>
    <row r="326" spans="1:24" x14ac:dyDescent="0.3">
      <c r="A326">
        <v>441</v>
      </c>
      <c r="B326">
        <v>30</v>
      </c>
      <c r="C326" t="s">
        <v>36</v>
      </c>
      <c r="D326" t="s">
        <v>23</v>
      </c>
      <c r="E326" t="s">
        <v>38</v>
      </c>
      <c r="F326">
        <v>28</v>
      </c>
      <c r="G326" t="s">
        <v>25</v>
      </c>
      <c r="H326" t="s">
        <v>48</v>
      </c>
      <c r="I326" t="s">
        <v>31</v>
      </c>
      <c r="J326" t="s">
        <v>28</v>
      </c>
      <c r="K326" t="s">
        <v>29</v>
      </c>
      <c r="L326" t="s">
        <v>41</v>
      </c>
      <c r="M326" t="s">
        <v>31</v>
      </c>
      <c r="N326" t="s">
        <v>42</v>
      </c>
      <c r="O326">
        <v>5775</v>
      </c>
      <c r="P326">
        <v>1</v>
      </c>
      <c r="Q326" t="s">
        <v>36</v>
      </c>
      <c r="R326">
        <v>13</v>
      </c>
      <c r="S326" t="s">
        <v>33</v>
      </c>
      <c r="T326" t="s">
        <v>31</v>
      </c>
      <c r="U326">
        <v>2</v>
      </c>
      <c r="V326" t="s">
        <v>44</v>
      </c>
      <c r="W326" t="str">
        <f>IF(HR_Data[[#This Row],[age]]&lt;25,"Under 25",IF(HR_Data[[#This Row],[age]]&lt;35,"25-34",IF(HR_Data[[#This Row],[age]]&lt;45,"35-44",IF(HR_Data[[#This Row],[age]]&lt;55,"45-54","55+"))))</f>
        <v>25-34</v>
      </c>
      <c r="X326" t="str">
        <f t="shared" si="5"/>
        <v>5,000-7,999</v>
      </c>
    </row>
    <row r="327" spans="1:24" x14ac:dyDescent="0.3">
      <c r="A327">
        <v>442</v>
      </c>
      <c r="B327">
        <v>31</v>
      </c>
      <c r="C327" t="s">
        <v>36</v>
      </c>
      <c r="D327" t="s">
        <v>37</v>
      </c>
      <c r="E327" t="s">
        <v>38</v>
      </c>
      <c r="F327">
        <v>7</v>
      </c>
      <c r="G327" t="s">
        <v>25</v>
      </c>
      <c r="H327" t="s">
        <v>26</v>
      </c>
      <c r="I327" t="s">
        <v>29</v>
      </c>
      <c r="J327" t="s">
        <v>28</v>
      </c>
      <c r="K327" t="s">
        <v>27</v>
      </c>
      <c r="L327" t="s">
        <v>52</v>
      </c>
      <c r="M327" t="s">
        <v>29</v>
      </c>
      <c r="N327" t="s">
        <v>42</v>
      </c>
      <c r="O327">
        <v>8943</v>
      </c>
      <c r="P327">
        <v>1</v>
      </c>
      <c r="Q327" t="s">
        <v>36</v>
      </c>
      <c r="R327">
        <v>24</v>
      </c>
      <c r="S327" t="s">
        <v>43</v>
      </c>
      <c r="T327" t="s">
        <v>34</v>
      </c>
      <c r="U327">
        <v>2</v>
      </c>
      <c r="V327" t="s">
        <v>44</v>
      </c>
      <c r="W327" t="str">
        <f>IF(HR_Data[[#This Row],[age]]&lt;25,"Under 25",IF(HR_Data[[#This Row],[age]]&lt;35,"25-34",IF(HR_Data[[#This Row],[age]]&lt;45,"35-44",IF(HR_Data[[#This Row],[age]]&lt;55,"45-54","55+"))))</f>
        <v>25-34</v>
      </c>
      <c r="X327" t="str">
        <f t="shared" si="5"/>
        <v>8,000+</v>
      </c>
    </row>
    <row r="328" spans="1:24" x14ac:dyDescent="0.3">
      <c r="A328">
        <v>444</v>
      </c>
      <c r="B328">
        <v>39</v>
      </c>
      <c r="C328" t="s">
        <v>36</v>
      </c>
      <c r="D328" t="s">
        <v>37</v>
      </c>
      <c r="E328" t="s">
        <v>38</v>
      </c>
      <c r="F328">
        <v>7</v>
      </c>
      <c r="G328" t="s">
        <v>25</v>
      </c>
      <c r="H328" t="s">
        <v>48</v>
      </c>
      <c r="I328" t="s">
        <v>29</v>
      </c>
      <c r="J328" t="s">
        <v>40</v>
      </c>
      <c r="K328" t="s">
        <v>27</v>
      </c>
      <c r="L328" t="s">
        <v>55</v>
      </c>
      <c r="M328" t="s">
        <v>31</v>
      </c>
      <c r="N328" t="s">
        <v>42</v>
      </c>
      <c r="O328">
        <v>19272</v>
      </c>
      <c r="P328">
        <v>1</v>
      </c>
      <c r="Q328" t="s">
        <v>36</v>
      </c>
      <c r="R328">
        <v>15</v>
      </c>
      <c r="S328" t="s">
        <v>33</v>
      </c>
      <c r="T328" t="s">
        <v>34</v>
      </c>
      <c r="U328">
        <v>2</v>
      </c>
      <c r="V328" t="s">
        <v>44</v>
      </c>
      <c r="W328" t="str">
        <f>IF(HR_Data[[#This Row],[age]]&lt;25,"Under 25",IF(HR_Data[[#This Row],[age]]&lt;35,"25-34",IF(HR_Data[[#This Row],[age]]&lt;45,"35-44",IF(HR_Data[[#This Row],[age]]&lt;55,"45-54","55+"))))</f>
        <v>35-44</v>
      </c>
      <c r="X328" t="str">
        <f t="shared" si="5"/>
        <v>8,000+</v>
      </c>
    </row>
    <row r="329" spans="1:24" x14ac:dyDescent="0.3">
      <c r="A329">
        <v>445</v>
      </c>
      <c r="B329">
        <v>39</v>
      </c>
      <c r="C329" t="s">
        <v>22</v>
      </c>
      <c r="D329" t="s">
        <v>23</v>
      </c>
      <c r="E329" t="s">
        <v>24</v>
      </c>
      <c r="F329">
        <v>3</v>
      </c>
      <c r="G329" t="s">
        <v>25</v>
      </c>
      <c r="H329" t="s">
        <v>48</v>
      </c>
      <c r="I329" t="s">
        <v>31</v>
      </c>
      <c r="J329" t="s">
        <v>28</v>
      </c>
      <c r="K329" t="s">
        <v>29</v>
      </c>
      <c r="L329" t="s">
        <v>30</v>
      </c>
      <c r="M329" t="s">
        <v>29</v>
      </c>
      <c r="N329" t="s">
        <v>42</v>
      </c>
      <c r="O329">
        <v>5238</v>
      </c>
      <c r="P329">
        <v>4</v>
      </c>
      <c r="Q329" t="s">
        <v>22</v>
      </c>
      <c r="R329">
        <v>18</v>
      </c>
      <c r="S329" t="s">
        <v>33</v>
      </c>
      <c r="T329" t="s">
        <v>34</v>
      </c>
      <c r="U329">
        <v>3</v>
      </c>
      <c r="V329" t="s">
        <v>49</v>
      </c>
      <c r="W329" t="str">
        <f>IF(HR_Data[[#This Row],[age]]&lt;25,"Under 25",IF(HR_Data[[#This Row],[age]]&lt;35,"25-34",IF(HR_Data[[#This Row],[age]]&lt;45,"35-44",IF(HR_Data[[#This Row],[age]]&lt;55,"45-54","55+"))))</f>
        <v>35-44</v>
      </c>
      <c r="X329" t="str">
        <f t="shared" si="5"/>
        <v>5,000-7,999</v>
      </c>
    </row>
    <row r="330" spans="1:24" x14ac:dyDescent="0.3">
      <c r="A330">
        <v>446</v>
      </c>
      <c r="B330">
        <v>33</v>
      </c>
      <c r="C330" t="s">
        <v>36</v>
      </c>
      <c r="D330" t="s">
        <v>37</v>
      </c>
      <c r="E330" t="s">
        <v>24</v>
      </c>
      <c r="F330">
        <v>10</v>
      </c>
      <c r="G330" t="s">
        <v>50</v>
      </c>
      <c r="H330" t="s">
        <v>58</v>
      </c>
      <c r="I330" t="s">
        <v>27</v>
      </c>
      <c r="J330" t="s">
        <v>40</v>
      </c>
      <c r="K330" t="s">
        <v>27</v>
      </c>
      <c r="L330" t="s">
        <v>30</v>
      </c>
      <c r="M330" t="s">
        <v>31</v>
      </c>
      <c r="N330" t="s">
        <v>32</v>
      </c>
      <c r="O330">
        <v>4682</v>
      </c>
      <c r="P330">
        <v>3</v>
      </c>
      <c r="Q330" t="s">
        <v>36</v>
      </c>
      <c r="R330">
        <v>14</v>
      </c>
      <c r="S330" t="s">
        <v>33</v>
      </c>
      <c r="T330" t="s">
        <v>29</v>
      </c>
      <c r="U330">
        <v>6</v>
      </c>
      <c r="V330" t="s">
        <v>49</v>
      </c>
      <c r="W330" t="str">
        <f>IF(HR_Data[[#This Row],[age]]&lt;25,"Under 25",IF(HR_Data[[#This Row],[age]]&lt;35,"25-34",IF(HR_Data[[#This Row],[age]]&lt;45,"35-44",IF(HR_Data[[#This Row],[age]]&lt;55,"45-54","55+"))))</f>
        <v>25-34</v>
      </c>
      <c r="X330" t="str">
        <f t="shared" si="5"/>
        <v>3,000-4,999</v>
      </c>
    </row>
    <row r="331" spans="1:24" x14ac:dyDescent="0.3">
      <c r="A331">
        <v>447</v>
      </c>
      <c r="B331">
        <v>47</v>
      </c>
      <c r="C331" t="s">
        <v>36</v>
      </c>
      <c r="D331" t="s">
        <v>23</v>
      </c>
      <c r="E331" t="s">
        <v>38</v>
      </c>
      <c r="F331">
        <v>5</v>
      </c>
      <c r="G331" t="s">
        <v>61</v>
      </c>
      <c r="H331" t="s">
        <v>26</v>
      </c>
      <c r="I331" t="s">
        <v>31</v>
      </c>
      <c r="J331" t="s">
        <v>40</v>
      </c>
      <c r="K331" t="s">
        <v>29</v>
      </c>
      <c r="L331" t="s">
        <v>57</v>
      </c>
      <c r="M331" t="s">
        <v>29</v>
      </c>
      <c r="N331" t="s">
        <v>42</v>
      </c>
      <c r="O331">
        <v>18300</v>
      </c>
      <c r="P331">
        <v>4</v>
      </c>
      <c r="Q331" t="s">
        <v>36</v>
      </c>
      <c r="R331">
        <v>11</v>
      </c>
      <c r="S331" t="s">
        <v>33</v>
      </c>
      <c r="T331" t="s">
        <v>27</v>
      </c>
      <c r="U331">
        <v>2</v>
      </c>
      <c r="V331" t="s">
        <v>44</v>
      </c>
      <c r="W331" t="str">
        <f>IF(HR_Data[[#This Row],[age]]&lt;25,"Under 25",IF(HR_Data[[#This Row],[age]]&lt;35,"25-34",IF(HR_Data[[#This Row],[age]]&lt;45,"35-44",IF(HR_Data[[#This Row],[age]]&lt;55,"45-54","55+"))))</f>
        <v>45-54</v>
      </c>
      <c r="X331" t="str">
        <f t="shared" si="5"/>
        <v>8,000+</v>
      </c>
    </row>
    <row r="332" spans="1:24" x14ac:dyDescent="0.3">
      <c r="A332">
        <v>448</v>
      </c>
      <c r="B332">
        <v>43</v>
      </c>
      <c r="C332" t="s">
        <v>36</v>
      </c>
      <c r="D332" t="s">
        <v>37</v>
      </c>
      <c r="E332" t="s">
        <v>38</v>
      </c>
      <c r="F332">
        <v>10</v>
      </c>
      <c r="G332" t="s">
        <v>47</v>
      </c>
      <c r="H332" t="s">
        <v>26</v>
      </c>
      <c r="I332" t="s">
        <v>29</v>
      </c>
      <c r="J332" t="s">
        <v>28</v>
      </c>
      <c r="K332" t="s">
        <v>27</v>
      </c>
      <c r="L332" t="s">
        <v>46</v>
      </c>
      <c r="M332" t="s">
        <v>29</v>
      </c>
      <c r="N332" t="s">
        <v>51</v>
      </c>
      <c r="O332">
        <v>5257</v>
      </c>
      <c r="P332">
        <v>1</v>
      </c>
      <c r="Q332" t="s">
        <v>36</v>
      </c>
      <c r="R332">
        <v>11</v>
      </c>
      <c r="S332" t="s">
        <v>33</v>
      </c>
      <c r="T332" t="s">
        <v>27</v>
      </c>
      <c r="U332">
        <v>3</v>
      </c>
      <c r="V332" t="s">
        <v>59</v>
      </c>
      <c r="W332" t="str">
        <f>IF(HR_Data[[#This Row],[age]]&lt;25,"Under 25",IF(HR_Data[[#This Row],[age]]&lt;35,"25-34",IF(HR_Data[[#This Row],[age]]&lt;45,"35-44",IF(HR_Data[[#This Row],[age]]&lt;55,"45-54","55+"))))</f>
        <v>35-44</v>
      </c>
      <c r="X332" t="str">
        <f t="shared" si="5"/>
        <v>5,000-7,999</v>
      </c>
    </row>
    <row r="333" spans="1:24" x14ac:dyDescent="0.3">
      <c r="A333">
        <v>449</v>
      </c>
      <c r="B333">
        <v>27</v>
      </c>
      <c r="C333" t="s">
        <v>36</v>
      </c>
      <c r="D333" t="s">
        <v>54</v>
      </c>
      <c r="E333" t="s">
        <v>24</v>
      </c>
      <c r="F333">
        <v>1</v>
      </c>
      <c r="G333" t="s">
        <v>39</v>
      </c>
      <c r="H333" t="s">
        <v>58</v>
      </c>
      <c r="I333" t="s">
        <v>29</v>
      </c>
      <c r="J333" t="s">
        <v>40</v>
      </c>
      <c r="K333" t="s">
        <v>29</v>
      </c>
      <c r="L333" t="s">
        <v>30</v>
      </c>
      <c r="M333" t="s">
        <v>27</v>
      </c>
      <c r="N333" t="s">
        <v>42</v>
      </c>
      <c r="O333">
        <v>6349</v>
      </c>
      <c r="P333">
        <v>0</v>
      </c>
      <c r="Q333" t="s">
        <v>22</v>
      </c>
      <c r="R333">
        <v>13</v>
      </c>
      <c r="S333" t="s">
        <v>33</v>
      </c>
      <c r="T333" t="s">
        <v>31</v>
      </c>
      <c r="U333">
        <v>0</v>
      </c>
      <c r="V333" t="s">
        <v>44</v>
      </c>
      <c r="W333" t="str">
        <f>IF(HR_Data[[#This Row],[age]]&lt;25,"Under 25",IF(HR_Data[[#This Row],[age]]&lt;35,"25-34",IF(HR_Data[[#This Row],[age]]&lt;45,"35-44",IF(HR_Data[[#This Row],[age]]&lt;55,"45-54","55+"))))</f>
        <v>25-34</v>
      </c>
      <c r="X333" t="str">
        <f t="shared" si="5"/>
        <v>5,000-7,999</v>
      </c>
    </row>
    <row r="334" spans="1:24" x14ac:dyDescent="0.3">
      <c r="A334">
        <v>450</v>
      </c>
      <c r="B334">
        <v>54</v>
      </c>
      <c r="C334" t="s">
        <v>36</v>
      </c>
      <c r="D334" t="s">
        <v>37</v>
      </c>
      <c r="E334" t="s">
        <v>38</v>
      </c>
      <c r="F334">
        <v>20</v>
      </c>
      <c r="G334" t="s">
        <v>47</v>
      </c>
      <c r="H334" t="s">
        <v>26</v>
      </c>
      <c r="I334" t="s">
        <v>31</v>
      </c>
      <c r="J334" t="s">
        <v>28</v>
      </c>
      <c r="K334" t="s">
        <v>29</v>
      </c>
      <c r="L334" t="s">
        <v>41</v>
      </c>
      <c r="M334" t="s">
        <v>29</v>
      </c>
      <c r="N334" t="s">
        <v>32</v>
      </c>
      <c r="O334">
        <v>4869</v>
      </c>
      <c r="P334">
        <v>3</v>
      </c>
      <c r="Q334" t="s">
        <v>36</v>
      </c>
      <c r="R334">
        <v>12</v>
      </c>
      <c r="S334" t="s">
        <v>33</v>
      </c>
      <c r="T334" t="s">
        <v>31</v>
      </c>
      <c r="U334">
        <v>4</v>
      </c>
      <c r="V334" t="s">
        <v>49</v>
      </c>
      <c r="W334" t="str">
        <f>IF(HR_Data[[#This Row],[age]]&lt;25,"Under 25",IF(HR_Data[[#This Row],[age]]&lt;35,"25-34",IF(HR_Data[[#This Row],[age]]&lt;45,"35-44",IF(HR_Data[[#This Row],[age]]&lt;55,"45-54","55+"))))</f>
        <v>45-54</v>
      </c>
      <c r="X334" t="str">
        <f t="shared" si="5"/>
        <v>3,000-4,999</v>
      </c>
    </row>
    <row r="335" spans="1:24" x14ac:dyDescent="0.3">
      <c r="A335">
        <v>451</v>
      </c>
      <c r="B335">
        <v>43</v>
      </c>
      <c r="C335" t="s">
        <v>36</v>
      </c>
      <c r="D335" t="s">
        <v>23</v>
      </c>
      <c r="E335" t="s">
        <v>38</v>
      </c>
      <c r="F335">
        <v>7</v>
      </c>
      <c r="G335" t="s">
        <v>50</v>
      </c>
      <c r="H335" t="s">
        <v>26</v>
      </c>
      <c r="I335" t="s">
        <v>29</v>
      </c>
      <c r="J335" t="s">
        <v>28</v>
      </c>
      <c r="K335" t="s">
        <v>29</v>
      </c>
      <c r="L335" t="s">
        <v>53</v>
      </c>
      <c r="M335" t="s">
        <v>34</v>
      </c>
      <c r="N335" t="s">
        <v>42</v>
      </c>
      <c r="O335">
        <v>9985</v>
      </c>
      <c r="P335">
        <v>8</v>
      </c>
      <c r="Q335" t="s">
        <v>36</v>
      </c>
      <c r="R335">
        <v>16</v>
      </c>
      <c r="S335" t="s">
        <v>33</v>
      </c>
      <c r="T335" t="s">
        <v>34</v>
      </c>
      <c r="U335">
        <v>1</v>
      </c>
      <c r="V335" t="s">
        <v>49</v>
      </c>
      <c r="W335" t="str">
        <f>IF(HR_Data[[#This Row],[age]]&lt;25,"Under 25",IF(HR_Data[[#This Row],[age]]&lt;35,"25-34",IF(HR_Data[[#This Row],[age]]&lt;45,"35-44",IF(HR_Data[[#This Row],[age]]&lt;55,"45-54","55+"))))</f>
        <v>35-44</v>
      </c>
      <c r="X335" t="str">
        <f t="shared" si="5"/>
        <v>8,000+</v>
      </c>
    </row>
    <row r="336" spans="1:24" x14ac:dyDescent="0.3">
      <c r="A336">
        <v>452</v>
      </c>
      <c r="B336">
        <v>45</v>
      </c>
      <c r="C336" t="s">
        <v>36</v>
      </c>
      <c r="D336" t="s">
        <v>23</v>
      </c>
      <c r="E336" t="s">
        <v>38</v>
      </c>
      <c r="F336">
        <v>8</v>
      </c>
      <c r="G336" t="s">
        <v>47</v>
      </c>
      <c r="H336" t="s">
        <v>45</v>
      </c>
      <c r="I336" t="s">
        <v>31</v>
      </c>
      <c r="J336" t="s">
        <v>40</v>
      </c>
      <c r="K336" t="s">
        <v>29</v>
      </c>
      <c r="L336" t="s">
        <v>41</v>
      </c>
      <c r="M336" t="s">
        <v>31</v>
      </c>
      <c r="N336" t="s">
        <v>42</v>
      </c>
      <c r="O336">
        <v>3697</v>
      </c>
      <c r="P336">
        <v>9</v>
      </c>
      <c r="Q336" t="s">
        <v>36</v>
      </c>
      <c r="R336">
        <v>14</v>
      </c>
      <c r="S336" t="s">
        <v>33</v>
      </c>
      <c r="T336" t="s">
        <v>34</v>
      </c>
      <c r="U336">
        <v>3</v>
      </c>
      <c r="V336" t="s">
        <v>44</v>
      </c>
      <c r="W336" t="str">
        <f>IF(HR_Data[[#This Row],[age]]&lt;25,"Under 25",IF(HR_Data[[#This Row],[age]]&lt;35,"25-34",IF(HR_Data[[#This Row],[age]]&lt;45,"35-44",IF(HR_Data[[#This Row],[age]]&lt;55,"45-54","55+"))))</f>
        <v>45-54</v>
      </c>
      <c r="X336" t="str">
        <f t="shared" si="5"/>
        <v>3,000-4,999</v>
      </c>
    </row>
    <row r="337" spans="1:24" x14ac:dyDescent="0.3">
      <c r="A337">
        <v>453</v>
      </c>
      <c r="B337">
        <v>40</v>
      </c>
      <c r="C337" t="s">
        <v>36</v>
      </c>
      <c r="D337" t="s">
        <v>23</v>
      </c>
      <c r="E337" t="s">
        <v>24</v>
      </c>
      <c r="F337">
        <v>1</v>
      </c>
      <c r="G337" t="s">
        <v>25</v>
      </c>
      <c r="H337" t="s">
        <v>48</v>
      </c>
      <c r="I337" t="s">
        <v>27</v>
      </c>
      <c r="J337" t="s">
        <v>40</v>
      </c>
      <c r="K337" t="s">
        <v>34</v>
      </c>
      <c r="L337" t="s">
        <v>30</v>
      </c>
      <c r="M337" t="s">
        <v>31</v>
      </c>
      <c r="N337" t="s">
        <v>42</v>
      </c>
      <c r="O337">
        <v>7457</v>
      </c>
      <c r="P337">
        <v>2</v>
      </c>
      <c r="Q337" t="s">
        <v>22</v>
      </c>
      <c r="R337">
        <v>22</v>
      </c>
      <c r="S337" t="s">
        <v>43</v>
      </c>
      <c r="T337" t="s">
        <v>29</v>
      </c>
      <c r="U337">
        <v>2</v>
      </c>
      <c r="V337" t="s">
        <v>49</v>
      </c>
      <c r="W337" t="str">
        <f>IF(HR_Data[[#This Row],[age]]&lt;25,"Under 25",IF(HR_Data[[#This Row],[age]]&lt;35,"25-34",IF(HR_Data[[#This Row],[age]]&lt;45,"35-44",IF(HR_Data[[#This Row],[age]]&lt;55,"45-54","55+"))))</f>
        <v>35-44</v>
      </c>
      <c r="X337" t="str">
        <f t="shared" si="5"/>
        <v>5,000-7,999</v>
      </c>
    </row>
    <row r="338" spans="1:24" x14ac:dyDescent="0.3">
      <c r="A338">
        <v>454</v>
      </c>
      <c r="B338">
        <v>29</v>
      </c>
      <c r="C338" t="s">
        <v>22</v>
      </c>
      <c r="D338" t="s">
        <v>23</v>
      </c>
      <c r="E338" t="s">
        <v>38</v>
      </c>
      <c r="F338">
        <v>8</v>
      </c>
      <c r="G338" t="s">
        <v>47</v>
      </c>
      <c r="H338" t="s">
        <v>45</v>
      </c>
      <c r="I338" t="s">
        <v>27</v>
      </c>
      <c r="J338" t="s">
        <v>40</v>
      </c>
      <c r="K338" t="s">
        <v>34</v>
      </c>
      <c r="L338" t="s">
        <v>46</v>
      </c>
      <c r="M338" t="s">
        <v>34</v>
      </c>
      <c r="N338" t="s">
        <v>42</v>
      </c>
      <c r="O338">
        <v>2119</v>
      </c>
      <c r="P338">
        <v>1</v>
      </c>
      <c r="Q338" t="s">
        <v>22</v>
      </c>
      <c r="R338">
        <v>11</v>
      </c>
      <c r="S338" t="s">
        <v>33</v>
      </c>
      <c r="T338" t="s">
        <v>31</v>
      </c>
      <c r="U338">
        <v>4</v>
      </c>
      <c r="V338" t="s">
        <v>49</v>
      </c>
      <c r="W338" t="str">
        <f>IF(HR_Data[[#This Row],[age]]&lt;25,"Under 25",IF(HR_Data[[#This Row],[age]]&lt;35,"25-34",IF(HR_Data[[#This Row],[age]]&lt;45,"35-44",IF(HR_Data[[#This Row],[age]]&lt;55,"45-54","55+"))))</f>
        <v>25-34</v>
      </c>
      <c r="X338" t="str">
        <f t="shared" si="5"/>
        <v>Below 3,000</v>
      </c>
    </row>
    <row r="339" spans="1:24" x14ac:dyDescent="0.3">
      <c r="A339">
        <v>455</v>
      </c>
      <c r="B339">
        <v>29</v>
      </c>
      <c r="C339" t="s">
        <v>36</v>
      </c>
      <c r="D339" t="s">
        <v>23</v>
      </c>
      <c r="E339" t="s">
        <v>38</v>
      </c>
      <c r="F339">
        <v>9</v>
      </c>
      <c r="G339" t="s">
        <v>61</v>
      </c>
      <c r="H339" t="s">
        <v>45</v>
      </c>
      <c r="I339" t="s">
        <v>27</v>
      </c>
      <c r="J339" t="s">
        <v>40</v>
      </c>
      <c r="K339" t="s">
        <v>27</v>
      </c>
      <c r="L339" t="s">
        <v>46</v>
      </c>
      <c r="M339" t="s">
        <v>31</v>
      </c>
      <c r="N339" t="s">
        <v>32</v>
      </c>
      <c r="O339">
        <v>3983</v>
      </c>
      <c r="P339">
        <v>0</v>
      </c>
      <c r="Q339" t="s">
        <v>36</v>
      </c>
      <c r="R339">
        <v>17</v>
      </c>
      <c r="S339" t="s">
        <v>33</v>
      </c>
      <c r="T339" t="s">
        <v>29</v>
      </c>
      <c r="U339">
        <v>2</v>
      </c>
      <c r="V339" t="s">
        <v>44</v>
      </c>
      <c r="W339" t="str">
        <f>IF(HR_Data[[#This Row],[age]]&lt;25,"Under 25",IF(HR_Data[[#This Row],[age]]&lt;35,"25-34",IF(HR_Data[[#This Row],[age]]&lt;45,"35-44",IF(HR_Data[[#This Row],[age]]&lt;55,"45-54","55+"))))</f>
        <v>25-34</v>
      </c>
      <c r="X339" t="str">
        <f t="shared" si="5"/>
        <v>3,000-4,999</v>
      </c>
    </row>
    <row r="340" spans="1:24" x14ac:dyDescent="0.3">
      <c r="A340">
        <v>456</v>
      </c>
      <c r="B340">
        <v>30</v>
      </c>
      <c r="C340" t="s">
        <v>36</v>
      </c>
      <c r="D340" t="s">
        <v>23</v>
      </c>
      <c r="E340" t="s">
        <v>24</v>
      </c>
      <c r="F340">
        <v>5</v>
      </c>
      <c r="G340" t="s">
        <v>50</v>
      </c>
      <c r="H340" t="s">
        <v>58</v>
      </c>
      <c r="I340" t="s">
        <v>31</v>
      </c>
      <c r="J340" t="s">
        <v>28</v>
      </c>
      <c r="K340" t="s">
        <v>27</v>
      </c>
      <c r="L340" t="s">
        <v>30</v>
      </c>
      <c r="M340" t="s">
        <v>29</v>
      </c>
      <c r="N340" t="s">
        <v>51</v>
      </c>
      <c r="O340">
        <v>6118</v>
      </c>
      <c r="P340">
        <v>1</v>
      </c>
      <c r="Q340" t="s">
        <v>36</v>
      </c>
      <c r="R340">
        <v>13</v>
      </c>
      <c r="S340" t="s">
        <v>33</v>
      </c>
      <c r="T340" t="s">
        <v>29</v>
      </c>
      <c r="U340">
        <v>2</v>
      </c>
      <c r="V340" t="s">
        <v>44</v>
      </c>
      <c r="W340" t="str">
        <f>IF(HR_Data[[#This Row],[age]]&lt;25,"Under 25",IF(HR_Data[[#This Row],[age]]&lt;35,"25-34",IF(HR_Data[[#This Row],[age]]&lt;45,"35-44",IF(HR_Data[[#This Row],[age]]&lt;55,"45-54","55+"))))</f>
        <v>25-34</v>
      </c>
      <c r="X340" t="str">
        <f t="shared" si="5"/>
        <v>5,000-7,999</v>
      </c>
    </row>
    <row r="341" spans="1:24" x14ac:dyDescent="0.3">
      <c r="A341">
        <v>458</v>
      </c>
      <c r="B341">
        <v>27</v>
      </c>
      <c r="C341" t="s">
        <v>36</v>
      </c>
      <c r="D341" t="s">
        <v>23</v>
      </c>
      <c r="E341" t="s">
        <v>24</v>
      </c>
      <c r="F341">
        <v>8</v>
      </c>
      <c r="G341" t="s">
        <v>47</v>
      </c>
      <c r="H341" t="s">
        <v>58</v>
      </c>
      <c r="I341" t="s">
        <v>27</v>
      </c>
      <c r="J341" t="s">
        <v>28</v>
      </c>
      <c r="K341" t="s">
        <v>29</v>
      </c>
      <c r="L341" t="s">
        <v>30</v>
      </c>
      <c r="M341" t="s">
        <v>27</v>
      </c>
      <c r="N341" t="s">
        <v>42</v>
      </c>
      <c r="O341">
        <v>6214</v>
      </c>
      <c r="P341">
        <v>1</v>
      </c>
      <c r="Q341" t="s">
        <v>36</v>
      </c>
      <c r="R341">
        <v>18</v>
      </c>
      <c r="S341" t="s">
        <v>33</v>
      </c>
      <c r="T341" t="s">
        <v>34</v>
      </c>
      <c r="U341">
        <v>3</v>
      </c>
      <c r="V341" t="s">
        <v>44</v>
      </c>
      <c r="W341" t="str">
        <f>IF(HR_Data[[#This Row],[age]]&lt;25,"Under 25",IF(HR_Data[[#This Row],[age]]&lt;35,"25-34",IF(HR_Data[[#This Row],[age]]&lt;45,"35-44",IF(HR_Data[[#This Row],[age]]&lt;55,"45-54","55+"))))</f>
        <v>25-34</v>
      </c>
      <c r="X341" t="str">
        <f t="shared" si="5"/>
        <v>5,000-7,999</v>
      </c>
    </row>
    <row r="342" spans="1:24" x14ac:dyDescent="0.3">
      <c r="A342">
        <v>460</v>
      </c>
      <c r="B342">
        <v>37</v>
      </c>
      <c r="C342" t="s">
        <v>36</v>
      </c>
      <c r="D342" t="s">
        <v>23</v>
      </c>
      <c r="E342" t="s">
        <v>38</v>
      </c>
      <c r="F342">
        <v>5</v>
      </c>
      <c r="G342" t="s">
        <v>25</v>
      </c>
      <c r="H342" t="s">
        <v>48</v>
      </c>
      <c r="I342" t="s">
        <v>31</v>
      </c>
      <c r="J342" t="s">
        <v>40</v>
      </c>
      <c r="K342" t="s">
        <v>29</v>
      </c>
      <c r="L342" t="s">
        <v>52</v>
      </c>
      <c r="M342" t="s">
        <v>31</v>
      </c>
      <c r="N342" t="s">
        <v>51</v>
      </c>
      <c r="O342">
        <v>6347</v>
      </c>
      <c r="P342">
        <v>7</v>
      </c>
      <c r="Q342" t="s">
        <v>36</v>
      </c>
      <c r="R342">
        <v>16</v>
      </c>
      <c r="S342" t="s">
        <v>33</v>
      </c>
      <c r="T342" t="s">
        <v>29</v>
      </c>
      <c r="U342">
        <v>2</v>
      </c>
      <c r="V342" t="s">
        <v>49</v>
      </c>
      <c r="W342" t="str">
        <f>IF(HR_Data[[#This Row],[age]]&lt;25,"Under 25",IF(HR_Data[[#This Row],[age]]&lt;35,"25-34",IF(HR_Data[[#This Row],[age]]&lt;45,"35-44",IF(HR_Data[[#This Row],[age]]&lt;55,"45-54","55+"))))</f>
        <v>35-44</v>
      </c>
      <c r="X342" t="str">
        <f t="shared" si="5"/>
        <v>5,000-7,999</v>
      </c>
    </row>
    <row r="343" spans="1:24" x14ac:dyDescent="0.3">
      <c r="A343">
        <v>461</v>
      </c>
      <c r="B343">
        <v>38</v>
      </c>
      <c r="C343" t="s">
        <v>36</v>
      </c>
      <c r="D343" t="s">
        <v>23</v>
      </c>
      <c r="E343" t="s">
        <v>38</v>
      </c>
      <c r="F343">
        <v>15</v>
      </c>
      <c r="G343" t="s">
        <v>25</v>
      </c>
      <c r="H343" t="s">
        <v>26</v>
      </c>
      <c r="I343" t="s">
        <v>29</v>
      </c>
      <c r="J343" t="s">
        <v>40</v>
      </c>
      <c r="K343" t="s">
        <v>27</v>
      </c>
      <c r="L343" t="s">
        <v>57</v>
      </c>
      <c r="M343" t="s">
        <v>31</v>
      </c>
      <c r="N343" t="s">
        <v>51</v>
      </c>
      <c r="O343">
        <v>11510</v>
      </c>
      <c r="P343">
        <v>0</v>
      </c>
      <c r="Q343" t="s">
        <v>22</v>
      </c>
      <c r="R343">
        <v>14</v>
      </c>
      <c r="S343" t="s">
        <v>33</v>
      </c>
      <c r="T343" t="s">
        <v>27</v>
      </c>
      <c r="U343">
        <v>3</v>
      </c>
      <c r="V343" t="s">
        <v>44</v>
      </c>
      <c r="W343" t="str">
        <f>IF(HR_Data[[#This Row],[age]]&lt;25,"Under 25",IF(HR_Data[[#This Row],[age]]&lt;35,"25-34",IF(HR_Data[[#This Row],[age]]&lt;45,"35-44",IF(HR_Data[[#This Row],[age]]&lt;55,"45-54","55+"))))</f>
        <v>35-44</v>
      </c>
      <c r="X343" t="str">
        <f t="shared" si="5"/>
        <v>8,000+</v>
      </c>
    </row>
    <row r="344" spans="1:24" x14ac:dyDescent="0.3">
      <c r="A344">
        <v>462</v>
      </c>
      <c r="B344">
        <v>31</v>
      </c>
      <c r="C344" t="s">
        <v>36</v>
      </c>
      <c r="D344" t="s">
        <v>23</v>
      </c>
      <c r="E344" t="s">
        <v>38</v>
      </c>
      <c r="F344">
        <v>7</v>
      </c>
      <c r="G344" t="s">
        <v>47</v>
      </c>
      <c r="H344" t="s">
        <v>48</v>
      </c>
      <c r="I344" t="s">
        <v>29</v>
      </c>
      <c r="J344" t="s">
        <v>28</v>
      </c>
      <c r="K344" t="s">
        <v>29</v>
      </c>
      <c r="L344" t="s">
        <v>52</v>
      </c>
      <c r="M344" t="s">
        <v>31</v>
      </c>
      <c r="N344" t="s">
        <v>32</v>
      </c>
      <c r="O344">
        <v>7143</v>
      </c>
      <c r="P344">
        <v>1</v>
      </c>
      <c r="Q344" t="s">
        <v>22</v>
      </c>
      <c r="R344">
        <v>14</v>
      </c>
      <c r="S344" t="s">
        <v>33</v>
      </c>
      <c r="T344" t="s">
        <v>29</v>
      </c>
      <c r="U344">
        <v>2</v>
      </c>
      <c r="V344" t="s">
        <v>49</v>
      </c>
      <c r="W344" t="str">
        <f>IF(HR_Data[[#This Row],[age]]&lt;25,"Under 25",IF(HR_Data[[#This Row],[age]]&lt;35,"25-34",IF(HR_Data[[#This Row],[age]]&lt;45,"35-44",IF(HR_Data[[#This Row],[age]]&lt;55,"45-54","55+"))))</f>
        <v>25-34</v>
      </c>
      <c r="X344" t="str">
        <f t="shared" si="5"/>
        <v>5,000-7,999</v>
      </c>
    </row>
    <row r="345" spans="1:24" x14ac:dyDescent="0.3">
      <c r="A345">
        <v>463</v>
      </c>
      <c r="B345">
        <v>29</v>
      </c>
      <c r="C345" t="s">
        <v>36</v>
      </c>
      <c r="D345" t="s">
        <v>23</v>
      </c>
      <c r="E345" t="s">
        <v>24</v>
      </c>
      <c r="F345">
        <v>10</v>
      </c>
      <c r="G345" t="s">
        <v>39</v>
      </c>
      <c r="H345" t="s">
        <v>58</v>
      </c>
      <c r="I345" t="s">
        <v>31</v>
      </c>
      <c r="J345" t="s">
        <v>28</v>
      </c>
      <c r="K345" t="s">
        <v>27</v>
      </c>
      <c r="L345" t="s">
        <v>30</v>
      </c>
      <c r="M345" t="s">
        <v>27</v>
      </c>
      <c r="N345" t="s">
        <v>51</v>
      </c>
      <c r="O345">
        <v>8268</v>
      </c>
      <c r="P345">
        <v>1</v>
      </c>
      <c r="Q345" t="s">
        <v>22</v>
      </c>
      <c r="R345">
        <v>14</v>
      </c>
      <c r="S345" t="s">
        <v>33</v>
      </c>
      <c r="T345" t="s">
        <v>34</v>
      </c>
      <c r="U345">
        <v>2</v>
      </c>
      <c r="V345" t="s">
        <v>44</v>
      </c>
      <c r="W345" t="str">
        <f>IF(HR_Data[[#This Row],[age]]&lt;25,"Under 25",IF(HR_Data[[#This Row],[age]]&lt;35,"25-34",IF(HR_Data[[#This Row],[age]]&lt;45,"35-44",IF(HR_Data[[#This Row],[age]]&lt;55,"45-54","55+"))))</f>
        <v>25-34</v>
      </c>
      <c r="X345" t="str">
        <f t="shared" si="5"/>
        <v>8,000+</v>
      </c>
    </row>
    <row r="346" spans="1:24" x14ac:dyDescent="0.3">
      <c r="A346">
        <v>464</v>
      </c>
      <c r="B346">
        <v>35</v>
      </c>
      <c r="C346" t="s">
        <v>36</v>
      </c>
      <c r="D346" t="s">
        <v>23</v>
      </c>
      <c r="E346" t="s">
        <v>38</v>
      </c>
      <c r="F346">
        <v>5</v>
      </c>
      <c r="G346" t="s">
        <v>47</v>
      </c>
      <c r="H346" t="s">
        <v>60</v>
      </c>
      <c r="I346" t="s">
        <v>29</v>
      </c>
      <c r="J346" t="s">
        <v>40</v>
      </c>
      <c r="K346" t="s">
        <v>29</v>
      </c>
      <c r="L346" t="s">
        <v>52</v>
      </c>
      <c r="M346" t="s">
        <v>27</v>
      </c>
      <c r="N346" t="s">
        <v>32</v>
      </c>
      <c r="O346">
        <v>8095</v>
      </c>
      <c r="P346">
        <v>0</v>
      </c>
      <c r="Q346" t="s">
        <v>36</v>
      </c>
      <c r="R346">
        <v>13</v>
      </c>
      <c r="S346" t="s">
        <v>33</v>
      </c>
      <c r="T346" t="s">
        <v>31</v>
      </c>
      <c r="U346">
        <v>5</v>
      </c>
      <c r="V346" t="s">
        <v>44</v>
      </c>
      <c r="W346" t="str">
        <f>IF(HR_Data[[#This Row],[age]]&lt;25,"Under 25",IF(HR_Data[[#This Row],[age]]&lt;35,"25-34",IF(HR_Data[[#This Row],[age]]&lt;45,"35-44",IF(HR_Data[[#This Row],[age]]&lt;55,"45-54","55+"))))</f>
        <v>35-44</v>
      </c>
      <c r="X346" t="str">
        <f t="shared" si="5"/>
        <v>8,000+</v>
      </c>
    </row>
    <row r="347" spans="1:24" x14ac:dyDescent="0.3">
      <c r="A347">
        <v>465</v>
      </c>
      <c r="B347">
        <v>23</v>
      </c>
      <c r="C347" t="s">
        <v>36</v>
      </c>
      <c r="D347" t="s">
        <v>23</v>
      </c>
      <c r="E347" t="s">
        <v>38</v>
      </c>
      <c r="F347">
        <v>26</v>
      </c>
      <c r="G347" t="s">
        <v>39</v>
      </c>
      <c r="H347" t="s">
        <v>26</v>
      </c>
      <c r="I347" t="s">
        <v>29</v>
      </c>
      <c r="J347" t="s">
        <v>40</v>
      </c>
      <c r="K347" t="s">
        <v>29</v>
      </c>
      <c r="L347" t="s">
        <v>41</v>
      </c>
      <c r="M347" t="s">
        <v>31</v>
      </c>
      <c r="N347" t="s">
        <v>51</v>
      </c>
      <c r="O347">
        <v>2904</v>
      </c>
      <c r="P347">
        <v>1</v>
      </c>
      <c r="Q347" t="s">
        <v>36</v>
      </c>
      <c r="R347">
        <v>12</v>
      </c>
      <c r="S347" t="s">
        <v>33</v>
      </c>
      <c r="T347" t="s">
        <v>29</v>
      </c>
      <c r="U347">
        <v>2</v>
      </c>
      <c r="V347" t="s">
        <v>49</v>
      </c>
      <c r="W347" t="str">
        <f>IF(HR_Data[[#This Row],[age]]&lt;25,"Under 25",IF(HR_Data[[#This Row],[age]]&lt;35,"25-34",IF(HR_Data[[#This Row],[age]]&lt;45,"35-44",IF(HR_Data[[#This Row],[age]]&lt;55,"45-54","55+"))))</f>
        <v>Under 25</v>
      </c>
      <c r="X347" t="str">
        <f t="shared" si="5"/>
        <v>Below 3,000</v>
      </c>
    </row>
    <row r="348" spans="1:24" x14ac:dyDescent="0.3">
      <c r="A348">
        <v>466</v>
      </c>
      <c r="B348">
        <v>41</v>
      </c>
      <c r="C348" t="s">
        <v>36</v>
      </c>
      <c r="D348" t="s">
        <v>23</v>
      </c>
      <c r="E348" t="s">
        <v>38</v>
      </c>
      <c r="F348">
        <v>6</v>
      </c>
      <c r="G348" t="s">
        <v>50</v>
      </c>
      <c r="H348" t="s">
        <v>48</v>
      </c>
      <c r="I348" t="s">
        <v>31</v>
      </c>
      <c r="J348" t="s">
        <v>40</v>
      </c>
      <c r="K348" t="s">
        <v>27</v>
      </c>
      <c r="L348" t="s">
        <v>52</v>
      </c>
      <c r="M348" t="s">
        <v>27</v>
      </c>
      <c r="N348" t="s">
        <v>32</v>
      </c>
      <c r="O348">
        <v>6032</v>
      </c>
      <c r="P348">
        <v>6</v>
      </c>
      <c r="Q348" t="s">
        <v>22</v>
      </c>
      <c r="R348">
        <v>15</v>
      </c>
      <c r="S348" t="s">
        <v>33</v>
      </c>
      <c r="T348" t="s">
        <v>31</v>
      </c>
      <c r="U348">
        <v>3</v>
      </c>
      <c r="V348" t="s">
        <v>44</v>
      </c>
      <c r="W348" t="str">
        <f>IF(HR_Data[[#This Row],[age]]&lt;25,"Under 25",IF(HR_Data[[#This Row],[age]]&lt;35,"25-34",IF(HR_Data[[#This Row],[age]]&lt;45,"35-44",IF(HR_Data[[#This Row],[age]]&lt;55,"45-54","55+"))))</f>
        <v>35-44</v>
      </c>
      <c r="X348" t="str">
        <f t="shared" si="5"/>
        <v>5,000-7,999</v>
      </c>
    </row>
    <row r="349" spans="1:24" x14ac:dyDescent="0.3">
      <c r="A349">
        <v>467</v>
      </c>
      <c r="B349">
        <v>47</v>
      </c>
      <c r="C349" t="s">
        <v>36</v>
      </c>
      <c r="D349" t="s">
        <v>37</v>
      </c>
      <c r="E349" t="s">
        <v>24</v>
      </c>
      <c r="F349">
        <v>4</v>
      </c>
      <c r="G349" t="s">
        <v>39</v>
      </c>
      <c r="H349" t="s">
        <v>48</v>
      </c>
      <c r="I349" t="s">
        <v>27</v>
      </c>
      <c r="J349" t="s">
        <v>40</v>
      </c>
      <c r="K349" t="s">
        <v>29</v>
      </c>
      <c r="L349" t="s">
        <v>56</v>
      </c>
      <c r="M349" t="s">
        <v>29</v>
      </c>
      <c r="N349" t="s">
        <v>32</v>
      </c>
      <c r="O349">
        <v>2976</v>
      </c>
      <c r="P349">
        <v>3</v>
      </c>
      <c r="Q349" t="s">
        <v>36</v>
      </c>
      <c r="R349">
        <v>19</v>
      </c>
      <c r="S349" t="s">
        <v>33</v>
      </c>
      <c r="T349" t="s">
        <v>34</v>
      </c>
      <c r="U349">
        <v>3</v>
      </c>
      <c r="V349" t="s">
        <v>44</v>
      </c>
      <c r="W349" t="str">
        <f>IF(HR_Data[[#This Row],[age]]&lt;25,"Under 25",IF(HR_Data[[#This Row],[age]]&lt;35,"25-34",IF(HR_Data[[#This Row],[age]]&lt;45,"35-44",IF(HR_Data[[#This Row],[age]]&lt;55,"45-54","55+"))))</f>
        <v>45-54</v>
      </c>
      <c r="X349" t="str">
        <f t="shared" si="5"/>
        <v>Below 3,000</v>
      </c>
    </row>
    <row r="350" spans="1:24" x14ac:dyDescent="0.3">
      <c r="A350">
        <v>468</v>
      </c>
      <c r="B350">
        <v>42</v>
      </c>
      <c r="C350" t="s">
        <v>36</v>
      </c>
      <c r="D350" t="s">
        <v>23</v>
      </c>
      <c r="E350" t="s">
        <v>38</v>
      </c>
      <c r="F350">
        <v>23</v>
      </c>
      <c r="G350" t="s">
        <v>61</v>
      </c>
      <c r="H350" t="s">
        <v>26</v>
      </c>
      <c r="I350" t="s">
        <v>34</v>
      </c>
      <c r="J350" t="s">
        <v>28</v>
      </c>
      <c r="K350" t="s">
        <v>29</v>
      </c>
      <c r="L350" t="s">
        <v>57</v>
      </c>
      <c r="M350" t="s">
        <v>31</v>
      </c>
      <c r="N350" t="s">
        <v>32</v>
      </c>
      <c r="O350">
        <v>15992</v>
      </c>
      <c r="P350">
        <v>2</v>
      </c>
      <c r="Q350" t="s">
        <v>36</v>
      </c>
      <c r="R350">
        <v>14</v>
      </c>
      <c r="S350" t="s">
        <v>33</v>
      </c>
      <c r="T350" t="s">
        <v>27</v>
      </c>
      <c r="U350">
        <v>2</v>
      </c>
      <c r="V350" t="s">
        <v>44</v>
      </c>
      <c r="W350" t="str">
        <f>IF(HR_Data[[#This Row],[age]]&lt;25,"Under 25",IF(HR_Data[[#This Row],[age]]&lt;35,"25-34",IF(HR_Data[[#This Row],[age]]&lt;45,"35-44",IF(HR_Data[[#This Row],[age]]&lt;55,"45-54","55+"))))</f>
        <v>35-44</v>
      </c>
      <c r="X350" t="str">
        <f t="shared" si="5"/>
        <v>8,000+</v>
      </c>
    </row>
    <row r="351" spans="1:24" x14ac:dyDescent="0.3">
      <c r="A351">
        <v>469</v>
      </c>
      <c r="B351">
        <v>29</v>
      </c>
      <c r="C351" t="s">
        <v>36</v>
      </c>
      <c r="D351" t="s">
        <v>54</v>
      </c>
      <c r="E351" t="s">
        <v>24</v>
      </c>
      <c r="F351">
        <v>2</v>
      </c>
      <c r="G351" t="s">
        <v>50</v>
      </c>
      <c r="H351" t="s">
        <v>26</v>
      </c>
      <c r="I351" t="s">
        <v>31</v>
      </c>
      <c r="J351" t="s">
        <v>40</v>
      </c>
      <c r="K351" t="s">
        <v>29</v>
      </c>
      <c r="L351" t="s">
        <v>30</v>
      </c>
      <c r="M351" t="s">
        <v>29</v>
      </c>
      <c r="N351" t="s">
        <v>42</v>
      </c>
      <c r="O351">
        <v>4649</v>
      </c>
      <c r="P351">
        <v>1</v>
      </c>
      <c r="Q351" t="s">
        <v>36</v>
      </c>
      <c r="R351">
        <v>14</v>
      </c>
      <c r="S351" t="s">
        <v>33</v>
      </c>
      <c r="T351" t="s">
        <v>34</v>
      </c>
      <c r="U351">
        <v>3</v>
      </c>
      <c r="V351" t="s">
        <v>49</v>
      </c>
      <c r="W351" t="str">
        <f>IF(HR_Data[[#This Row],[age]]&lt;25,"Under 25",IF(HR_Data[[#This Row],[age]]&lt;35,"25-34",IF(HR_Data[[#This Row],[age]]&lt;45,"35-44",IF(HR_Data[[#This Row],[age]]&lt;55,"45-54","55+"))))</f>
        <v>25-34</v>
      </c>
      <c r="X351" t="str">
        <f t="shared" si="5"/>
        <v>3,000-4,999</v>
      </c>
    </row>
    <row r="352" spans="1:24" x14ac:dyDescent="0.3">
      <c r="A352">
        <v>470</v>
      </c>
      <c r="B352">
        <v>42</v>
      </c>
      <c r="C352" t="s">
        <v>36</v>
      </c>
      <c r="D352" t="s">
        <v>23</v>
      </c>
      <c r="E352" t="s">
        <v>62</v>
      </c>
      <c r="F352">
        <v>2</v>
      </c>
      <c r="G352" t="s">
        <v>39</v>
      </c>
      <c r="H352" t="s">
        <v>60</v>
      </c>
      <c r="I352" t="s">
        <v>29</v>
      </c>
      <c r="J352" t="s">
        <v>40</v>
      </c>
      <c r="K352" t="s">
        <v>29</v>
      </c>
      <c r="L352" t="s">
        <v>62</v>
      </c>
      <c r="M352" t="s">
        <v>29</v>
      </c>
      <c r="N352" t="s">
        <v>51</v>
      </c>
      <c r="O352">
        <v>2696</v>
      </c>
      <c r="P352">
        <v>0</v>
      </c>
      <c r="Q352" t="s">
        <v>22</v>
      </c>
      <c r="R352">
        <v>11</v>
      </c>
      <c r="S352" t="s">
        <v>33</v>
      </c>
      <c r="T352" t="s">
        <v>29</v>
      </c>
      <c r="U352">
        <v>5</v>
      </c>
      <c r="V352" t="s">
        <v>44</v>
      </c>
      <c r="W352" t="str">
        <f>IF(HR_Data[[#This Row],[age]]&lt;25,"Under 25",IF(HR_Data[[#This Row],[age]]&lt;35,"25-34",IF(HR_Data[[#This Row],[age]]&lt;45,"35-44",IF(HR_Data[[#This Row],[age]]&lt;55,"45-54","55+"))))</f>
        <v>35-44</v>
      </c>
      <c r="X352" t="str">
        <f t="shared" si="5"/>
        <v>Below 3,000</v>
      </c>
    </row>
    <row r="353" spans="1:24" x14ac:dyDescent="0.3">
      <c r="A353">
        <v>471</v>
      </c>
      <c r="B353">
        <v>32</v>
      </c>
      <c r="C353" t="s">
        <v>36</v>
      </c>
      <c r="D353" t="s">
        <v>23</v>
      </c>
      <c r="E353" t="s">
        <v>38</v>
      </c>
      <c r="F353">
        <v>2</v>
      </c>
      <c r="G353" t="s">
        <v>50</v>
      </c>
      <c r="H353" t="s">
        <v>48</v>
      </c>
      <c r="I353" t="s">
        <v>29</v>
      </c>
      <c r="J353" t="s">
        <v>28</v>
      </c>
      <c r="K353" t="s">
        <v>29</v>
      </c>
      <c r="L353" t="s">
        <v>46</v>
      </c>
      <c r="M353" t="s">
        <v>27</v>
      </c>
      <c r="N353" t="s">
        <v>42</v>
      </c>
      <c r="O353">
        <v>2370</v>
      </c>
      <c r="P353">
        <v>1</v>
      </c>
      <c r="Q353" t="s">
        <v>36</v>
      </c>
      <c r="R353">
        <v>13</v>
      </c>
      <c r="S353" t="s">
        <v>33</v>
      </c>
      <c r="T353" t="s">
        <v>29</v>
      </c>
      <c r="U353">
        <v>4</v>
      </c>
      <c r="V353" t="s">
        <v>44</v>
      </c>
      <c r="W353" t="str">
        <f>IF(HR_Data[[#This Row],[age]]&lt;25,"Under 25",IF(HR_Data[[#This Row],[age]]&lt;35,"25-34",IF(HR_Data[[#This Row],[age]]&lt;45,"35-44",IF(HR_Data[[#This Row],[age]]&lt;55,"45-54","55+"))))</f>
        <v>25-34</v>
      </c>
      <c r="X353" t="str">
        <f t="shared" si="5"/>
        <v>Below 3,000</v>
      </c>
    </row>
    <row r="354" spans="1:24" x14ac:dyDescent="0.3">
      <c r="A354">
        <v>473</v>
      </c>
      <c r="B354">
        <v>48</v>
      </c>
      <c r="C354" t="s">
        <v>36</v>
      </c>
      <c r="D354" t="s">
        <v>23</v>
      </c>
      <c r="E354" t="s">
        <v>24</v>
      </c>
      <c r="F354">
        <v>29</v>
      </c>
      <c r="G354" t="s">
        <v>39</v>
      </c>
      <c r="H354" t="s">
        <v>48</v>
      </c>
      <c r="I354" t="s">
        <v>34</v>
      </c>
      <c r="J354" t="s">
        <v>28</v>
      </c>
      <c r="K354" t="s">
        <v>29</v>
      </c>
      <c r="L354" t="s">
        <v>55</v>
      </c>
      <c r="M354" t="s">
        <v>29</v>
      </c>
      <c r="N354" t="s">
        <v>42</v>
      </c>
      <c r="O354">
        <v>12504</v>
      </c>
      <c r="P354">
        <v>3</v>
      </c>
      <c r="Q354" t="s">
        <v>36</v>
      </c>
      <c r="R354">
        <v>21</v>
      </c>
      <c r="S354" t="s">
        <v>43</v>
      </c>
      <c r="T354" t="s">
        <v>27</v>
      </c>
      <c r="U354">
        <v>3</v>
      </c>
      <c r="V354" t="s">
        <v>35</v>
      </c>
      <c r="W354" t="str">
        <f>IF(HR_Data[[#This Row],[age]]&lt;25,"Under 25",IF(HR_Data[[#This Row],[age]]&lt;35,"25-34",IF(HR_Data[[#This Row],[age]]&lt;45,"35-44",IF(HR_Data[[#This Row],[age]]&lt;55,"45-54","55+"))))</f>
        <v>45-54</v>
      </c>
      <c r="X354" t="str">
        <f t="shared" si="5"/>
        <v>8,000+</v>
      </c>
    </row>
    <row r="355" spans="1:24" x14ac:dyDescent="0.3">
      <c r="A355">
        <v>474</v>
      </c>
      <c r="B355">
        <v>37</v>
      </c>
      <c r="C355" t="s">
        <v>36</v>
      </c>
      <c r="D355" t="s">
        <v>23</v>
      </c>
      <c r="E355" t="s">
        <v>38</v>
      </c>
      <c r="F355">
        <v>6</v>
      </c>
      <c r="G355" t="s">
        <v>50</v>
      </c>
      <c r="H355" t="s">
        <v>48</v>
      </c>
      <c r="I355" t="s">
        <v>29</v>
      </c>
      <c r="J355" t="s">
        <v>40</v>
      </c>
      <c r="K355" t="s">
        <v>31</v>
      </c>
      <c r="L355" t="s">
        <v>41</v>
      </c>
      <c r="M355" t="s">
        <v>34</v>
      </c>
      <c r="N355" t="s">
        <v>51</v>
      </c>
      <c r="O355">
        <v>5974</v>
      </c>
      <c r="P355">
        <v>4</v>
      </c>
      <c r="Q355" t="s">
        <v>22</v>
      </c>
      <c r="R355">
        <v>13</v>
      </c>
      <c r="S355" t="s">
        <v>33</v>
      </c>
      <c r="T355" t="s">
        <v>34</v>
      </c>
      <c r="U355">
        <v>2</v>
      </c>
      <c r="V355" t="s">
        <v>44</v>
      </c>
      <c r="W355" t="str">
        <f>IF(HR_Data[[#This Row],[age]]&lt;25,"Under 25",IF(HR_Data[[#This Row],[age]]&lt;35,"25-34",IF(HR_Data[[#This Row],[age]]&lt;45,"35-44",IF(HR_Data[[#This Row],[age]]&lt;55,"45-54","55+"))))</f>
        <v>35-44</v>
      </c>
      <c r="X355" t="str">
        <f t="shared" si="5"/>
        <v>5,000-7,999</v>
      </c>
    </row>
    <row r="356" spans="1:24" x14ac:dyDescent="0.3">
      <c r="A356">
        <v>475</v>
      </c>
      <c r="B356">
        <v>30</v>
      </c>
      <c r="C356" t="s">
        <v>36</v>
      </c>
      <c r="D356" t="s">
        <v>54</v>
      </c>
      <c r="E356" t="s">
        <v>24</v>
      </c>
      <c r="F356">
        <v>25</v>
      </c>
      <c r="G356" t="s">
        <v>25</v>
      </c>
      <c r="H356" t="s">
        <v>60</v>
      </c>
      <c r="I356" t="s">
        <v>31</v>
      </c>
      <c r="J356" t="s">
        <v>28</v>
      </c>
      <c r="K356" t="s">
        <v>29</v>
      </c>
      <c r="L356" t="s">
        <v>30</v>
      </c>
      <c r="M356" t="s">
        <v>29</v>
      </c>
      <c r="N356" t="s">
        <v>42</v>
      </c>
      <c r="O356">
        <v>4736</v>
      </c>
      <c r="P356">
        <v>7</v>
      </c>
      <c r="Q356" t="s">
        <v>22</v>
      </c>
      <c r="R356">
        <v>12</v>
      </c>
      <c r="S356" t="s">
        <v>33</v>
      </c>
      <c r="T356" t="s">
        <v>27</v>
      </c>
      <c r="U356">
        <v>2</v>
      </c>
      <c r="V356" t="s">
        <v>59</v>
      </c>
      <c r="W356" t="str">
        <f>IF(HR_Data[[#This Row],[age]]&lt;25,"Under 25",IF(HR_Data[[#This Row],[age]]&lt;35,"25-34",IF(HR_Data[[#This Row],[age]]&lt;45,"35-44",IF(HR_Data[[#This Row],[age]]&lt;55,"45-54","55+"))))</f>
        <v>25-34</v>
      </c>
      <c r="X356" t="str">
        <f t="shared" si="5"/>
        <v>3,000-4,999</v>
      </c>
    </row>
    <row r="357" spans="1:24" x14ac:dyDescent="0.3">
      <c r="A357">
        <v>476</v>
      </c>
      <c r="B357">
        <v>26</v>
      </c>
      <c r="C357" t="s">
        <v>36</v>
      </c>
      <c r="D357" t="s">
        <v>23</v>
      </c>
      <c r="E357" t="s">
        <v>24</v>
      </c>
      <c r="F357">
        <v>1</v>
      </c>
      <c r="G357" t="s">
        <v>50</v>
      </c>
      <c r="H357" t="s">
        <v>26</v>
      </c>
      <c r="I357" t="s">
        <v>29</v>
      </c>
      <c r="J357" t="s">
        <v>40</v>
      </c>
      <c r="K357" t="s">
        <v>29</v>
      </c>
      <c r="L357" t="s">
        <v>30</v>
      </c>
      <c r="M357" t="s">
        <v>29</v>
      </c>
      <c r="N357" t="s">
        <v>42</v>
      </c>
      <c r="O357">
        <v>5296</v>
      </c>
      <c r="P357">
        <v>1</v>
      </c>
      <c r="Q357" t="s">
        <v>36</v>
      </c>
      <c r="R357">
        <v>17</v>
      </c>
      <c r="S357" t="s">
        <v>33</v>
      </c>
      <c r="T357" t="s">
        <v>27</v>
      </c>
      <c r="U357">
        <v>3</v>
      </c>
      <c r="V357" t="s">
        <v>44</v>
      </c>
      <c r="W357" t="str">
        <f>IF(HR_Data[[#This Row],[age]]&lt;25,"Under 25",IF(HR_Data[[#This Row],[age]]&lt;35,"25-34",IF(HR_Data[[#This Row],[age]]&lt;45,"35-44",IF(HR_Data[[#This Row],[age]]&lt;55,"45-54","55+"))))</f>
        <v>25-34</v>
      </c>
      <c r="X357" t="str">
        <f t="shared" si="5"/>
        <v>5,000-7,999</v>
      </c>
    </row>
    <row r="358" spans="1:24" x14ac:dyDescent="0.3">
      <c r="A358">
        <v>477</v>
      </c>
      <c r="B358">
        <v>42</v>
      </c>
      <c r="C358" t="s">
        <v>36</v>
      </c>
      <c r="D358" t="s">
        <v>23</v>
      </c>
      <c r="E358" t="s">
        <v>38</v>
      </c>
      <c r="F358">
        <v>2</v>
      </c>
      <c r="G358" t="s">
        <v>47</v>
      </c>
      <c r="H358" t="s">
        <v>45</v>
      </c>
      <c r="I358" t="s">
        <v>34</v>
      </c>
      <c r="J358" t="s">
        <v>40</v>
      </c>
      <c r="K358" t="s">
        <v>27</v>
      </c>
      <c r="L358" t="s">
        <v>53</v>
      </c>
      <c r="M358" t="s">
        <v>31</v>
      </c>
      <c r="N358" t="s">
        <v>32</v>
      </c>
      <c r="O358">
        <v>6781</v>
      </c>
      <c r="P358">
        <v>3</v>
      </c>
      <c r="Q358" t="s">
        <v>36</v>
      </c>
      <c r="R358">
        <v>23</v>
      </c>
      <c r="S358" t="s">
        <v>43</v>
      </c>
      <c r="T358" t="s">
        <v>27</v>
      </c>
      <c r="U358">
        <v>6</v>
      </c>
      <c r="V358" t="s">
        <v>44</v>
      </c>
      <c r="W358" t="str">
        <f>IF(HR_Data[[#This Row],[age]]&lt;25,"Under 25",IF(HR_Data[[#This Row],[age]]&lt;35,"25-34",IF(HR_Data[[#This Row],[age]]&lt;45,"35-44",IF(HR_Data[[#This Row],[age]]&lt;55,"45-54","55+"))))</f>
        <v>35-44</v>
      </c>
      <c r="X358" t="str">
        <f t="shared" si="5"/>
        <v>5,000-7,999</v>
      </c>
    </row>
    <row r="359" spans="1:24" x14ac:dyDescent="0.3">
      <c r="A359">
        <v>478</v>
      </c>
      <c r="B359">
        <v>21</v>
      </c>
      <c r="C359" t="s">
        <v>22</v>
      </c>
      <c r="D359" t="s">
        <v>37</v>
      </c>
      <c r="E359" t="s">
        <v>24</v>
      </c>
      <c r="F359">
        <v>1</v>
      </c>
      <c r="G359" t="s">
        <v>39</v>
      </c>
      <c r="H359" t="s">
        <v>60</v>
      </c>
      <c r="I359" t="s">
        <v>34</v>
      </c>
      <c r="J359" t="s">
        <v>28</v>
      </c>
      <c r="K359" t="s">
        <v>27</v>
      </c>
      <c r="L359" t="s">
        <v>56</v>
      </c>
      <c r="M359" t="s">
        <v>27</v>
      </c>
      <c r="N359" t="s">
        <v>32</v>
      </c>
      <c r="O359">
        <v>2174</v>
      </c>
      <c r="P359">
        <v>1</v>
      </c>
      <c r="Q359" t="s">
        <v>22</v>
      </c>
      <c r="R359">
        <v>11</v>
      </c>
      <c r="S359" t="s">
        <v>33</v>
      </c>
      <c r="T359" t="s">
        <v>29</v>
      </c>
      <c r="U359">
        <v>3</v>
      </c>
      <c r="V359" t="s">
        <v>44</v>
      </c>
      <c r="W359" t="str">
        <f>IF(HR_Data[[#This Row],[age]]&lt;25,"Under 25",IF(HR_Data[[#This Row],[age]]&lt;35,"25-34",IF(HR_Data[[#This Row],[age]]&lt;45,"35-44",IF(HR_Data[[#This Row],[age]]&lt;55,"45-54","55+"))))</f>
        <v>Under 25</v>
      </c>
      <c r="X359" t="str">
        <f t="shared" si="5"/>
        <v>Below 3,000</v>
      </c>
    </row>
    <row r="360" spans="1:24" x14ac:dyDescent="0.3">
      <c r="A360">
        <v>479</v>
      </c>
      <c r="B360">
        <v>36</v>
      </c>
      <c r="C360" t="s">
        <v>36</v>
      </c>
      <c r="D360" t="s">
        <v>54</v>
      </c>
      <c r="E360" t="s">
        <v>24</v>
      </c>
      <c r="F360">
        <v>1</v>
      </c>
      <c r="G360" t="s">
        <v>61</v>
      </c>
      <c r="H360" t="s">
        <v>48</v>
      </c>
      <c r="I360" t="s">
        <v>31</v>
      </c>
      <c r="J360" t="s">
        <v>28</v>
      </c>
      <c r="K360" t="s">
        <v>29</v>
      </c>
      <c r="L360" t="s">
        <v>30</v>
      </c>
      <c r="M360" t="s">
        <v>31</v>
      </c>
      <c r="N360" t="s">
        <v>32</v>
      </c>
      <c r="O360">
        <v>6653</v>
      </c>
      <c r="P360">
        <v>4</v>
      </c>
      <c r="Q360" t="s">
        <v>36</v>
      </c>
      <c r="R360">
        <v>15</v>
      </c>
      <c r="S360" t="s">
        <v>33</v>
      </c>
      <c r="T360" t="s">
        <v>27</v>
      </c>
      <c r="U360">
        <v>6</v>
      </c>
      <c r="V360" t="s">
        <v>44</v>
      </c>
      <c r="W360" t="str">
        <f>IF(HR_Data[[#This Row],[age]]&lt;25,"Under 25",IF(HR_Data[[#This Row],[age]]&lt;35,"25-34",IF(HR_Data[[#This Row],[age]]&lt;45,"35-44",IF(HR_Data[[#This Row],[age]]&lt;55,"45-54","55+"))))</f>
        <v>35-44</v>
      </c>
      <c r="X360" t="str">
        <f t="shared" si="5"/>
        <v>5,000-7,999</v>
      </c>
    </row>
    <row r="361" spans="1:24" x14ac:dyDescent="0.3">
      <c r="A361">
        <v>481</v>
      </c>
      <c r="B361">
        <v>36</v>
      </c>
      <c r="C361" t="s">
        <v>36</v>
      </c>
      <c r="D361" t="s">
        <v>37</v>
      </c>
      <c r="E361" t="s">
        <v>24</v>
      </c>
      <c r="F361">
        <v>3</v>
      </c>
      <c r="G361" t="s">
        <v>47</v>
      </c>
      <c r="H361" t="s">
        <v>48</v>
      </c>
      <c r="I361" t="s">
        <v>34</v>
      </c>
      <c r="J361" t="s">
        <v>40</v>
      </c>
      <c r="K361" t="s">
        <v>27</v>
      </c>
      <c r="L361" t="s">
        <v>30</v>
      </c>
      <c r="M361" t="s">
        <v>31</v>
      </c>
      <c r="N361" t="s">
        <v>42</v>
      </c>
      <c r="O361">
        <v>9699</v>
      </c>
      <c r="P361">
        <v>4</v>
      </c>
      <c r="Q361" t="s">
        <v>36</v>
      </c>
      <c r="R361">
        <v>11</v>
      </c>
      <c r="S361" t="s">
        <v>33</v>
      </c>
      <c r="T361" t="s">
        <v>34</v>
      </c>
      <c r="U361">
        <v>2</v>
      </c>
      <c r="V361" t="s">
        <v>44</v>
      </c>
      <c r="W361" t="str">
        <f>IF(HR_Data[[#This Row],[age]]&lt;25,"Under 25",IF(HR_Data[[#This Row],[age]]&lt;35,"25-34",IF(HR_Data[[#This Row],[age]]&lt;45,"35-44",IF(HR_Data[[#This Row],[age]]&lt;55,"45-54","55+"))))</f>
        <v>35-44</v>
      </c>
      <c r="X361" t="str">
        <f t="shared" si="5"/>
        <v>8,000+</v>
      </c>
    </row>
    <row r="362" spans="1:24" x14ac:dyDescent="0.3">
      <c r="A362">
        <v>482</v>
      </c>
      <c r="B362">
        <v>57</v>
      </c>
      <c r="C362" t="s">
        <v>36</v>
      </c>
      <c r="D362" t="s">
        <v>23</v>
      </c>
      <c r="E362" t="s">
        <v>38</v>
      </c>
      <c r="F362">
        <v>1</v>
      </c>
      <c r="G362" t="s">
        <v>47</v>
      </c>
      <c r="H362" t="s">
        <v>48</v>
      </c>
      <c r="I362" t="s">
        <v>31</v>
      </c>
      <c r="J362" t="s">
        <v>40</v>
      </c>
      <c r="K362" t="s">
        <v>29</v>
      </c>
      <c r="L362" t="s">
        <v>53</v>
      </c>
      <c r="M362" t="s">
        <v>29</v>
      </c>
      <c r="N362" t="s">
        <v>42</v>
      </c>
      <c r="O362">
        <v>6755</v>
      </c>
      <c r="P362">
        <v>2</v>
      </c>
      <c r="Q362" t="s">
        <v>36</v>
      </c>
      <c r="R362">
        <v>11</v>
      </c>
      <c r="S362" t="s">
        <v>33</v>
      </c>
      <c r="T362" t="s">
        <v>29</v>
      </c>
      <c r="U362">
        <v>2</v>
      </c>
      <c r="V362" t="s">
        <v>44</v>
      </c>
      <c r="W362" t="str">
        <f>IF(HR_Data[[#This Row],[age]]&lt;25,"Under 25",IF(HR_Data[[#This Row],[age]]&lt;35,"25-34",IF(HR_Data[[#This Row],[age]]&lt;45,"35-44",IF(HR_Data[[#This Row],[age]]&lt;55,"45-54","55+"))))</f>
        <v>55+</v>
      </c>
      <c r="X362" t="str">
        <f t="shared" si="5"/>
        <v>5,000-7,999</v>
      </c>
    </row>
    <row r="363" spans="1:24" x14ac:dyDescent="0.3">
      <c r="A363">
        <v>483</v>
      </c>
      <c r="B363">
        <v>40</v>
      </c>
      <c r="C363" t="s">
        <v>36</v>
      </c>
      <c r="D363" t="s">
        <v>23</v>
      </c>
      <c r="E363" t="s">
        <v>38</v>
      </c>
      <c r="F363">
        <v>10</v>
      </c>
      <c r="G363" t="s">
        <v>47</v>
      </c>
      <c r="H363" t="s">
        <v>26</v>
      </c>
      <c r="I363" t="s">
        <v>31</v>
      </c>
      <c r="J363" t="s">
        <v>28</v>
      </c>
      <c r="K363" t="s">
        <v>31</v>
      </c>
      <c r="L363" t="s">
        <v>46</v>
      </c>
      <c r="M363" t="s">
        <v>29</v>
      </c>
      <c r="N363" t="s">
        <v>42</v>
      </c>
      <c r="O363">
        <v>2213</v>
      </c>
      <c r="P363">
        <v>3</v>
      </c>
      <c r="Q363" t="s">
        <v>22</v>
      </c>
      <c r="R363">
        <v>13</v>
      </c>
      <c r="S363" t="s">
        <v>33</v>
      </c>
      <c r="T363" t="s">
        <v>29</v>
      </c>
      <c r="U363">
        <v>3</v>
      </c>
      <c r="V363" t="s">
        <v>44</v>
      </c>
      <c r="W363" t="str">
        <f>IF(HR_Data[[#This Row],[age]]&lt;25,"Under 25",IF(HR_Data[[#This Row],[age]]&lt;35,"25-34",IF(HR_Data[[#This Row],[age]]&lt;45,"35-44",IF(HR_Data[[#This Row],[age]]&lt;55,"45-54","55+"))))</f>
        <v>35-44</v>
      </c>
      <c r="X363" t="str">
        <f t="shared" si="5"/>
        <v>Below 3,000</v>
      </c>
    </row>
    <row r="364" spans="1:24" x14ac:dyDescent="0.3">
      <c r="A364">
        <v>484</v>
      </c>
      <c r="B364">
        <v>21</v>
      </c>
      <c r="C364" t="s">
        <v>36</v>
      </c>
      <c r="D364" t="s">
        <v>54</v>
      </c>
      <c r="E364" t="s">
        <v>24</v>
      </c>
      <c r="F364">
        <v>9</v>
      </c>
      <c r="G364" t="s">
        <v>25</v>
      </c>
      <c r="H364" t="s">
        <v>48</v>
      </c>
      <c r="I364" t="s">
        <v>34</v>
      </c>
      <c r="J364" t="s">
        <v>40</v>
      </c>
      <c r="K364" t="s">
        <v>29</v>
      </c>
      <c r="L364" t="s">
        <v>56</v>
      </c>
      <c r="M364" t="s">
        <v>31</v>
      </c>
      <c r="N364" t="s">
        <v>32</v>
      </c>
      <c r="O364">
        <v>2610</v>
      </c>
      <c r="P364">
        <v>1</v>
      </c>
      <c r="Q364" t="s">
        <v>36</v>
      </c>
      <c r="R364">
        <v>24</v>
      </c>
      <c r="S364" t="s">
        <v>43</v>
      </c>
      <c r="T364" t="s">
        <v>29</v>
      </c>
      <c r="U364">
        <v>3</v>
      </c>
      <c r="V364" t="s">
        <v>49</v>
      </c>
      <c r="W364" t="str">
        <f>IF(HR_Data[[#This Row],[age]]&lt;25,"Under 25",IF(HR_Data[[#This Row],[age]]&lt;35,"25-34",IF(HR_Data[[#This Row],[age]]&lt;45,"35-44",IF(HR_Data[[#This Row],[age]]&lt;55,"45-54","55+"))))</f>
        <v>Under 25</v>
      </c>
      <c r="X364" t="str">
        <f t="shared" si="5"/>
        <v>Below 3,000</v>
      </c>
    </row>
    <row r="365" spans="1:24" x14ac:dyDescent="0.3">
      <c r="A365">
        <v>485</v>
      </c>
      <c r="B365">
        <v>33</v>
      </c>
      <c r="C365" t="s">
        <v>22</v>
      </c>
      <c r="D365" t="s">
        <v>23</v>
      </c>
      <c r="E365" t="s">
        <v>24</v>
      </c>
      <c r="F365">
        <v>5</v>
      </c>
      <c r="G365" t="s">
        <v>50</v>
      </c>
      <c r="H365" t="s">
        <v>58</v>
      </c>
      <c r="I365" t="s">
        <v>31</v>
      </c>
      <c r="J365" t="s">
        <v>28</v>
      </c>
      <c r="K365" t="s">
        <v>29</v>
      </c>
      <c r="L365" t="s">
        <v>56</v>
      </c>
      <c r="M365" t="s">
        <v>29</v>
      </c>
      <c r="N365" t="s">
        <v>32</v>
      </c>
      <c r="O365">
        <v>2851</v>
      </c>
      <c r="P365">
        <v>1</v>
      </c>
      <c r="Q365" t="s">
        <v>22</v>
      </c>
      <c r="R365">
        <v>13</v>
      </c>
      <c r="S365" t="s">
        <v>33</v>
      </c>
      <c r="T365" t="s">
        <v>27</v>
      </c>
      <c r="U365">
        <v>2</v>
      </c>
      <c r="V365" t="s">
        <v>44</v>
      </c>
      <c r="W365" t="str">
        <f>IF(HR_Data[[#This Row],[age]]&lt;25,"Under 25",IF(HR_Data[[#This Row],[age]]&lt;35,"25-34",IF(HR_Data[[#This Row],[age]]&lt;45,"35-44",IF(HR_Data[[#This Row],[age]]&lt;55,"45-54","55+"))))</f>
        <v>25-34</v>
      </c>
      <c r="X365" t="str">
        <f t="shared" si="5"/>
        <v>Below 3,000</v>
      </c>
    </row>
    <row r="366" spans="1:24" x14ac:dyDescent="0.3">
      <c r="A366">
        <v>486</v>
      </c>
      <c r="B366">
        <v>37</v>
      </c>
      <c r="C366" t="s">
        <v>36</v>
      </c>
      <c r="D366" t="s">
        <v>23</v>
      </c>
      <c r="E366" t="s">
        <v>38</v>
      </c>
      <c r="F366">
        <v>10</v>
      </c>
      <c r="G366" t="s">
        <v>50</v>
      </c>
      <c r="H366" t="s">
        <v>48</v>
      </c>
      <c r="I366" t="s">
        <v>29</v>
      </c>
      <c r="J366" t="s">
        <v>28</v>
      </c>
      <c r="K366" t="s">
        <v>29</v>
      </c>
      <c r="L366" t="s">
        <v>46</v>
      </c>
      <c r="M366" t="s">
        <v>34</v>
      </c>
      <c r="N366" t="s">
        <v>42</v>
      </c>
      <c r="O366">
        <v>3452</v>
      </c>
      <c r="P366">
        <v>6</v>
      </c>
      <c r="Q366" t="s">
        <v>36</v>
      </c>
      <c r="R366">
        <v>20</v>
      </c>
      <c r="S366" t="s">
        <v>43</v>
      </c>
      <c r="T366" t="s">
        <v>27</v>
      </c>
      <c r="U366">
        <v>3</v>
      </c>
      <c r="V366" t="s">
        <v>44</v>
      </c>
      <c r="W366" t="str">
        <f>IF(HR_Data[[#This Row],[age]]&lt;25,"Under 25",IF(HR_Data[[#This Row],[age]]&lt;35,"25-34",IF(HR_Data[[#This Row],[age]]&lt;45,"35-44",IF(HR_Data[[#This Row],[age]]&lt;55,"45-54","55+"))))</f>
        <v>35-44</v>
      </c>
      <c r="X366" t="str">
        <f t="shared" si="5"/>
        <v>3,000-4,999</v>
      </c>
    </row>
    <row r="367" spans="1:24" x14ac:dyDescent="0.3">
      <c r="A367">
        <v>487</v>
      </c>
      <c r="B367">
        <v>46</v>
      </c>
      <c r="C367" t="s">
        <v>36</v>
      </c>
      <c r="D367" t="s">
        <v>54</v>
      </c>
      <c r="E367" t="s">
        <v>38</v>
      </c>
      <c r="F367">
        <v>7</v>
      </c>
      <c r="G367" t="s">
        <v>47</v>
      </c>
      <c r="H367" t="s">
        <v>48</v>
      </c>
      <c r="I367" t="s">
        <v>29</v>
      </c>
      <c r="J367" t="s">
        <v>28</v>
      </c>
      <c r="K367" t="s">
        <v>29</v>
      </c>
      <c r="L367" t="s">
        <v>52</v>
      </c>
      <c r="M367" t="s">
        <v>29</v>
      </c>
      <c r="N367" t="s">
        <v>42</v>
      </c>
      <c r="O367">
        <v>5258</v>
      </c>
      <c r="P367">
        <v>2</v>
      </c>
      <c r="Q367" t="s">
        <v>36</v>
      </c>
      <c r="R367">
        <v>14</v>
      </c>
      <c r="S367" t="s">
        <v>33</v>
      </c>
      <c r="T367" t="s">
        <v>29</v>
      </c>
      <c r="U367">
        <v>2</v>
      </c>
      <c r="V367" t="s">
        <v>59</v>
      </c>
      <c r="W367" t="str">
        <f>IF(HR_Data[[#This Row],[age]]&lt;25,"Under 25",IF(HR_Data[[#This Row],[age]]&lt;35,"25-34",IF(HR_Data[[#This Row],[age]]&lt;45,"35-44",IF(HR_Data[[#This Row],[age]]&lt;55,"45-54","55+"))))</f>
        <v>45-54</v>
      </c>
      <c r="X367" t="str">
        <f t="shared" si="5"/>
        <v>5,000-7,999</v>
      </c>
    </row>
    <row r="368" spans="1:24" x14ac:dyDescent="0.3">
      <c r="A368">
        <v>488</v>
      </c>
      <c r="B368">
        <v>41</v>
      </c>
      <c r="C368" t="s">
        <v>22</v>
      </c>
      <c r="D368" t="s">
        <v>37</v>
      </c>
      <c r="E368" t="s">
        <v>24</v>
      </c>
      <c r="F368">
        <v>4</v>
      </c>
      <c r="G368" t="s">
        <v>50</v>
      </c>
      <c r="H368" t="s">
        <v>58</v>
      </c>
      <c r="I368" t="s">
        <v>34</v>
      </c>
      <c r="J368" t="s">
        <v>40</v>
      </c>
      <c r="K368" t="s">
        <v>29</v>
      </c>
      <c r="L368" t="s">
        <v>30</v>
      </c>
      <c r="M368" t="s">
        <v>27</v>
      </c>
      <c r="N368" t="s">
        <v>32</v>
      </c>
      <c r="O368">
        <v>9355</v>
      </c>
      <c r="P368">
        <v>1</v>
      </c>
      <c r="Q368" t="s">
        <v>36</v>
      </c>
      <c r="R368">
        <v>18</v>
      </c>
      <c r="S368" t="s">
        <v>33</v>
      </c>
      <c r="T368" t="s">
        <v>29</v>
      </c>
      <c r="U368">
        <v>5</v>
      </c>
      <c r="V368" t="s">
        <v>44</v>
      </c>
      <c r="W368" t="str">
        <f>IF(HR_Data[[#This Row],[age]]&lt;25,"Under 25",IF(HR_Data[[#This Row],[age]]&lt;35,"25-34",IF(HR_Data[[#This Row],[age]]&lt;45,"35-44",IF(HR_Data[[#This Row],[age]]&lt;55,"45-54","55+"))))</f>
        <v>35-44</v>
      </c>
      <c r="X368" t="str">
        <f t="shared" si="5"/>
        <v>8,000+</v>
      </c>
    </row>
    <row r="369" spans="1:24" x14ac:dyDescent="0.3">
      <c r="A369">
        <v>491</v>
      </c>
      <c r="B369">
        <v>50</v>
      </c>
      <c r="C369" t="s">
        <v>36</v>
      </c>
      <c r="D369" t="s">
        <v>23</v>
      </c>
      <c r="E369" t="s">
        <v>38</v>
      </c>
      <c r="F369">
        <v>10</v>
      </c>
      <c r="G369" t="s">
        <v>50</v>
      </c>
      <c r="H369" t="s">
        <v>60</v>
      </c>
      <c r="I369" t="s">
        <v>31</v>
      </c>
      <c r="J369" t="s">
        <v>40</v>
      </c>
      <c r="K369" t="s">
        <v>27</v>
      </c>
      <c r="L369" t="s">
        <v>53</v>
      </c>
      <c r="M369" t="s">
        <v>31</v>
      </c>
      <c r="N369" t="s">
        <v>32</v>
      </c>
      <c r="O369">
        <v>10496</v>
      </c>
      <c r="P369">
        <v>6</v>
      </c>
      <c r="Q369" t="s">
        <v>36</v>
      </c>
      <c r="R369">
        <v>15</v>
      </c>
      <c r="S369" t="s">
        <v>33</v>
      </c>
      <c r="T369" t="s">
        <v>31</v>
      </c>
      <c r="U369">
        <v>2</v>
      </c>
      <c r="V369" t="s">
        <v>44</v>
      </c>
      <c r="W369" t="str">
        <f>IF(HR_Data[[#This Row],[age]]&lt;25,"Under 25",IF(HR_Data[[#This Row],[age]]&lt;35,"25-34",IF(HR_Data[[#This Row],[age]]&lt;45,"35-44",IF(HR_Data[[#This Row],[age]]&lt;55,"45-54","55+"))))</f>
        <v>45-54</v>
      </c>
      <c r="X369" t="str">
        <f t="shared" si="5"/>
        <v>8,000+</v>
      </c>
    </row>
    <row r="370" spans="1:24" x14ac:dyDescent="0.3">
      <c r="A370">
        <v>492</v>
      </c>
      <c r="B370">
        <v>40</v>
      </c>
      <c r="C370" t="s">
        <v>22</v>
      </c>
      <c r="D370" t="s">
        <v>23</v>
      </c>
      <c r="E370" t="s">
        <v>24</v>
      </c>
      <c r="F370">
        <v>22</v>
      </c>
      <c r="G370" t="s">
        <v>25</v>
      </c>
      <c r="H370" t="s">
        <v>58</v>
      </c>
      <c r="I370" t="s">
        <v>29</v>
      </c>
      <c r="J370" t="s">
        <v>40</v>
      </c>
      <c r="K370" t="s">
        <v>27</v>
      </c>
      <c r="L370" t="s">
        <v>30</v>
      </c>
      <c r="M370" t="s">
        <v>29</v>
      </c>
      <c r="N370" t="s">
        <v>42</v>
      </c>
      <c r="O370">
        <v>6380</v>
      </c>
      <c r="P370">
        <v>2</v>
      </c>
      <c r="Q370" t="s">
        <v>22</v>
      </c>
      <c r="R370">
        <v>12</v>
      </c>
      <c r="S370" t="s">
        <v>33</v>
      </c>
      <c r="T370" t="s">
        <v>34</v>
      </c>
      <c r="U370">
        <v>6</v>
      </c>
      <c r="V370" t="s">
        <v>44</v>
      </c>
      <c r="W370" t="str">
        <f>IF(HR_Data[[#This Row],[age]]&lt;25,"Under 25",IF(HR_Data[[#This Row],[age]]&lt;35,"25-34",IF(HR_Data[[#This Row],[age]]&lt;45,"35-44",IF(HR_Data[[#This Row],[age]]&lt;55,"45-54","55+"))))</f>
        <v>35-44</v>
      </c>
      <c r="X370" t="str">
        <f t="shared" si="5"/>
        <v>5,000-7,999</v>
      </c>
    </row>
    <row r="371" spans="1:24" x14ac:dyDescent="0.3">
      <c r="A371">
        <v>493</v>
      </c>
      <c r="B371">
        <v>31</v>
      </c>
      <c r="C371" t="s">
        <v>36</v>
      </c>
      <c r="D371" t="s">
        <v>23</v>
      </c>
      <c r="E371" t="s">
        <v>38</v>
      </c>
      <c r="F371">
        <v>9</v>
      </c>
      <c r="G371" t="s">
        <v>47</v>
      </c>
      <c r="H371" t="s">
        <v>26</v>
      </c>
      <c r="I371" t="s">
        <v>29</v>
      </c>
      <c r="J371" t="s">
        <v>40</v>
      </c>
      <c r="K371" t="s">
        <v>27</v>
      </c>
      <c r="L371" t="s">
        <v>41</v>
      </c>
      <c r="M371" t="s">
        <v>27</v>
      </c>
      <c r="N371" t="s">
        <v>32</v>
      </c>
      <c r="O371">
        <v>2657</v>
      </c>
      <c r="P371">
        <v>0</v>
      </c>
      <c r="Q371" t="s">
        <v>22</v>
      </c>
      <c r="R371">
        <v>16</v>
      </c>
      <c r="S371" t="s">
        <v>33</v>
      </c>
      <c r="T371" t="s">
        <v>31</v>
      </c>
      <c r="U371">
        <v>5</v>
      </c>
      <c r="V371" t="s">
        <v>44</v>
      </c>
      <c r="W371" t="str">
        <f>IF(HR_Data[[#This Row],[age]]&lt;25,"Under 25",IF(HR_Data[[#This Row],[age]]&lt;35,"25-34",IF(HR_Data[[#This Row],[age]]&lt;45,"35-44",IF(HR_Data[[#This Row],[age]]&lt;55,"45-54","55+"))))</f>
        <v>25-34</v>
      </c>
      <c r="X371" t="str">
        <f t="shared" si="5"/>
        <v>Below 3,000</v>
      </c>
    </row>
    <row r="372" spans="1:24" x14ac:dyDescent="0.3">
      <c r="A372">
        <v>494</v>
      </c>
      <c r="B372">
        <v>21</v>
      </c>
      <c r="C372" t="s">
        <v>22</v>
      </c>
      <c r="D372" t="s">
        <v>23</v>
      </c>
      <c r="E372" t="s">
        <v>24</v>
      </c>
      <c r="F372">
        <v>12</v>
      </c>
      <c r="G372" t="s">
        <v>50</v>
      </c>
      <c r="H372" t="s">
        <v>26</v>
      </c>
      <c r="I372" t="s">
        <v>29</v>
      </c>
      <c r="J372" t="s">
        <v>28</v>
      </c>
      <c r="K372" t="s">
        <v>31</v>
      </c>
      <c r="L372" t="s">
        <v>56</v>
      </c>
      <c r="M372" t="s">
        <v>27</v>
      </c>
      <c r="N372" t="s">
        <v>32</v>
      </c>
      <c r="O372">
        <v>2716</v>
      </c>
      <c r="P372">
        <v>1</v>
      </c>
      <c r="Q372" t="s">
        <v>36</v>
      </c>
      <c r="R372">
        <v>15</v>
      </c>
      <c r="S372" t="s">
        <v>33</v>
      </c>
      <c r="T372" t="s">
        <v>31</v>
      </c>
      <c r="U372">
        <v>0</v>
      </c>
      <c r="V372" t="s">
        <v>44</v>
      </c>
      <c r="W372" t="str">
        <f>IF(HR_Data[[#This Row],[age]]&lt;25,"Under 25",IF(HR_Data[[#This Row],[age]]&lt;35,"25-34",IF(HR_Data[[#This Row],[age]]&lt;45,"35-44",IF(HR_Data[[#This Row],[age]]&lt;55,"45-54","55+"))))</f>
        <v>Under 25</v>
      </c>
      <c r="X372" t="str">
        <f t="shared" si="5"/>
        <v>Below 3,000</v>
      </c>
    </row>
    <row r="373" spans="1:24" x14ac:dyDescent="0.3">
      <c r="A373">
        <v>495</v>
      </c>
      <c r="B373">
        <v>29</v>
      </c>
      <c r="C373" t="s">
        <v>36</v>
      </c>
      <c r="D373" t="s">
        <v>23</v>
      </c>
      <c r="E373" t="s">
        <v>38</v>
      </c>
      <c r="F373">
        <v>23</v>
      </c>
      <c r="G373" t="s">
        <v>50</v>
      </c>
      <c r="H373" t="s">
        <v>26</v>
      </c>
      <c r="I373" t="s">
        <v>31</v>
      </c>
      <c r="J373" t="s">
        <v>40</v>
      </c>
      <c r="K373" t="s">
        <v>29</v>
      </c>
      <c r="L373" t="s">
        <v>41</v>
      </c>
      <c r="M373" t="s">
        <v>31</v>
      </c>
      <c r="N373" t="s">
        <v>32</v>
      </c>
      <c r="O373">
        <v>2201</v>
      </c>
      <c r="P373">
        <v>9</v>
      </c>
      <c r="Q373" t="s">
        <v>36</v>
      </c>
      <c r="R373">
        <v>16</v>
      </c>
      <c r="S373" t="s">
        <v>33</v>
      </c>
      <c r="T373" t="s">
        <v>31</v>
      </c>
      <c r="U373">
        <v>4</v>
      </c>
      <c r="V373" t="s">
        <v>44</v>
      </c>
      <c r="W373" t="str">
        <f>IF(HR_Data[[#This Row],[age]]&lt;25,"Under 25",IF(HR_Data[[#This Row],[age]]&lt;35,"25-34",IF(HR_Data[[#This Row],[age]]&lt;45,"35-44",IF(HR_Data[[#This Row],[age]]&lt;55,"45-54","55+"))))</f>
        <v>25-34</v>
      </c>
      <c r="X373" t="str">
        <f t="shared" si="5"/>
        <v>Below 3,000</v>
      </c>
    </row>
    <row r="374" spans="1:24" x14ac:dyDescent="0.3">
      <c r="A374">
        <v>496</v>
      </c>
      <c r="B374">
        <v>35</v>
      </c>
      <c r="C374" t="s">
        <v>36</v>
      </c>
      <c r="D374" t="s">
        <v>23</v>
      </c>
      <c r="E374" t="s">
        <v>38</v>
      </c>
      <c r="F374">
        <v>9</v>
      </c>
      <c r="G374" t="s">
        <v>47</v>
      </c>
      <c r="H374" t="s">
        <v>26</v>
      </c>
      <c r="I374" t="s">
        <v>29</v>
      </c>
      <c r="J374" t="s">
        <v>40</v>
      </c>
      <c r="K374" t="s">
        <v>27</v>
      </c>
      <c r="L374" t="s">
        <v>53</v>
      </c>
      <c r="M374" t="s">
        <v>27</v>
      </c>
      <c r="N374" t="s">
        <v>32</v>
      </c>
      <c r="O374">
        <v>6540</v>
      </c>
      <c r="P374">
        <v>9</v>
      </c>
      <c r="Q374" t="s">
        <v>36</v>
      </c>
      <c r="R374">
        <v>19</v>
      </c>
      <c r="S374" t="s">
        <v>33</v>
      </c>
      <c r="T374" t="s">
        <v>29</v>
      </c>
      <c r="U374">
        <v>5</v>
      </c>
      <c r="V374" t="s">
        <v>44</v>
      </c>
      <c r="W374" t="str">
        <f>IF(HR_Data[[#This Row],[age]]&lt;25,"Under 25",IF(HR_Data[[#This Row],[age]]&lt;35,"25-34",IF(HR_Data[[#This Row],[age]]&lt;45,"35-44",IF(HR_Data[[#This Row],[age]]&lt;55,"45-54","55+"))))</f>
        <v>35-44</v>
      </c>
      <c r="X374" t="str">
        <f t="shared" si="5"/>
        <v>5,000-7,999</v>
      </c>
    </row>
    <row r="375" spans="1:24" x14ac:dyDescent="0.3">
      <c r="A375">
        <v>497</v>
      </c>
      <c r="B375">
        <v>27</v>
      </c>
      <c r="C375" t="s">
        <v>36</v>
      </c>
      <c r="D375" t="s">
        <v>23</v>
      </c>
      <c r="E375" t="s">
        <v>38</v>
      </c>
      <c r="F375">
        <v>1</v>
      </c>
      <c r="G375" t="s">
        <v>25</v>
      </c>
      <c r="H375" t="s">
        <v>48</v>
      </c>
      <c r="I375" t="s">
        <v>31</v>
      </c>
      <c r="J375" t="s">
        <v>40</v>
      </c>
      <c r="K375" t="s">
        <v>29</v>
      </c>
      <c r="L375" t="s">
        <v>46</v>
      </c>
      <c r="M375" t="s">
        <v>27</v>
      </c>
      <c r="N375" t="s">
        <v>51</v>
      </c>
      <c r="O375">
        <v>3816</v>
      </c>
      <c r="P375">
        <v>1</v>
      </c>
      <c r="Q375" t="s">
        <v>36</v>
      </c>
      <c r="R375">
        <v>11</v>
      </c>
      <c r="S375" t="s">
        <v>33</v>
      </c>
      <c r="T375" t="s">
        <v>27</v>
      </c>
      <c r="U375">
        <v>2</v>
      </c>
      <c r="V375" t="s">
        <v>44</v>
      </c>
      <c r="W375" t="str">
        <f>IF(HR_Data[[#This Row],[age]]&lt;25,"Under 25",IF(HR_Data[[#This Row],[age]]&lt;35,"25-34",IF(HR_Data[[#This Row],[age]]&lt;45,"35-44",IF(HR_Data[[#This Row],[age]]&lt;55,"45-54","55+"))))</f>
        <v>25-34</v>
      </c>
      <c r="X375" t="str">
        <f t="shared" si="5"/>
        <v>3,000-4,999</v>
      </c>
    </row>
    <row r="376" spans="1:24" x14ac:dyDescent="0.3">
      <c r="A376">
        <v>498</v>
      </c>
      <c r="B376">
        <v>28</v>
      </c>
      <c r="C376" t="s">
        <v>36</v>
      </c>
      <c r="D376" t="s">
        <v>23</v>
      </c>
      <c r="E376" t="s">
        <v>24</v>
      </c>
      <c r="F376">
        <v>9</v>
      </c>
      <c r="G376" t="s">
        <v>47</v>
      </c>
      <c r="H376" t="s">
        <v>26</v>
      </c>
      <c r="I376" t="s">
        <v>27</v>
      </c>
      <c r="J376" t="s">
        <v>40</v>
      </c>
      <c r="K376" t="s">
        <v>29</v>
      </c>
      <c r="L376" t="s">
        <v>30</v>
      </c>
      <c r="M376" t="s">
        <v>31</v>
      </c>
      <c r="N376" t="s">
        <v>32</v>
      </c>
      <c r="O376">
        <v>5253</v>
      </c>
      <c r="P376">
        <v>1</v>
      </c>
      <c r="Q376" t="s">
        <v>36</v>
      </c>
      <c r="R376">
        <v>16</v>
      </c>
      <c r="S376" t="s">
        <v>33</v>
      </c>
      <c r="T376" t="s">
        <v>31</v>
      </c>
      <c r="U376">
        <v>1</v>
      </c>
      <c r="V376" t="s">
        <v>44</v>
      </c>
      <c r="W376" t="str">
        <f>IF(HR_Data[[#This Row],[age]]&lt;25,"Under 25",IF(HR_Data[[#This Row],[age]]&lt;35,"25-34",IF(HR_Data[[#This Row],[age]]&lt;45,"35-44",IF(HR_Data[[#This Row],[age]]&lt;55,"45-54","55+"))))</f>
        <v>25-34</v>
      </c>
      <c r="X376" t="str">
        <f t="shared" si="5"/>
        <v>5,000-7,999</v>
      </c>
    </row>
    <row r="377" spans="1:24" x14ac:dyDescent="0.3">
      <c r="A377">
        <v>499</v>
      </c>
      <c r="B377">
        <v>49</v>
      </c>
      <c r="C377" t="s">
        <v>36</v>
      </c>
      <c r="D377" t="s">
        <v>23</v>
      </c>
      <c r="E377" t="s">
        <v>38</v>
      </c>
      <c r="F377">
        <v>7</v>
      </c>
      <c r="G377" t="s">
        <v>50</v>
      </c>
      <c r="H377" t="s">
        <v>45</v>
      </c>
      <c r="I377" t="s">
        <v>27</v>
      </c>
      <c r="J377" t="s">
        <v>40</v>
      </c>
      <c r="K377" t="s">
        <v>27</v>
      </c>
      <c r="L377" t="s">
        <v>53</v>
      </c>
      <c r="M377" t="s">
        <v>29</v>
      </c>
      <c r="N377" t="s">
        <v>32</v>
      </c>
      <c r="O377">
        <v>10965</v>
      </c>
      <c r="P377">
        <v>8</v>
      </c>
      <c r="Q377" t="s">
        <v>36</v>
      </c>
      <c r="R377">
        <v>24</v>
      </c>
      <c r="S377" t="s">
        <v>43</v>
      </c>
      <c r="T377" t="s">
        <v>29</v>
      </c>
      <c r="U377">
        <v>2</v>
      </c>
      <c r="V377" t="s">
        <v>44</v>
      </c>
      <c r="W377" t="str">
        <f>IF(HR_Data[[#This Row],[age]]&lt;25,"Under 25",IF(HR_Data[[#This Row],[age]]&lt;35,"25-34",IF(HR_Data[[#This Row],[age]]&lt;45,"35-44",IF(HR_Data[[#This Row],[age]]&lt;55,"45-54","55+"))))</f>
        <v>45-54</v>
      </c>
      <c r="X377" t="str">
        <f t="shared" si="5"/>
        <v>8,000+</v>
      </c>
    </row>
    <row r="378" spans="1:24" x14ac:dyDescent="0.3">
      <c r="A378">
        <v>500</v>
      </c>
      <c r="B378">
        <v>51</v>
      </c>
      <c r="C378" t="s">
        <v>36</v>
      </c>
      <c r="D378" t="s">
        <v>23</v>
      </c>
      <c r="E378" t="s">
        <v>24</v>
      </c>
      <c r="F378">
        <v>14</v>
      </c>
      <c r="G378" t="s">
        <v>25</v>
      </c>
      <c r="H378" t="s">
        <v>26</v>
      </c>
      <c r="I378" t="s">
        <v>29</v>
      </c>
      <c r="J378" t="s">
        <v>28</v>
      </c>
      <c r="K378" t="s">
        <v>29</v>
      </c>
      <c r="L378" t="s">
        <v>30</v>
      </c>
      <c r="M378" t="s">
        <v>31</v>
      </c>
      <c r="N378" t="s">
        <v>42</v>
      </c>
      <c r="O378">
        <v>4936</v>
      </c>
      <c r="P378">
        <v>4</v>
      </c>
      <c r="Q378" t="s">
        <v>36</v>
      </c>
      <c r="R378">
        <v>11</v>
      </c>
      <c r="S378" t="s">
        <v>33</v>
      </c>
      <c r="T378" t="s">
        <v>29</v>
      </c>
      <c r="U378">
        <v>2</v>
      </c>
      <c r="V378" t="s">
        <v>49</v>
      </c>
      <c r="W378" t="str">
        <f>IF(HR_Data[[#This Row],[age]]&lt;25,"Under 25",IF(HR_Data[[#This Row],[age]]&lt;35,"25-34",IF(HR_Data[[#This Row],[age]]&lt;45,"35-44",IF(HR_Data[[#This Row],[age]]&lt;55,"45-54","55+"))))</f>
        <v>45-54</v>
      </c>
      <c r="X378" t="str">
        <f t="shared" si="5"/>
        <v>3,000-4,999</v>
      </c>
    </row>
    <row r="379" spans="1:24" x14ac:dyDescent="0.3">
      <c r="A379">
        <v>501</v>
      </c>
      <c r="B379">
        <v>36</v>
      </c>
      <c r="C379" t="s">
        <v>36</v>
      </c>
      <c r="D379" t="s">
        <v>23</v>
      </c>
      <c r="E379" t="s">
        <v>38</v>
      </c>
      <c r="F379">
        <v>2</v>
      </c>
      <c r="G379" t="s">
        <v>50</v>
      </c>
      <c r="H379" t="s">
        <v>26</v>
      </c>
      <c r="I379" t="s">
        <v>31</v>
      </c>
      <c r="J379" t="s">
        <v>28</v>
      </c>
      <c r="K379" t="s">
        <v>29</v>
      </c>
      <c r="L379" t="s">
        <v>41</v>
      </c>
      <c r="M379" t="s">
        <v>29</v>
      </c>
      <c r="N379" t="s">
        <v>42</v>
      </c>
      <c r="O379">
        <v>2543</v>
      </c>
      <c r="P379">
        <v>4</v>
      </c>
      <c r="Q379" t="s">
        <v>36</v>
      </c>
      <c r="R379">
        <v>13</v>
      </c>
      <c r="S379" t="s">
        <v>33</v>
      </c>
      <c r="T379" t="s">
        <v>27</v>
      </c>
      <c r="U379">
        <v>3</v>
      </c>
      <c r="V379" t="s">
        <v>44</v>
      </c>
      <c r="W379" t="str">
        <f>IF(HR_Data[[#This Row],[age]]&lt;25,"Under 25",IF(HR_Data[[#This Row],[age]]&lt;35,"25-34",IF(HR_Data[[#This Row],[age]]&lt;45,"35-44",IF(HR_Data[[#This Row],[age]]&lt;55,"45-54","55+"))))</f>
        <v>35-44</v>
      </c>
      <c r="X379" t="str">
        <f t="shared" si="5"/>
        <v>Below 3,000</v>
      </c>
    </row>
    <row r="380" spans="1:24" x14ac:dyDescent="0.3">
      <c r="A380">
        <v>502</v>
      </c>
      <c r="B380">
        <v>34</v>
      </c>
      <c r="C380" t="s">
        <v>22</v>
      </c>
      <c r="D380" t="s">
        <v>54</v>
      </c>
      <c r="E380" t="s">
        <v>24</v>
      </c>
      <c r="F380">
        <v>19</v>
      </c>
      <c r="G380" t="s">
        <v>50</v>
      </c>
      <c r="H380" t="s">
        <v>58</v>
      </c>
      <c r="I380" t="s">
        <v>34</v>
      </c>
      <c r="J380" t="s">
        <v>40</v>
      </c>
      <c r="K380" t="s">
        <v>31</v>
      </c>
      <c r="L380" t="s">
        <v>30</v>
      </c>
      <c r="M380" t="s">
        <v>31</v>
      </c>
      <c r="N380" t="s">
        <v>32</v>
      </c>
      <c r="O380">
        <v>5304</v>
      </c>
      <c r="P380">
        <v>8</v>
      </c>
      <c r="Q380" t="s">
        <v>22</v>
      </c>
      <c r="R380">
        <v>13</v>
      </c>
      <c r="S380" t="s">
        <v>33</v>
      </c>
      <c r="T380" t="s">
        <v>27</v>
      </c>
      <c r="U380">
        <v>3</v>
      </c>
      <c r="V380" t="s">
        <v>49</v>
      </c>
      <c r="W380" t="str">
        <f>IF(HR_Data[[#This Row],[age]]&lt;25,"Under 25",IF(HR_Data[[#This Row],[age]]&lt;35,"25-34",IF(HR_Data[[#This Row],[age]]&lt;45,"35-44",IF(HR_Data[[#This Row],[age]]&lt;55,"45-54","55+"))))</f>
        <v>25-34</v>
      </c>
      <c r="X380" t="str">
        <f t="shared" si="5"/>
        <v>5,000-7,999</v>
      </c>
    </row>
    <row r="381" spans="1:24" x14ac:dyDescent="0.3">
      <c r="A381">
        <v>505</v>
      </c>
      <c r="B381">
        <v>55</v>
      </c>
      <c r="C381" t="s">
        <v>36</v>
      </c>
      <c r="D381" t="s">
        <v>23</v>
      </c>
      <c r="E381" t="s">
        <v>38</v>
      </c>
      <c r="F381">
        <v>2</v>
      </c>
      <c r="G381" t="s">
        <v>50</v>
      </c>
      <c r="H381" t="s">
        <v>26</v>
      </c>
      <c r="I381" t="s">
        <v>29</v>
      </c>
      <c r="J381" t="s">
        <v>28</v>
      </c>
      <c r="K381" t="s">
        <v>29</v>
      </c>
      <c r="L381" t="s">
        <v>55</v>
      </c>
      <c r="M381" t="s">
        <v>31</v>
      </c>
      <c r="N381" t="s">
        <v>32</v>
      </c>
      <c r="O381">
        <v>16659</v>
      </c>
      <c r="P381">
        <v>2</v>
      </c>
      <c r="Q381" t="s">
        <v>22</v>
      </c>
      <c r="R381">
        <v>13</v>
      </c>
      <c r="S381" t="s">
        <v>33</v>
      </c>
      <c r="T381" t="s">
        <v>29</v>
      </c>
      <c r="U381">
        <v>2</v>
      </c>
      <c r="V381" t="s">
        <v>44</v>
      </c>
      <c r="W381" t="str">
        <f>IF(HR_Data[[#This Row],[age]]&lt;25,"Under 25",IF(HR_Data[[#This Row],[age]]&lt;35,"25-34",IF(HR_Data[[#This Row],[age]]&lt;45,"35-44",IF(HR_Data[[#This Row],[age]]&lt;55,"45-54","55+"))))</f>
        <v>55+</v>
      </c>
      <c r="X381" t="str">
        <f t="shared" si="5"/>
        <v>8,000+</v>
      </c>
    </row>
    <row r="382" spans="1:24" x14ac:dyDescent="0.3">
      <c r="A382">
        <v>507</v>
      </c>
      <c r="B382">
        <v>24</v>
      </c>
      <c r="C382" t="s">
        <v>36</v>
      </c>
      <c r="D382" t="s">
        <v>23</v>
      </c>
      <c r="E382" t="s">
        <v>24</v>
      </c>
      <c r="F382">
        <v>10</v>
      </c>
      <c r="G382" t="s">
        <v>47</v>
      </c>
      <c r="H382" t="s">
        <v>58</v>
      </c>
      <c r="I382" t="s">
        <v>31</v>
      </c>
      <c r="J382" t="s">
        <v>28</v>
      </c>
      <c r="K382" t="s">
        <v>29</v>
      </c>
      <c r="L382" t="s">
        <v>30</v>
      </c>
      <c r="M382" t="s">
        <v>29</v>
      </c>
      <c r="N382" t="s">
        <v>51</v>
      </c>
      <c r="O382">
        <v>4260</v>
      </c>
      <c r="P382">
        <v>1</v>
      </c>
      <c r="Q382" t="s">
        <v>22</v>
      </c>
      <c r="R382">
        <v>12</v>
      </c>
      <c r="S382" t="s">
        <v>33</v>
      </c>
      <c r="T382" t="s">
        <v>31</v>
      </c>
      <c r="U382">
        <v>2</v>
      </c>
      <c r="V382" t="s">
        <v>59</v>
      </c>
      <c r="W382" t="str">
        <f>IF(HR_Data[[#This Row],[age]]&lt;25,"Under 25",IF(HR_Data[[#This Row],[age]]&lt;35,"25-34",IF(HR_Data[[#This Row],[age]]&lt;45,"35-44",IF(HR_Data[[#This Row],[age]]&lt;55,"45-54","55+"))))</f>
        <v>Under 25</v>
      </c>
      <c r="X382" t="str">
        <f t="shared" si="5"/>
        <v>3,000-4,999</v>
      </c>
    </row>
    <row r="383" spans="1:24" x14ac:dyDescent="0.3">
      <c r="A383">
        <v>508</v>
      </c>
      <c r="B383">
        <v>30</v>
      </c>
      <c r="C383" t="s">
        <v>36</v>
      </c>
      <c r="D383" t="s">
        <v>23</v>
      </c>
      <c r="E383" t="s">
        <v>24</v>
      </c>
      <c r="F383">
        <v>2</v>
      </c>
      <c r="G383" t="s">
        <v>39</v>
      </c>
      <c r="H383" t="s">
        <v>60</v>
      </c>
      <c r="I383" t="s">
        <v>29</v>
      </c>
      <c r="J383" t="s">
        <v>40</v>
      </c>
      <c r="K383" t="s">
        <v>29</v>
      </c>
      <c r="L383" t="s">
        <v>56</v>
      </c>
      <c r="M383" t="s">
        <v>27</v>
      </c>
      <c r="N383" t="s">
        <v>42</v>
      </c>
      <c r="O383">
        <v>2476</v>
      </c>
      <c r="P383">
        <v>1</v>
      </c>
      <c r="Q383" t="s">
        <v>36</v>
      </c>
      <c r="R383">
        <v>18</v>
      </c>
      <c r="S383" t="s">
        <v>33</v>
      </c>
      <c r="T383" t="s">
        <v>34</v>
      </c>
      <c r="U383">
        <v>3</v>
      </c>
      <c r="V383" t="s">
        <v>44</v>
      </c>
      <c r="W383" t="str">
        <f>IF(HR_Data[[#This Row],[age]]&lt;25,"Under 25",IF(HR_Data[[#This Row],[age]]&lt;35,"25-34",IF(HR_Data[[#This Row],[age]]&lt;45,"35-44",IF(HR_Data[[#This Row],[age]]&lt;55,"45-54","55+"))))</f>
        <v>25-34</v>
      </c>
      <c r="X383" t="str">
        <f t="shared" si="5"/>
        <v>Below 3,000</v>
      </c>
    </row>
    <row r="384" spans="1:24" x14ac:dyDescent="0.3">
      <c r="A384">
        <v>510</v>
      </c>
      <c r="B384">
        <v>26</v>
      </c>
      <c r="C384" t="s">
        <v>22</v>
      </c>
      <c r="D384" t="s">
        <v>37</v>
      </c>
      <c r="E384" t="s">
        <v>38</v>
      </c>
      <c r="F384">
        <v>3</v>
      </c>
      <c r="G384" t="s">
        <v>39</v>
      </c>
      <c r="H384" t="s">
        <v>60</v>
      </c>
      <c r="I384" t="s">
        <v>29</v>
      </c>
      <c r="J384" t="s">
        <v>40</v>
      </c>
      <c r="K384" t="s">
        <v>29</v>
      </c>
      <c r="L384" t="s">
        <v>41</v>
      </c>
      <c r="M384" t="s">
        <v>34</v>
      </c>
      <c r="N384" t="s">
        <v>32</v>
      </c>
      <c r="O384">
        <v>3102</v>
      </c>
      <c r="P384">
        <v>0</v>
      </c>
      <c r="Q384" t="s">
        <v>36</v>
      </c>
      <c r="R384">
        <v>22</v>
      </c>
      <c r="S384" t="s">
        <v>43</v>
      </c>
      <c r="T384" t="s">
        <v>29</v>
      </c>
      <c r="U384">
        <v>2</v>
      </c>
      <c r="V384" t="s">
        <v>44</v>
      </c>
      <c r="W384" t="str">
        <f>IF(HR_Data[[#This Row],[age]]&lt;25,"Under 25",IF(HR_Data[[#This Row],[age]]&lt;35,"25-34",IF(HR_Data[[#This Row],[age]]&lt;45,"35-44",IF(HR_Data[[#This Row],[age]]&lt;55,"45-54","55+"))))</f>
        <v>25-34</v>
      </c>
      <c r="X384" t="str">
        <f t="shared" si="5"/>
        <v>3,000-4,999</v>
      </c>
    </row>
    <row r="385" spans="1:24" x14ac:dyDescent="0.3">
      <c r="A385">
        <v>511</v>
      </c>
      <c r="B385">
        <v>22</v>
      </c>
      <c r="C385" t="s">
        <v>36</v>
      </c>
      <c r="D385" t="s">
        <v>23</v>
      </c>
      <c r="E385" t="s">
        <v>38</v>
      </c>
      <c r="F385">
        <v>11</v>
      </c>
      <c r="G385" t="s">
        <v>50</v>
      </c>
      <c r="H385" t="s">
        <v>48</v>
      </c>
      <c r="I385" t="s">
        <v>34</v>
      </c>
      <c r="J385" t="s">
        <v>28</v>
      </c>
      <c r="K385" t="s">
        <v>29</v>
      </c>
      <c r="L385" t="s">
        <v>41</v>
      </c>
      <c r="M385" t="s">
        <v>27</v>
      </c>
      <c r="N385" t="s">
        <v>42</v>
      </c>
      <c r="O385">
        <v>2244</v>
      </c>
      <c r="P385">
        <v>1</v>
      </c>
      <c r="Q385" t="s">
        <v>36</v>
      </c>
      <c r="R385">
        <v>13</v>
      </c>
      <c r="S385" t="s">
        <v>33</v>
      </c>
      <c r="T385" t="s">
        <v>31</v>
      </c>
      <c r="U385">
        <v>1</v>
      </c>
      <c r="V385" t="s">
        <v>44</v>
      </c>
      <c r="W385" t="str">
        <f>IF(HR_Data[[#This Row],[age]]&lt;25,"Under 25",IF(HR_Data[[#This Row],[age]]&lt;35,"25-34",IF(HR_Data[[#This Row],[age]]&lt;45,"35-44",IF(HR_Data[[#This Row],[age]]&lt;55,"45-54","55+"))))</f>
        <v>Under 25</v>
      </c>
      <c r="X385" t="str">
        <f t="shared" si="5"/>
        <v>Below 3,000</v>
      </c>
    </row>
    <row r="386" spans="1:24" x14ac:dyDescent="0.3">
      <c r="A386">
        <v>513</v>
      </c>
      <c r="B386">
        <v>36</v>
      </c>
      <c r="C386" t="s">
        <v>36</v>
      </c>
      <c r="D386" t="s">
        <v>23</v>
      </c>
      <c r="E386" t="s">
        <v>24</v>
      </c>
      <c r="F386">
        <v>2</v>
      </c>
      <c r="G386" t="s">
        <v>25</v>
      </c>
      <c r="H386" t="s">
        <v>48</v>
      </c>
      <c r="I386" t="s">
        <v>27</v>
      </c>
      <c r="J386" t="s">
        <v>40</v>
      </c>
      <c r="K386" t="s">
        <v>27</v>
      </c>
      <c r="L386" t="s">
        <v>30</v>
      </c>
      <c r="M386" t="s">
        <v>29</v>
      </c>
      <c r="N386" t="s">
        <v>42</v>
      </c>
      <c r="O386">
        <v>7596</v>
      </c>
      <c r="P386">
        <v>1</v>
      </c>
      <c r="Q386" t="s">
        <v>36</v>
      </c>
      <c r="R386">
        <v>13</v>
      </c>
      <c r="S386" t="s">
        <v>33</v>
      </c>
      <c r="T386" t="s">
        <v>27</v>
      </c>
      <c r="U386">
        <v>2</v>
      </c>
      <c r="V386" t="s">
        <v>44</v>
      </c>
      <c r="W386" t="str">
        <f>IF(HR_Data[[#This Row],[age]]&lt;25,"Under 25",IF(HR_Data[[#This Row],[age]]&lt;35,"25-34",IF(HR_Data[[#This Row],[age]]&lt;45,"35-44",IF(HR_Data[[#This Row],[age]]&lt;55,"45-54","55+"))))</f>
        <v>35-44</v>
      </c>
      <c r="X386" t="str">
        <f t="shared" si="5"/>
        <v>5,000-7,999</v>
      </c>
    </row>
    <row r="387" spans="1:24" x14ac:dyDescent="0.3">
      <c r="A387">
        <v>514</v>
      </c>
      <c r="B387">
        <v>30</v>
      </c>
      <c r="C387" t="s">
        <v>22</v>
      </c>
      <c r="D387" t="s">
        <v>37</v>
      </c>
      <c r="E387" t="s">
        <v>38</v>
      </c>
      <c r="F387">
        <v>4</v>
      </c>
      <c r="G387" t="s">
        <v>50</v>
      </c>
      <c r="H387" t="s">
        <v>60</v>
      </c>
      <c r="I387" t="s">
        <v>29</v>
      </c>
      <c r="J387" t="s">
        <v>40</v>
      </c>
      <c r="K387" t="s">
        <v>29</v>
      </c>
      <c r="L387" t="s">
        <v>41</v>
      </c>
      <c r="M387" t="s">
        <v>31</v>
      </c>
      <c r="N387" t="s">
        <v>32</v>
      </c>
      <c r="O387">
        <v>2285</v>
      </c>
      <c r="P387">
        <v>9</v>
      </c>
      <c r="Q387" t="s">
        <v>22</v>
      </c>
      <c r="R387">
        <v>23</v>
      </c>
      <c r="S387" t="s">
        <v>43</v>
      </c>
      <c r="T387" t="s">
        <v>29</v>
      </c>
      <c r="U387">
        <v>4</v>
      </c>
      <c r="V387" t="s">
        <v>44</v>
      </c>
      <c r="W387" t="str">
        <f>IF(HR_Data[[#This Row],[age]]&lt;25,"Under 25",IF(HR_Data[[#This Row],[age]]&lt;35,"25-34",IF(HR_Data[[#This Row],[age]]&lt;45,"35-44",IF(HR_Data[[#This Row],[age]]&lt;55,"45-54","55+"))))</f>
        <v>25-34</v>
      </c>
      <c r="X387" t="str">
        <f t="shared" ref="X387:X450" si="6">IF(O387&lt;3000,"Below 3,000",IF(O387&lt;5000,"3,000-4,999",IF(O387&lt;8000,"5,000-7,999","8,000+")))</f>
        <v>Below 3,000</v>
      </c>
    </row>
    <row r="388" spans="1:24" x14ac:dyDescent="0.3">
      <c r="A388">
        <v>515</v>
      </c>
      <c r="B388">
        <v>37</v>
      </c>
      <c r="C388" t="s">
        <v>36</v>
      </c>
      <c r="D388" t="s">
        <v>23</v>
      </c>
      <c r="E388" t="s">
        <v>38</v>
      </c>
      <c r="F388">
        <v>14</v>
      </c>
      <c r="G388" t="s">
        <v>50</v>
      </c>
      <c r="H388" t="s">
        <v>26</v>
      </c>
      <c r="I388" t="s">
        <v>31</v>
      </c>
      <c r="J388" t="s">
        <v>28</v>
      </c>
      <c r="K388" t="s">
        <v>29</v>
      </c>
      <c r="L388" t="s">
        <v>46</v>
      </c>
      <c r="M388" t="s">
        <v>34</v>
      </c>
      <c r="N388" t="s">
        <v>51</v>
      </c>
      <c r="O388">
        <v>3034</v>
      </c>
      <c r="P388">
        <v>1</v>
      </c>
      <c r="Q388" t="s">
        <v>36</v>
      </c>
      <c r="R388">
        <v>12</v>
      </c>
      <c r="S388" t="s">
        <v>33</v>
      </c>
      <c r="T388" t="s">
        <v>29</v>
      </c>
      <c r="U388">
        <v>2</v>
      </c>
      <c r="V388" t="s">
        <v>49</v>
      </c>
      <c r="W388" t="str">
        <f>IF(HR_Data[[#This Row],[age]]&lt;25,"Under 25",IF(HR_Data[[#This Row],[age]]&lt;35,"25-34",IF(HR_Data[[#This Row],[age]]&lt;45,"35-44",IF(HR_Data[[#This Row],[age]]&lt;55,"45-54","55+"))))</f>
        <v>35-44</v>
      </c>
      <c r="X388" t="str">
        <f t="shared" si="6"/>
        <v>3,000-4,999</v>
      </c>
    </row>
    <row r="389" spans="1:24" x14ac:dyDescent="0.3">
      <c r="A389">
        <v>516</v>
      </c>
      <c r="B389">
        <v>40</v>
      </c>
      <c r="C389" t="s">
        <v>36</v>
      </c>
      <c r="D389" t="s">
        <v>23</v>
      </c>
      <c r="E389" t="s">
        <v>24</v>
      </c>
      <c r="F389">
        <v>2</v>
      </c>
      <c r="G389" t="s">
        <v>25</v>
      </c>
      <c r="H389" t="s">
        <v>58</v>
      </c>
      <c r="I389" t="s">
        <v>31</v>
      </c>
      <c r="J389" t="s">
        <v>28</v>
      </c>
      <c r="K389" t="s">
        <v>29</v>
      </c>
      <c r="L389" t="s">
        <v>30</v>
      </c>
      <c r="M389" t="s">
        <v>27</v>
      </c>
      <c r="N389" t="s">
        <v>51</v>
      </c>
      <c r="O389">
        <v>5715</v>
      </c>
      <c r="P389">
        <v>7</v>
      </c>
      <c r="Q389" t="s">
        <v>36</v>
      </c>
      <c r="R389">
        <v>12</v>
      </c>
      <c r="S389" t="s">
        <v>33</v>
      </c>
      <c r="T389" t="s">
        <v>29</v>
      </c>
      <c r="U389">
        <v>5</v>
      </c>
      <c r="V389" t="s">
        <v>44</v>
      </c>
      <c r="W389" t="str">
        <f>IF(HR_Data[[#This Row],[age]]&lt;25,"Under 25",IF(HR_Data[[#This Row],[age]]&lt;35,"25-34",IF(HR_Data[[#This Row],[age]]&lt;45,"35-44",IF(HR_Data[[#This Row],[age]]&lt;55,"45-54","55+"))))</f>
        <v>35-44</v>
      </c>
      <c r="X389" t="str">
        <f t="shared" si="6"/>
        <v>5,000-7,999</v>
      </c>
    </row>
    <row r="390" spans="1:24" x14ac:dyDescent="0.3">
      <c r="A390">
        <v>517</v>
      </c>
      <c r="B390">
        <v>42</v>
      </c>
      <c r="C390" t="s">
        <v>36</v>
      </c>
      <c r="D390" t="s">
        <v>23</v>
      </c>
      <c r="E390" t="s">
        <v>38</v>
      </c>
      <c r="F390">
        <v>1</v>
      </c>
      <c r="G390" t="s">
        <v>47</v>
      </c>
      <c r="H390" t="s">
        <v>26</v>
      </c>
      <c r="I390" t="s">
        <v>27</v>
      </c>
      <c r="J390" t="s">
        <v>28</v>
      </c>
      <c r="K390" t="s">
        <v>29</v>
      </c>
      <c r="L390" t="s">
        <v>46</v>
      </c>
      <c r="M390" t="s">
        <v>34</v>
      </c>
      <c r="N390" t="s">
        <v>51</v>
      </c>
      <c r="O390">
        <v>2576</v>
      </c>
      <c r="P390">
        <v>3</v>
      </c>
      <c r="Q390" t="s">
        <v>36</v>
      </c>
      <c r="R390">
        <v>16</v>
      </c>
      <c r="S390" t="s">
        <v>33</v>
      </c>
      <c r="T390" t="s">
        <v>27</v>
      </c>
      <c r="U390">
        <v>5</v>
      </c>
      <c r="V390" t="s">
        <v>44</v>
      </c>
      <c r="W390" t="str">
        <f>IF(HR_Data[[#This Row],[age]]&lt;25,"Under 25",IF(HR_Data[[#This Row],[age]]&lt;35,"25-34",IF(HR_Data[[#This Row],[age]]&lt;45,"35-44",IF(HR_Data[[#This Row],[age]]&lt;55,"45-54","55+"))))</f>
        <v>35-44</v>
      </c>
      <c r="X390" t="str">
        <f t="shared" si="6"/>
        <v>Below 3,000</v>
      </c>
    </row>
    <row r="391" spans="1:24" x14ac:dyDescent="0.3">
      <c r="A391">
        <v>518</v>
      </c>
      <c r="B391">
        <v>37</v>
      </c>
      <c r="C391" t="s">
        <v>36</v>
      </c>
      <c r="D391" t="s">
        <v>23</v>
      </c>
      <c r="E391" t="s">
        <v>38</v>
      </c>
      <c r="F391">
        <v>10</v>
      </c>
      <c r="G391" t="s">
        <v>47</v>
      </c>
      <c r="H391" t="s">
        <v>26</v>
      </c>
      <c r="I391" t="s">
        <v>29</v>
      </c>
      <c r="J391" t="s">
        <v>40</v>
      </c>
      <c r="K391" t="s">
        <v>29</v>
      </c>
      <c r="L391" t="s">
        <v>52</v>
      </c>
      <c r="M391" t="s">
        <v>27</v>
      </c>
      <c r="N391" t="s">
        <v>32</v>
      </c>
      <c r="O391">
        <v>4197</v>
      </c>
      <c r="P391">
        <v>2</v>
      </c>
      <c r="Q391" t="s">
        <v>22</v>
      </c>
      <c r="R391">
        <v>12</v>
      </c>
      <c r="S391" t="s">
        <v>33</v>
      </c>
      <c r="T391" t="s">
        <v>31</v>
      </c>
      <c r="U391">
        <v>2</v>
      </c>
      <c r="V391" t="s">
        <v>49</v>
      </c>
      <c r="W391" t="str">
        <f>IF(HR_Data[[#This Row],[age]]&lt;25,"Under 25",IF(HR_Data[[#This Row],[age]]&lt;35,"25-34",IF(HR_Data[[#This Row],[age]]&lt;45,"35-44",IF(HR_Data[[#This Row],[age]]&lt;55,"45-54","55+"))))</f>
        <v>35-44</v>
      </c>
      <c r="X391" t="str">
        <f t="shared" si="6"/>
        <v>3,000-4,999</v>
      </c>
    </row>
    <row r="392" spans="1:24" x14ac:dyDescent="0.3">
      <c r="A392">
        <v>520</v>
      </c>
      <c r="B392">
        <v>43</v>
      </c>
      <c r="C392" t="s">
        <v>36</v>
      </c>
      <c r="D392" t="s">
        <v>23</v>
      </c>
      <c r="E392" t="s">
        <v>38</v>
      </c>
      <c r="F392">
        <v>12</v>
      </c>
      <c r="G392" t="s">
        <v>50</v>
      </c>
      <c r="H392" t="s">
        <v>26</v>
      </c>
      <c r="I392" t="s">
        <v>34</v>
      </c>
      <c r="J392" t="s">
        <v>40</v>
      </c>
      <c r="K392" t="s">
        <v>27</v>
      </c>
      <c r="L392" t="s">
        <v>57</v>
      </c>
      <c r="M392" t="s">
        <v>27</v>
      </c>
      <c r="N392" t="s">
        <v>51</v>
      </c>
      <c r="O392">
        <v>14336</v>
      </c>
      <c r="P392">
        <v>1</v>
      </c>
      <c r="Q392" t="s">
        <v>36</v>
      </c>
      <c r="R392">
        <v>11</v>
      </c>
      <c r="S392" t="s">
        <v>33</v>
      </c>
      <c r="T392" t="s">
        <v>29</v>
      </c>
      <c r="U392">
        <v>3</v>
      </c>
      <c r="V392" t="s">
        <v>44</v>
      </c>
      <c r="W392" t="str">
        <f>IF(HR_Data[[#This Row],[age]]&lt;25,"Under 25",IF(HR_Data[[#This Row],[age]]&lt;35,"25-34",IF(HR_Data[[#This Row],[age]]&lt;45,"35-44",IF(HR_Data[[#This Row],[age]]&lt;55,"45-54","55+"))))</f>
        <v>35-44</v>
      </c>
      <c r="X392" t="str">
        <f t="shared" si="6"/>
        <v>8,000+</v>
      </c>
    </row>
    <row r="393" spans="1:24" x14ac:dyDescent="0.3">
      <c r="A393">
        <v>521</v>
      </c>
      <c r="B393">
        <v>40</v>
      </c>
      <c r="C393" t="s">
        <v>36</v>
      </c>
      <c r="D393" t="s">
        <v>23</v>
      </c>
      <c r="E393" t="s">
        <v>38</v>
      </c>
      <c r="F393">
        <v>2</v>
      </c>
      <c r="G393" t="s">
        <v>50</v>
      </c>
      <c r="H393" t="s">
        <v>48</v>
      </c>
      <c r="I393" t="s">
        <v>27</v>
      </c>
      <c r="J393" t="s">
        <v>28</v>
      </c>
      <c r="K393" t="s">
        <v>27</v>
      </c>
      <c r="L393" t="s">
        <v>46</v>
      </c>
      <c r="M393" t="s">
        <v>29</v>
      </c>
      <c r="N393" t="s">
        <v>42</v>
      </c>
      <c r="O393">
        <v>3448</v>
      </c>
      <c r="P393">
        <v>6</v>
      </c>
      <c r="Q393" t="s">
        <v>36</v>
      </c>
      <c r="R393">
        <v>22</v>
      </c>
      <c r="S393" t="s">
        <v>43</v>
      </c>
      <c r="T393" t="s">
        <v>27</v>
      </c>
      <c r="U393">
        <v>3</v>
      </c>
      <c r="V393" t="s">
        <v>44</v>
      </c>
      <c r="W393" t="str">
        <f>IF(HR_Data[[#This Row],[age]]&lt;25,"Under 25",IF(HR_Data[[#This Row],[age]]&lt;35,"25-34",IF(HR_Data[[#This Row],[age]]&lt;45,"35-44",IF(HR_Data[[#This Row],[age]]&lt;55,"45-54","55+"))))</f>
        <v>35-44</v>
      </c>
      <c r="X393" t="str">
        <f t="shared" si="6"/>
        <v>3,000-4,999</v>
      </c>
    </row>
    <row r="394" spans="1:24" x14ac:dyDescent="0.3">
      <c r="A394">
        <v>522</v>
      </c>
      <c r="B394">
        <v>54</v>
      </c>
      <c r="C394" t="s">
        <v>36</v>
      </c>
      <c r="D394" t="s">
        <v>23</v>
      </c>
      <c r="E394" t="s">
        <v>38</v>
      </c>
      <c r="F394">
        <v>5</v>
      </c>
      <c r="G394" t="s">
        <v>25</v>
      </c>
      <c r="H394" t="s">
        <v>48</v>
      </c>
      <c r="I394" t="s">
        <v>34</v>
      </c>
      <c r="J394" t="s">
        <v>40</v>
      </c>
      <c r="K394" t="s">
        <v>29</v>
      </c>
      <c r="L394" t="s">
        <v>57</v>
      </c>
      <c r="M394" t="s">
        <v>34</v>
      </c>
      <c r="N394" t="s">
        <v>42</v>
      </c>
      <c r="O394">
        <v>19406</v>
      </c>
      <c r="P394">
        <v>4</v>
      </c>
      <c r="Q394" t="s">
        <v>36</v>
      </c>
      <c r="R394">
        <v>11</v>
      </c>
      <c r="S394" t="s">
        <v>33</v>
      </c>
      <c r="T394" t="s">
        <v>29</v>
      </c>
      <c r="U394">
        <v>4</v>
      </c>
      <c r="V394" t="s">
        <v>49</v>
      </c>
      <c r="W394" t="str">
        <f>IF(HR_Data[[#This Row],[age]]&lt;25,"Under 25",IF(HR_Data[[#This Row],[age]]&lt;35,"25-34",IF(HR_Data[[#This Row],[age]]&lt;45,"35-44",IF(HR_Data[[#This Row],[age]]&lt;55,"45-54","55+"))))</f>
        <v>45-54</v>
      </c>
      <c r="X394" t="str">
        <f t="shared" si="6"/>
        <v>8,000+</v>
      </c>
    </row>
    <row r="395" spans="1:24" x14ac:dyDescent="0.3">
      <c r="A395">
        <v>523</v>
      </c>
      <c r="B395">
        <v>34</v>
      </c>
      <c r="C395" t="s">
        <v>36</v>
      </c>
      <c r="D395" t="s">
        <v>54</v>
      </c>
      <c r="E395" t="s">
        <v>24</v>
      </c>
      <c r="F395">
        <v>4</v>
      </c>
      <c r="G395" t="s">
        <v>47</v>
      </c>
      <c r="H395" t="s">
        <v>58</v>
      </c>
      <c r="I395" t="s">
        <v>29</v>
      </c>
      <c r="J395" t="s">
        <v>28</v>
      </c>
      <c r="K395" t="s">
        <v>29</v>
      </c>
      <c r="L395" t="s">
        <v>30</v>
      </c>
      <c r="M395" t="s">
        <v>29</v>
      </c>
      <c r="N395" t="s">
        <v>42</v>
      </c>
      <c r="O395">
        <v>6538</v>
      </c>
      <c r="P395">
        <v>9</v>
      </c>
      <c r="Q395" t="s">
        <v>36</v>
      </c>
      <c r="R395">
        <v>15</v>
      </c>
      <c r="S395" t="s">
        <v>33</v>
      </c>
      <c r="T395" t="s">
        <v>34</v>
      </c>
      <c r="U395">
        <v>3</v>
      </c>
      <c r="V395" t="s">
        <v>44</v>
      </c>
      <c r="W395" t="str">
        <f>IF(HR_Data[[#This Row],[age]]&lt;25,"Under 25",IF(HR_Data[[#This Row],[age]]&lt;35,"25-34",IF(HR_Data[[#This Row],[age]]&lt;45,"35-44",IF(HR_Data[[#This Row],[age]]&lt;55,"45-54","55+"))))</f>
        <v>25-34</v>
      </c>
      <c r="X395" t="str">
        <f t="shared" si="6"/>
        <v>5,000-7,999</v>
      </c>
    </row>
    <row r="396" spans="1:24" x14ac:dyDescent="0.3">
      <c r="A396">
        <v>524</v>
      </c>
      <c r="B396">
        <v>31</v>
      </c>
      <c r="C396" t="s">
        <v>36</v>
      </c>
      <c r="D396" t="s">
        <v>23</v>
      </c>
      <c r="E396" t="s">
        <v>38</v>
      </c>
      <c r="F396">
        <v>7</v>
      </c>
      <c r="G396" t="s">
        <v>25</v>
      </c>
      <c r="H396" t="s">
        <v>48</v>
      </c>
      <c r="I396" t="s">
        <v>27</v>
      </c>
      <c r="J396" t="s">
        <v>28</v>
      </c>
      <c r="K396" t="s">
        <v>29</v>
      </c>
      <c r="L396" t="s">
        <v>52</v>
      </c>
      <c r="M396" t="s">
        <v>34</v>
      </c>
      <c r="N396" t="s">
        <v>42</v>
      </c>
      <c r="O396">
        <v>4306</v>
      </c>
      <c r="P396">
        <v>1</v>
      </c>
      <c r="Q396" t="s">
        <v>36</v>
      </c>
      <c r="R396">
        <v>12</v>
      </c>
      <c r="S396" t="s">
        <v>33</v>
      </c>
      <c r="T396" t="s">
        <v>27</v>
      </c>
      <c r="U396">
        <v>5</v>
      </c>
      <c r="V396" t="s">
        <v>35</v>
      </c>
      <c r="W396" t="str">
        <f>IF(HR_Data[[#This Row],[age]]&lt;25,"Under 25",IF(HR_Data[[#This Row],[age]]&lt;35,"25-34",IF(HR_Data[[#This Row],[age]]&lt;45,"35-44",IF(HR_Data[[#This Row],[age]]&lt;55,"45-54","55+"))))</f>
        <v>25-34</v>
      </c>
      <c r="X396" t="str">
        <f t="shared" si="6"/>
        <v>3,000-4,999</v>
      </c>
    </row>
    <row r="397" spans="1:24" x14ac:dyDescent="0.3">
      <c r="A397">
        <v>525</v>
      </c>
      <c r="B397">
        <v>43</v>
      </c>
      <c r="C397" t="s">
        <v>36</v>
      </c>
      <c r="D397" t="s">
        <v>37</v>
      </c>
      <c r="E397" t="s">
        <v>38</v>
      </c>
      <c r="F397">
        <v>21</v>
      </c>
      <c r="G397" t="s">
        <v>50</v>
      </c>
      <c r="H397" t="s">
        <v>48</v>
      </c>
      <c r="I397" t="s">
        <v>31</v>
      </c>
      <c r="J397" t="s">
        <v>40</v>
      </c>
      <c r="K397" t="s">
        <v>29</v>
      </c>
      <c r="L397" t="s">
        <v>46</v>
      </c>
      <c r="M397" t="s">
        <v>31</v>
      </c>
      <c r="N397" t="s">
        <v>42</v>
      </c>
      <c r="O397">
        <v>2258</v>
      </c>
      <c r="P397">
        <v>7</v>
      </c>
      <c r="Q397" t="s">
        <v>36</v>
      </c>
      <c r="R397">
        <v>20</v>
      </c>
      <c r="S397" t="s">
        <v>43</v>
      </c>
      <c r="T397" t="s">
        <v>34</v>
      </c>
      <c r="U397">
        <v>1</v>
      </c>
      <c r="V397" t="s">
        <v>44</v>
      </c>
      <c r="W397" t="str">
        <f>IF(HR_Data[[#This Row],[age]]&lt;25,"Under 25",IF(HR_Data[[#This Row],[age]]&lt;35,"25-34",IF(HR_Data[[#This Row],[age]]&lt;45,"35-44",IF(HR_Data[[#This Row],[age]]&lt;55,"45-54","55+"))))</f>
        <v>35-44</v>
      </c>
      <c r="X397" t="str">
        <f t="shared" si="6"/>
        <v>Below 3,000</v>
      </c>
    </row>
    <row r="398" spans="1:24" x14ac:dyDescent="0.3">
      <c r="A398">
        <v>526</v>
      </c>
      <c r="B398">
        <v>43</v>
      </c>
      <c r="C398" t="s">
        <v>36</v>
      </c>
      <c r="D398" t="s">
        <v>23</v>
      </c>
      <c r="E398" t="s">
        <v>38</v>
      </c>
      <c r="F398">
        <v>8</v>
      </c>
      <c r="G398" t="s">
        <v>47</v>
      </c>
      <c r="H398" t="s">
        <v>45</v>
      </c>
      <c r="I398" t="s">
        <v>29</v>
      </c>
      <c r="J398" t="s">
        <v>28</v>
      </c>
      <c r="K398" t="s">
        <v>29</v>
      </c>
      <c r="L398" t="s">
        <v>53</v>
      </c>
      <c r="M398" t="s">
        <v>29</v>
      </c>
      <c r="N398" t="s">
        <v>51</v>
      </c>
      <c r="O398">
        <v>4522</v>
      </c>
      <c r="P398">
        <v>4</v>
      </c>
      <c r="Q398" t="s">
        <v>22</v>
      </c>
      <c r="R398">
        <v>14</v>
      </c>
      <c r="S398" t="s">
        <v>33</v>
      </c>
      <c r="T398" t="s">
        <v>31</v>
      </c>
      <c r="U398">
        <v>3</v>
      </c>
      <c r="V398" t="s">
        <v>44</v>
      </c>
      <c r="W398" t="str">
        <f>IF(HR_Data[[#This Row],[age]]&lt;25,"Under 25",IF(HR_Data[[#This Row],[age]]&lt;35,"25-34",IF(HR_Data[[#This Row],[age]]&lt;45,"35-44",IF(HR_Data[[#This Row],[age]]&lt;55,"45-54","55+"))))</f>
        <v>35-44</v>
      </c>
      <c r="X398" t="str">
        <f t="shared" si="6"/>
        <v>3,000-4,999</v>
      </c>
    </row>
    <row r="399" spans="1:24" x14ac:dyDescent="0.3">
      <c r="A399">
        <v>527</v>
      </c>
      <c r="B399">
        <v>25</v>
      </c>
      <c r="C399" t="s">
        <v>36</v>
      </c>
      <c r="D399" t="s">
        <v>23</v>
      </c>
      <c r="E399" t="s">
        <v>24</v>
      </c>
      <c r="F399">
        <v>4</v>
      </c>
      <c r="G399" t="s">
        <v>25</v>
      </c>
      <c r="H399" t="s">
        <v>26</v>
      </c>
      <c r="I399" t="s">
        <v>27</v>
      </c>
      <c r="J399" t="s">
        <v>28</v>
      </c>
      <c r="K399" t="s">
        <v>27</v>
      </c>
      <c r="L399" t="s">
        <v>30</v>
      </c>
      <c r="M399" t="s">
        <v>31</v>
      </c>
      <c r="N399" t="s">
        <v>32</v>
      </c>
      <c r="O399">
        <v>4487</v>
      </c>
      <c r="P399">
        <v>1</v>
      </c>
      <c r="Q399" t="s">
        <v>22</v>
      </c>
      <c r="R399">
        <v>11</v>
      </c>
      <c r="S399" t="s">
        <v>33</v>
      </c>
      <c r="T399" t="s">
        <v>27</v>
      </c>
      <c r="U399">
        <v>3</v>
      </c>
      <c r="V399" t="s">
        <v>44</v>
      </c>
      <c r="W399" t="str">
        <f>IF(HR_Data[[#This Row],[age]]&lt;25,"Under 25",IF(HR_Data[[#This Row],[age]]&lt;35,"25-34",IF(HR_Data[[#This Row],[age]]&lt;45,"35-44",IF(HR_Data[[#This Row],[age]]&lt;55,"45-54","55+"))))</f>
        <v>25-34</v>
      </c>
      <c r="X399" t="str">
        <f t="shared" si="6"/>
        <v>3,000-4,999</v>
      </c>
    </row>
    <row r="400" spans="1:24" x14ac:dyDescent="0.3">
      <c r="A400">
        <v>529</v>
      </c>
      <c r="B400">
        <v>37</v>
      </c>
      <c r="C400" t="s">
        <v>36</v>
      </c>
      <c r="D400" t="s">
        <v>54</v>
      </c>
      <c r="E400" t="s">
        <v>38</v>
      </c>
      <c r="F400">
        <v>25</v>
      </c>
      <c r="G400" t="s">
        <v>61</v>
      </c>
      <c r="H400" t="s">
        <v>48</v>
      </c>
      <c r="I400" t="s">
        <v>27</v>
      </c>
      <c r="J400" t="s">
        <v>28</v>
      </c>
      <c r="K400" t="s">
        <v>29</v>
      </c>
      <c r="L400" t="s">
        <v>41</v>
      </c>
      <c r="M400" t="s">
        <v>29</v>
      </c>
      <c r="N400" t="s">
        <v>42</v>
      </c>
      <c r="O400">
        <v>4449</v>
      </c>
      <c r="P400">
        <v>3</v>
      </c>
      <c r="Q400" t="s">
        <v>22</v>
      </c>
      <c r="R400">
        <v>15</v>
      </c>
      <c r="S400" t="s">
        <v>33</v>
      </c>
      <c r="T400" t="s">
        <v>34</v>
      </c>
      <c r="U400">
        <v>2</v>
      </c>
      <c r="V400" t="s">
        <v>44</v>
      </c>
      <c r="W400" t="str">
        <f>IF(HR_Data[[#This Row],[age]]&lt;25,"Under 25",IF(HR_Data[[#This Row],[age]]&lt;35,"25-34",IF(HR_Data[[#This Row],[age]]&lt;45,"35-44",IF(HR_Data[[#This Row],[age]]&lt;55,"45-54","55+"))))</f>
        <v>35-44</v>
      </c>
      <c r="X400" t="str">
        <f t="shared" si="6"/>
        <v>3,000-4,999</v>
      </c>
    </row>
    <row r="401" spans="1:24" x14ac:dyDescent="0.3">
      <c r="A401">
        <v>530</v>
      </c>
      <c r="B401">
        <v>31</v>
      </c>
      <c r="C401" t="s">
        <v>36</v>
      </c>
      <c r="D401" t="s">
        <v>23</v>
      </c>
      <c r="E401" t="s">
        <v>38</v>
      </c>
      <c r="F401">
        <v>1</v>
      </c>
      <c r="G401" t="s">
        <v>25</v>
      </c>
      <c r="H401" t="s">
        <v>26</v>
      </c>
      <c r="I401" t="s">
        <v>31</v>
      </c>
      <c r="J401" t="s">
        <v>40</v>
      </c>
      <c r="K401" t="s">
        <v>27</v>
      </c>
      <c r="L401" t="s">
        <v>46</v>
      </c>
      <c r="M401" t="s">
        <v>34</v>
      </c>
      <c r="N401" t="s">
        <v>42</v>
      </c>
      <c r="O401">
        <v>2218</v>
      </c>
      <c r="P401">
        <v>1</v>
      </c>
      <c r="Q401" t="s">
        <v>36</v>
      </c>
      <c r="R401">
        <v>12</v>
      </c>
      <c r="S401" t="s">
        <v>33</v>
      </c>
      <c r="T401" t="s">
        <v>29</v>
      </c>
      <c r="U401">
        <v>3</v>
      </c>
      <c r="V401" t="s">
        <v>44</v>
      </c>
      <c r="W401" t="str">
        <f>IF(HR_Data[[#This Row],[age]]&lt;25,"Under 25",IF(HR_Data[[#This Row],[age]]&lt;35,"25-34",IF(HR_Data[[#This Row],[age]]&lt;45,"35-44",IF(HR_Data[[#This Row],[age]]&lt;55,"45-54","55+"))))</f>
        <v>25-34</v>
      </c>
      <c r="X401" t="str">
        <f t="shared" si="6"/>
        <v>Below 3,000</v>
      </c>
    </row>
    <row r="402" spans="1:24" x14ac:dyDescent="0.3">
      <c r="A402">
        <v>531</v>
      </c>
      <c r="B402">
        <v>39</v>
      </c>
      <c r="C402" t="s">
        <v>36</v>
      </c>
      <c r="D402" t="s">
        <v>37</v>
      </c>
      <c r="E402" t="s">
        <v>38</v>
      </c>
      <c r="F402">
        <v>1</v>
      </c>
      <c r="G402" t="s">
        <v>39</v>
      </c>
      <c r="H402" t="s">
        <v>26</v>
      </c>
      <c r="I402" t="s">
        <v>27</v>
      </c>
      <c r="J402" t="s">
        <v>40</v>
      </c>
      <c r="K402" t="s">
        <v>29</v>
      </c>
      <c r="L402" t="s">
        <v>55</v>
      </c>
      <c r="M402" t="s">
        <v>29</v>
      </c>
      <c r="N402" t="s">
        <v>51</v>
      </c>
      <c r="O402">
        <v>19197</v>
      </c>
      <c r="P402">
        <v>1</v>
      </c>
      <c r="Q402" t="s">
        <v>22</v>
      </c>
      <c r="R402">
        <v>14</v>
      </c>
      <c r="S402" t="s">
        <v>33</v>
      </c>
      <c r="T402" t="s">
        <v>29</v>
      </c>
      <c r="U402">
        <v>3</v>
      </c>
      <c r="V402" t="s">
        <v>44</v>
      </c>
      <c r="W402" t="str">
        <f>IF(HR_Data[[#This Row],[age]]&lt;25,"Under 25",IF(HR_Data[[#This Row],[age]]&lt;35,"25-34",IF(HR_Data[[#This Row],[age]]&lt;45,"35-44",IF(HR_Data[[#This Row],[age]]&lt;55,"45-54","55+"))))</f>
        <v>35-44</v>
      </c>
      <c r="X402" t="str">
        <f t="shared" si="6"/>
        <v>8,000+</v>
      </c>
    </row>
    <row r="403" spans="1:24" x14ac:dyDescent="0.3">
      <c r="A403">
        <v>532</v>
      </c>
      <c r="B403">
        <v>56</v>
      </c>
      <c r="C403" t="s">
        <v>36</v>
      </c>
      <c r="D403" t="s">
        <v>37</v>
      </c>
      <c r="E403" t="s">
        <v>24</v>
      </c>
      <c r="F403">
        <v>6</v>
      </c>
      <c r="G403" t="s">
        <v>50</v>
      </c>
      <c r="H403" t="s">
        <v>26</v>
      </c>
      <c r="I403" t="s">
        <v>29</v>
      </c>
      <c r="J403" t="s">
        <v>28</v>
      </c>
      <c r="K403" t="s">
        <v>31</v>
      </c>
      <c r="L403" t="s">
        <v>30</v>
      </c>
      <c r="M403" t="s">
        <v>34</v>
      </c>
      <c r="N403" t="s">
        <v>42</v>
      </c>
      <c r="O403">
        <v>13212</v>
      </c>
      <c r="P403">
        <v>9</v>
      </c>
      <c r="Q403" t="s">
        <v>36</v>
      </c>
      <c r="R403">
        <v>11</v>
      </c>
      <c r="S403" t="s">
        <v>33</v>
      </c>
      <c r="T403" t="s">
        <v>31</v>
      </c>
      <c r="U403">
        <v>0</v>
      </c>
      <c r="V403" t="s">
        <v>49</v>
      </c>
      <c r="W403" t="str">
        <f>IF(HR_Data[[#This Row],[age]]&lt;25,"Under 25",IF(HR_Data[[#This Row],[age]]&lt;35,"25-34",IF(HR_Data[[#This Row],[age]]&lt;45,"35-44",IF(HR_Data[[#This Row],[age]]&lt;55,"45-54","55+"))))</f>
        <v>55+</v>
      </c>
      <c r="X403" t="str">
        <f t="shared" si="6"/>
        <v>8,000+</v>
      </c>
    </row>
    <row r="404" spans="1:24" x14ac:dyDescent="0.3">
      <c r="A404">
        <v>533</v>
      </c>
      <c r="B404">
        <v>30</v>
      </c>
      <c r="C404" t="s">
        <v>36</v>
      </c>
      <c r="D404" t="s">
        <v>23</v>
      </c>
      <c r="E404" t="s">
        <v>24</v>
      </c>
      <c r="F404">
        <v>12</v>
      </c>
      <c r="G404" t="s">
        <v>50</v>
      </c>
      <c r="H404" t="s">
        <v>60</v>
      </c>
      <c r="I404" t="s">
        <v>27</v>
      </c>
      <c r="J404" t="s">
        <v>28</v>
      </c>
      <c r="K404" t="s">
        <v>29</v>
      </c>
      <c r="L404" t="s">
        <v>30</v>
      </c>
      <c r="M404" t="s">
        <v>29</v>
      </c>
      <c r="N404" t="s">
        <v>32</v>
      </c>
      <c r="O404">
        <v>6577</v>
      </c>
      <c r="P404">
        <v>0</v>
      </c>
      <c r="Q404" t="s">
        <v>36</v>
      </c>
      <c r="R404">
        <v>11</v>
      </c>
      <c r="S404" t="s">
        <v>33</v>
      </c>
      <c r="T404" t="s">
        <v>27</v>
      </c>
      <c r="U404">
        <v>6</v>
      </c>
      <c r="V404" t="s">
        <v>44</v>
      </c>
      <c r="W404" t="str">
        <f>IF(HR_Data[[#This Row],[age]]&lt;25,"Under 25",IF(HR_Data[[#This Row],[age]]&lt;35,"25-34",IF(HR_Data[[#This Row],[age]]&lt;45,"35-44",IF(HR_Data[[#This Row],[age]]&lt;55,"45-54","55+"))))</f>
        <v>25-34</v>
      </c>
      <c r="X404" t="str">
        <f t="shared" si="6"/>
        <v>5,000-7,999</v>
      </c>
    </row>
    <row r="405" spans="1:24" x14ac:dyDescent="0.3">
      <c r="A405">
        <v>534</v>
      </c>
      <c r="B405">
        <v>41</v>
      </c>
      <c r="C405" t="s">
        <v>36</v>
      </c>
      <c r="D405" t="s">
        <v>23</v>
      </c>
      <c r="E405" t="s">
        <v>24</v>
      </c>
      <c r="F405">
        <v>1</v>
      </c>
      <c r="G405" t="s">
        <v>50</v>
      </c>
      <c r="H405" t="s">
        <v>58</v>
      </c>
      <c r="I405" t="s">
        <v>27</v>
      </c>
      <c r="J405" t="s">
        <v>40</v>
      </c>
      <c r="K405" t="s">
        <v>31</v>
      </c>
      <c r="L405" t="s">
        <v>30</v>
      </c>
      <c r="M405" t="s">
        <v>34</v>
      </c>
      <c r="N405" t="s">
        <v>42</v>
      </c>
      <c r="O405">
        <v>8392</v>
      </c>
      <c r="P405">
        <v>1</v>
      </c>
      <c r="Q405" t="s">
        <v>36</v>
      </c>
      <c r="R405">
        <v>16</v>
      </c>
      <c r="S405" t="s">
        <v>33</v>
      </c>
      <c r="T405" t="s">
        <v>29</v>
      </c>
      <c r="U405">
        <v>2</v>
      </c>
      <c r="V405" t="s">
        <v>44</v>
      </c>
      <c r="W405" t="str">
        <f>IF(HR_Data[[#This Row],[age]]&lt;25,"Under 25",IF(HR_Data[[#This Row],[age]]&lt;35,"25-34",IF(HR_Data[[#This Row],[age]]&lt;45,"35-44",IF(HR_Data[[#This Row],[age]]&lt;55,"45-54","55+"))))</f>
        <v>35-44</v>
      </c>
      <c r="X405" t="str">
        <f t="shared" si="6"/>
        <v>8,000+</v>
      </c>
    </row>
    <row r="406" spans="1:24" x14ac:dyDescent="0.3">
      <c r="A406">
        <v>536</v>
      </c>
      <c r="B406">
        <v>28</v>
      </c>
      <c r="C406" t="s">
        <v>36</v>
      </c>
      <c r="D406" t="s">
        <v>23</v>
      </c>
      <c r="E406" t="s">
        <v>38</v>
      </c>
      <c r="F406">
        <v>17</v>
      </c>
      <c r="G406" t="s">
        <v>25</v>
      </c>
      <c r="H406" t="s">
        <v>48</v>
      </c>
      <c r="I406" t="s">
        <v>29</v>
      </c>
      <c r="J406" t="s">
        <v>40</v>
      </c>
      <c r="K406" t="s">
        <v>29</v>
      </c>
      <c r="L406" t="s">
        <v>46</v>
      </c>
      <c r="M406" t="s">
        <v>34</v>
      </c>
      <c r="N406" t="s">
        <v>51</v>
      </c>
      <c r="O406">
        <v>4558</v>
      </c>
      <c r="P406">
        <v>1</v>
      </c>
      <c r="Q406" t="s">
        <v>36</v>
      </c>
      <c r="R406">
        <v>12</v>
      </c>
      <c r="S406" t="s">
        <v>33</v>
      </c>
      <c r="T406" t="s">
        <v>31</v>
      </c>
      <c r="U406">
        <v>2</v>
      </c>
      <c r="V406" t="s">
        <v>44</v>
      </c>
      <c r="W406" t="str">
        <f>IF(HR_Data[[#This Row],[age]]&lt;25,"Under 25",IF(HR_Data[[#This Row],[age]]&lt;35,"25-34",IF(HR_Data[[#This Row],[age]]&lt;45,"35-44",IF(HR_Data[[#This Row],[age]]&lt;55,"45-54","55+"))))</f>
        <v>25-34</v>
      </c>
      <c r="X406" t="str">
        <f t="shared" si="6"/>
        <v>3,000-4,999</v>
      </c>
    </row>
    <row r="407" spans="1:24" x14ac:dyDescent="0.3">
      <c r="A407">
        <v>538</v>
      </c>
      <c r="B407">
        <v>25</v>
      </c>
      <c r="C407" t="s">
        <v>22</v>
      </c>
      <c r="D407" t="s">
        <v>23</v>
      </c>
      <c r="E407" t="s">
        <v>38</v>
      </c>
      <c r="F407">
        <v>3</v>
      </c>
      <c r="G407" t="s">
        <v>50</v>
      </c>
      <c r="H407" t="s">
        <v>48</v>
      </c>
      <c r="I407" t="s">
        <v>34</v>
      </c>
      <c r="J407" t="s">
        <v>40</v>
      </c>
      <c r="K407" t="s">
        <v>29</v>
      </c>
      <c r="L407" t="s">
        <v>46</v>
      </c>
      <c r="M407" t="s">
        <v>34</v>
      </c>
      <c r="N407" t="s">
        <v>42</v>
      </c>
      <c r="O407">
        <v>4031</v>
      </c>
      <c r="P407">
        <v>5</v>
      </c>
      <c r="Q407" t="s">
        <v>36</v>
      </c>
      <c r="R407">
        <v>13</v>
      </c>
      <c r="S407" t="s">
        <v>33</v>
      </c>
      <c r="T407" t="s">
        <v>29</v>
      </c>
      <c r="U407">
        <v>5</v>
      </c>
      <c r="V407" t="s">
        <v>44</v>
      </c>
      <c r="W407" t="str">
        <f>IF(HR_Data[[#This Row],[age]]&lt;25,"Under 25",IF(HR_Data[[#This Row],[age]]&lt;35,"25-34",IF(HR_Data[[#This Row],[age]]&lt;45,"35-44",IF(HR_Data[[#This Row],[age]]&lt;55,"45-54","55+"))))</f>
        <v>25-34</v>
      </c>
      <c r="X407" t="str">
        <f t="shared" si="6"/>
        <v>3,000-4,999</v>
      </c>
    </row>
    <row r="408" spans="1:24" x14ac:dyDescent="0.3">
      <c r="A408">
        <v>543</v>
      </c>
      <c r="B408">
        <v>52</v>
      </c>
      <c r="C408" t="s">
        <v>36</v>
      </c>
      <c r="D408" t="s">
        <v>23</v>
      </c>
      <c r="E408" t="s">
        <v>38</v>
      </c>
      <c r="F408">
        <v>3</v>
      </c>
      <c r="G408" t="s">
        <v>50</v>
      </c>
      <c r="H408" t="s">
        <v>48</v>
      </c>
      <c r="I408" t="s">
        <v>31</v>
      </c>
      <c r="J408" t="s">
        <v>40</v>
      </c>
      <c r="K408" t="s">
        <v>27</v>
      </c>
      <c r="L408" t="s">
        <v>52</v>
      </c>
      <c r="M408" t="s">
        <v>29</v>
      </c>
      <c r="N408" t="s">
        <v>42</v>
      </c>
      <c r="O408">
        <v>7969</v>
      </c>
      <c r="P408">
        <v>2</v>
      </c>
      <c r="Q408" t="s">
        <v>22</v>
      </c>
      <c r="R408">
        <v>14</v>
      </c>
      <c r="S408" t="s">
        <v>33</v>
      </c>
      <c r="T408" t="s">
        <v>29</v>
      </c>
      <c r="U408">
        <v>4</v>
      </c>
      <c r="V408" t="s">
        <v>44</v>
      </c>
      <c r="W408" t="str">
        <f>IF(HR_Data[[#This Row],[age]]&lt;25,"Under 25",IF(HR_Data[[#This Row],[age]]&lt;35,"25-34",IF(HR_Data[[#This Row],[age]]&lt;45,"35-44",IF(HR_Data[[#This Row],[age]]&lt;55,"45-54","55+"))))</f>
        <v>45-54</v>
      </c>
      <c r="X408" t="str">
        <f t="shared" si="6"/>
        <v>5,000-7,999</v>
      </c>
    </row>
    <row r="409" spans="1:24" x14ac:dyDescent="0.3">
      <c r="A409">
        <v>544</v>
      </c>
      <c r="B409">
        <v>45</v>
      </c>
      <c r="C409" t="s">
        <v>36</v>
      </c>
      <c r="D409" t="s">
        <v>23</v>
      </c>
      <c r="E409" t="s">
        <v>38</v>
      </c>
      <c r="F409">
        <v>10</v>
      </c>
      <c r="G409" t="s">
        <v>25</v>
      </c>
      <c r="H409" t="s">
        <v>26</v>
      </c>
      <c r="I409" t="s">
        <v>34</v>
      </c>
      <c r="J409" t="s">
        <v>40</v>
      </c>
      <c r="K409" t="s">
        <v>29</v>
      </c>
      <c r="L409" t="s">
        <v>41</v>
      </c>
      <c r="M409" t="s">
        <v>31</v>
      </c>
      <c r="N409" t="s">
        <v>42</v>
      </c>
      <c r="O409">
        <v>2654</v>
      </c>
      <c r="P409">
        <v>3</v>
      </c>
      <c r="Q409" t="s">
        <v>36</v>
      </c>
      <c r="R409">
        <v>21</v>
      </c>
      <c r="S409" t="s">
        <v>43</v>
      </c>
      <c r="T409" t="s">
        <v>31</v>
      </c>
      <c r="U409">
        <v>3</v>
      </c>
      <c r="V409" t="s">
        <v>49</v>
      </c>
      <c r="W409" t="str">
        <f>IF(HR_Data[[#This Row],[age]]&lt;25,"Under 25",IF(HR_Data[[#This Row],[age]]&lt;35,"25-34",IF(HR_Data[[#This Row],[age]]&lt;45,"35-44",IF(HR_Data[[#This Row],[age]]&lt;55,"45-54","55+"))))</f>
        <v>45-54</v>
      </c>
      <c r="X409" t="str">
        <f t="shared" si="6"/>
        <v>Below 3,000</v>
      </c>
    </row>
    <row r="410" spans="1:24" x14ac:dyDescent="0.3">
      <c r="A410">
        <v>546</v>
      </c>
      <c r="B410">
        <v>52</v>
      </c>
      <c r="C410" t="s">
        <v>36</v>
      </c>
      <c r="D410" t="s">
        <v>23</v>
      </c>
      <c r="E410" t="s">
        <v>38</v>
      </c>
      <c r="F410">
        <v>4</v>
      </c>
      <c r="G410" t="s">
        <v>25</v>
      </c>
      <c r="H410" t="s">
        <v>26</v>
      </c>
      <c r="I410" t="s">
        <v>31</v>
      </c>
      <c r="J410" t="s">
        <v>28</v>
      </c>
      <c r="K410" t="s">
        <v>29</v>
      </c>
      <c r="L410" t="s">
        <v>55</v>
      </c>
      <c r="M410" t="s">
        <v>31</v>
      </c>
      <c r="N410" t="s">
        <v>42</v>
      </c>
      <c r="O410">
        <v>16555</v>
      </c>
      <c r="P410">
        <v>2</v>
      </c>
      <c r="Q410" t="s">
        <v>36</v>
      </c>
      <c r="R410">
        <v>13</v>
      </c>
      <c r="S410" t="s">
        <v>33</v>
      </c>
      <c r="T410" t="s">
        <v>31</v>
      </c>
      <c r="U410">
        <v>2</v>
      </c>
      <c r="V410" t="s">
        <v>35</v>
      </c>
      <c r="W410" t="str">
        <f>IF(HR_Data[[#This Row],[age]]&lt;25,"Under 25",IF(HR_Data[[#This Row],[age]]&lt;35,"25-34",IF(HR_Data[[#This Row],[age]]&lt;45,"35-44",IF(HR_Data[[#This Row],[age]]&lt;55,"45-54","55+"))))</f>
        <v>45-54</v>
      </c>
      <c r="X410" t="str">
        <f t="shared" si="6"/>
        <v>8,000+</v>
      </c>
    </row>
    <row r="411" spans="1:24" x14ac:dyDescent="0.3">
      <c r="A411">
        <v>547</v>
      </c>
      <c r="B411">
        <v>42</v>
      </c>
      <c r="C411" t="s">
        <v>36</v>
      </c>
      <c r="D411" t="s">
        <v>37</v>
      </c>
      <c r="E411" t="s">
        <v>38</v>
      </c>
      <c r="F411">
        <v>29</v>
      </c>
      <c r="G411" t="s">
        <v>25</v>
      </c>
      <c r="H411" t="s">
        <v>26</v>
      </c>
      <c r="I411" t="s">
        <v>34</v>
      </c>
      <c r="J411" t="s">
        <v>28</v>
      </c>
      <c r="K411" t="s">
        <v>29</v>
      </c>
      <c r="L411" t="s">
        <v>41</v>
      </c>
      <c r="M411" t="s">
        <v>29</v>
      </c>
      <c r="N411" t="s">
        <v>51</v>
      </c>
      <c r="O411">
        <v>4556</v>
      </c>
      <c r="P411">
        <v>2</v>
      </c>
      <c r="Q411" t="s">
        <v>36</v>
      </c>
      <c r="R411">
        <v>11</v>
      </c>
      <c r="S411" t="s">
        <v>33</v>
      </c>
      <c r="T411" t="s">
        <v>27</v>
      </c>
      <c r="U411">
        <v>3</v>
      </c>
      <c r="V411" t="s">
        <v>44</v>
      </c>
      <c r="W411" t="str">
        <f>IF(HR_Data[[#This Row],[age]]&lt;25,"Under 25",IF(HR_Data[[#This Row],[age]]&lt;35,"25-34",IF(HR_Data[[#This Row],[age]]&lt;45,"35-44",IF(HR_Data[[#This Row],[age]]&lt;55,"45-54","55+"))))</f>
        <v>35-44</v>
      </c>
      <c r="X411" t="str">
        <f t="shared" si="6"/>
        <v>3,000-4,999</v>
      </c>
    </row>
    <row r="412" spans="1:24" x14ac:dyDescent="0.3">
      <c r="A412">
        <v>548</v>
      </c>
      <c r="B412">
        <v>30</v>
      </c>
      <c r="C412" t="s">
        <v>36</v>
      </c>
      <c r="D412" t="s">
        <v>23</v>
      </c>
      <c r="E412" t="s">
        <v>38</v>
      </c>
      <c r="F412">
        <v>2</v>
      </c>
      <c r="G412" t="s">
        <v>50</v>
      </c>
      <c r="H412" t="s">
        <v>26</v>
      </c>
      <c r="I412" t="s">
        <v>29</v>
      </c>
      <c r="J412" t="s">
        <v>28</v>
      </c>
      <c r="K412" t="s">
        <v>34</v>
      </c>
      <c r="L412" t="s">
        <v>52</v>
      </c>
      <c r="M412" t="s">
        <v>31</v>
      </c>
      <c r="N412" t="s">
        <v>32</v>
      </c>
      <c r="O412">
        <v>6091</v>
      </c>
      <c r="P412">
        <v>2</v>
      </c>
      <c r="Q412" t="s">
        <v>36</v>
      </c>
      <c r="R412">
        <v>20</v>
      </c>
      <c r="S412" t="s">
        <v>43</v>
      </c>
      <c r="T412" t="s">
        <v>29</v>
      </c>
      <c r="U412">
        <v>2</v>
      </c>
      <c r="V412" t="s">
        <v>44</v>
      </c>
      <c r="W412" t="str">
        <f>IF(HR_Data[[#This Row],[age]]&lt;25,"Under 25",IF(HR_Data[[#This Row],[age]]&lt;35,"25-34",IF(HR_Data[[#This Row],[age]]&lt;45,"35-44",IF(HR_Data[[#This Row],[age]]&lt;55,"45-54","55+"))))</f>
        <v>25-34</v>
      </c>
      <c r="X412" t="str">
        <f t="shared" si="6"/>
        <v>5,000-7,999</v>
      </c>
    </row>
    <row r="413" spans="1:24" x14ac:dyDescent="0.3">
      <c r="A413">
        <v>549</v>
      </c>
      <c r="B413">
        <v>60</v>
      </c>
      <c r="C413" t="s">
        <v>36</v>
      </c>
      <c r="D413" t="s">
        <v>23</v>
      </c>
      <c r="E413" t="s">
        <v>38</v>
      </c>
      <c r="F413">
        <v>7</v>
      </c>
      <c r="G413" t="s">
        <v>50</v>
      </c>
      <c r="H413" t="s">
        <v>26</v>
      </c>
      <c r="I413" t="s">
        <v>34</v>
      </c>
      <c r="J413" t="s">
        <v>28</v>
      </c>
      <c r="K413" t="s">
        <v>29</v>
      </c>
      <c r="L413" t="s">
        <v>55</v>
      </c>
      <c r="M413" t="s">
        <v>34</v>
      </c>
      <c r="N413" t="s">
        <v>42</v>
      </c>
      <c r="O413">
        <v>19566</v>
      </c>
      <c r="P413">
        <v>5</v>
      </c>
      <c r="Q413" t="s">
        <v>36</v>
      </c>
      <c r="R413">
        <v>11</v>
      </c>
      <c r="S413" t="s">
        <v>33</v>
      </c>
      <c r="T413" t="s">
        <v>31</v>
      </c>
      <c r="U413">
        <v>5</v>
      </c>
      <c r="V413" t="s">
        <v>35</v>
      </c>
      <c r="W413" t="str">
        <f>IF(HR_Data[[#This Row],[age]]&lt;25,"Under 25",IF(HR_Data[[#This Row],[age]]&lt;35,"25-34",IF(HR_Data[[#This Row],[age]]&lt;45,"35-44",IF(HR_Data[[#This Row],[age]]&lt;55,"45-54","55+"))))</f>
        <v>55+</v>
      </c>
      <c r="X413" t="str">
        <f t="shared" si="6"/>
        <v>8,000+</v>
      </c>
    </row>
    <row r="414" spans="1:24" x14ac:dyDescent="0.3">
      <c r="A414">
        <v>550</v>
      </c>
      <c r="B414">
        <v>46</v>
      </c>
      <c r="C414" t="s">
        <v>36</v>
      </c>
      <c r="D414" t="s">
        <v>23</v>
      </c>
      <c r="E414" t="s">
        <v>38</v>
      </c>
      <c r="F414">
        <v>18</v>
      </c>
      <c r="G414" t="s">
        <v>50</v>
      </c>
      <c r="H414" t="s">
        <v>48</v>
      </c>
      <c r="I414" t="s">
        <v>29</v>
      </c>
      <c r="J414" t="s">
        <v>28</v>
      </c>
      <c r="K414" t="s">
        <v>29</v>
      </c>
      <c r="L414" t="s">
        <v>52</v>
      </c>
      <c r="M414" t="s">
        <v>29</v>
      </c>
      <c r="N414" t="s">
        <v>51</v>
      </c>
      <c r="O414">
        <v>4810</v>
      </c>
      <c r="P414">
        <v>2</v>
      </c>
      <c r="Q414" t="s">
        <v>36</v>
      </c>
      <c r="R414">
        <v>14</v>
      </c>
      <c r="S414" t="s">
        <v>33</v>
      </c>
      <c r="T414" t="s">
        <v>29</v>
      </c>
      <c r="U414">
        <v>5</v>
      </c>
      <c r="V414" t="s">
        <v>49</v>
      </c>
      <c r="W414" t="str">
        <f>IF(HR_Data[[#This Row],[age]]&lt;25,"Under 25",IF(HR_Data[[#This Row],[age]]&lt;35,"25-34",IF(HR_Data[[#This Row],[age]]&lt;45,"35-44",IF(HR_Data[[#This Row],[age]]&lt;55,"45-54","55+"))))</f>
        <v>45-54</v>
      </c>
      <c r="X414" t="str">
        <f t="shared" si="6"/>
        <v>3,000-4,999</v>
      </c>
    </row>
    <row r="415" spans="1:24" x14ac:dyDescent="0.3">
      <c r="A415">
        <v>551</v>
      </c>
      <c r="B415">
        <v>42</v>
      </c>
      <c r="C415" t="s">
        <v>36</v>
      </c>
      <c r="D415" t="s">
        <v>37</v>
      </c>
      <c r="E415" t="s">
        <v>38</v>
      </c>
      <c r="F415">
        <v>28</v>
      </c>
      <c r="G415" t="s">
        <v>47</v>
      </c>
      <c r="H415" t="s">
        <v>60</v>
      </c>
      <c r="I415" t="s">
        <v>31</v>
      </c>
      <c r="J415" t="s">
        <v>28</v>
      </c>
      <c r="K415" t="s">
        <v>27</v>
      </c>
      <c r="L415" t="s">
        <v>53</v>
      </c>
      <c r="M415" t="s">
        <v>31</v>
      </c>
      <c r="N415" t="s">
        <v>42</v>
      </c>
      <c r="O415">
        <v>4523</v>
      </c>
      <c r="P415">
        <v>0</v>
      </c>
      <c r="Q415" t="s">
        <v>36</v>
      </c>
      <c r="R415">
        <v>11</v>
      </c>
      <c r="S415" t="s">
        <v>33</v>
      </c>
      <c r="T415" t="s">
        <v>31</v>
      </c>
      <c r="U415">
        <v>4</v>
      </c>
      <c r="V415" t="s">
        <v>59</v>
      </c>
      <c r="W415" t="str">
        <f>IF(HR_Data[[#This Row],[age]]&lt;25,"Under 25",IF(HR_Data[[#This Row],[age]]&lt;35,"25-34",IF(HR_Data[[#This Row],[age]]&lt;45,"35-44",IF(HR_Data[[#This Row],[age]]&lt;55,"45-54","55+"))))</f>
        <v>35-44</v>
      </c>
      <c r="X415" t="str">
        <f t="shared" si="6"/>
        <v>3,000-4,999</v>
      </c>
    </row>
    <row r="416" spans="1:24" x14ac:dyDescent="0.3">
      <c r="A416">
        <v>554</v>
      </c>
      <c r="B416">
        <v>24</v>
      </c>
      <c r="C416" t="s">
        <v>22</v>
      </c>
      <c r="D416" t="s">
        <v>23</v>
      </c>
      <c r="E416" t="s">
        <v>24</v>
      </c>
      <c r="F416">
        <v>1</v>
      </c>
      <c r="G416" t="s">
        <v>39</v>
      </c>
      <c r="H416" t="s">
        <v>60</v>
      </c>
      <c r="I416" t="s">
        <v>34</v>
      </c>
      <c r="J416" t="s">
        <v>28</v>
      </c>
      <c r="K416" t="s">
        <v>29</v>
      </c>
      <c r="L416" t="s">
        <v>56</v>
      </c>
      <c r="M416" t="s">
        <v>27</v>
      </c>
      <c r="N416" t="s">
        <v>32</v>
      </c>
      <c r="O416">
        <v>3202</v>
      </c>
      <c r="P416">
        <v>1</v>
      </c>
      <c r="Q416" t="s">
        <v>22</v>
      </c>
      <c r="R416">
        <v>16</v>
      </c>
      <c r="S416" t="s">
        <v>33</v>
      </c>
      <c r="T416" t="s">
        <v>27</v>
      </c>
      <c r="U416">
        <v>4</v>
      </c>
      <c r="V416" t="s">
        <v>44</v>
      </c>
      <c r="W416" t="str">
        <f>IF(HR_Data[[#This Row],[age]]&lt;25,"Under 25",IF(HR_Data[[#This Row],[age]]&lt;35,"25-34",IF(HR_Data[[#This Row],[age]]&lt;45,"35-44",IF(HR_Data[[#This Row],[age]]&lt;55,"45-54","55+"))))</f>
        <v>Under 25</v>
      </c>
      <c r="X416" t="str">
        <f t="shared" si="6"/>
        <v>3,000-4,999</v>
      </c>
    </row>
    <row r="417" spans="1:24" x14ac:dyDescent="0.3">
      <c r="A417">
        <v>555</v>
      </c>
      <c r="B417">
        <v>34</v>
      </c>
      <c r="C417" t="s">
        <v>22</v>
      </c>
      <c r="D417" t="s">
        <v>37</v>
      </c>
      <c r="E417" t="s">
        <v>24</v>
      </c>
      <c r="F417">
        <v>6</v>
      </c>
      <c r="G417" t="s">
        <v>25</v>
      </c>
      <c r="H417" t="s">
        <v>58</v>
      </c>
      <c r="I417" t="s">
        <v>31</v>
      </c>
      <c r="J417" t="s">
        <v>28</v>
      </c>
      <c r="K417" t="s">
        <v>34</v>
      </c>
      <c r="L417" t="s">
        <v>56</v>
      </c>
      <c r="M417" t="s">
        <v>29</v>
      </c>
      <c r="N417" t="s">
        <v>51</v>
      </c>
      <c r="O417">
        <v>2351</v>
      </c>
      <c r="P417">
        <v>0</v>
      </c>
      <c r="Q417" t="s">
        <v>36</v>
      </c>
      <c r="R417">
        <v>16</v>
      </c>
      <c r="S417" t="s">
        <v>33</v>
      </c>
      <c r="T417" t="s">
        <v>31</v>
      </c>
      <c r="U417">
        <v>3</v>
      </c>
      <c r="V417" t="s">
        <v>49</v>
      </c>
      <c r="W417" t="str">
        <f>IF(HR_Data[[#This Row],[age]]&lt;25,"Under 25",IF(HR_Data[[#This Row],[age]]&lt;35,"25-34",IF(HR_Data[[#This Row],[age]]&lt;45,"35-44",IF(HR_Data[[#This Row],[age]]&lt;55,"45-54","55+"))))</f>
        <v>25-34</v>
      </c>
      <c r="X417" t="str">
        <f t="shared" si="6"/>
        <v>Below 3,000</v>
      </c>
    </row>
    <row r="418" spans="1:24" x14ac:dyDescent="0.3">
      <c r="A418">
        <v>556</v>
      </c>
      <c r="B418">
        <v>38</v>
      </c>
      <c r="C418" t="s">
        <v>36</v>
      </c>
      <c r="D418" t="s">
        <v>37</v>
      </c>
      <c r="E418" t="s">
        <v>38</v>
      </c>
      <c r="F418">
        <v>2</v>
      </c>
      <c r="G418" t="s">
        <v>25</v>
      </c>
      <c r="H418" t="s">
        <v>26</v>
      </c>
      <c r="I418" t="s">
        <v>31</v>
      </c>
      <c r="J418" t="s">
        <v>40</v>
      </c>
      <c r="K418" t="s">
        <v>29</v>
      </c>
      <c r="L418" t="s">
        <v>46</v>
      </c>
      <c r="M418" t="s">
        <v>31</v>
      </c>
      <c r="N418" t="s">
        <v>42</v>
      </c>
      <c r="O418">
        <v>1702</v>
      </c>
      <c r="P418">
        <v>1</v>
      </c>
      <c r="Q418" t="s">
        <v>22</v>
      </c>
      <c r="R418">
        <v>23</v>
      </c>
      <c r="S418" t="s">
        <v>43</v>
      </c>
      <c r="T418" t="s">
        <v>29</v>
      </c>
      <c r="U418">
        <v>3</v>
      </c>
      <c r="V418" t="s">
        <v>44</v>
      </c>
      <c r="W418" t="str">
        <f>IF(HR_Data[[#This Row],[age]]&lt;25,"Under 25",IF(HR_Data[[#This Row],[age]]&lt;35,"25-34",IF(HR_Data[[#This Row],[age]]&lt;45,"35-44",IF(HR_Data[[#This Row],[age]]&lt;55,"45-54","55+"))))</f>
        <v>35-44</v>
      </c>
      <c r="X418" t="str">
        <f t="shared" si="6"/>
        <v>Below 3,000</v>
      </c>
    </row>
    <row r="419" spans="1:24" x14ac:dyDescent="0.3">
      <c r="A419">
        <v>558</v>
      </c>
      <c r="B419">
        <v>40</v>
      </c>
      <c r="C419" t="s">
        <v>36</v>
      </c>
      <c r="D419" t="s">
        <v>23</v>
      </c>
      <c r="E419" t="s">
        <v>24</v>
      </c>
      <c r="F419">
        <v>2</v>
      </c>
      <c r="G419" t="s">
        <v>47</v>
      </c>
      <c r="H419" t="s">
        <v>26</v>
      </c>
      <c r="I419" t="s">
        <v>29</v>
      </c>
      <c r="J419" t="s">
        <v>28</v>
      </c>
      <c r="K419" t="s">
        <v>29</v>
      </c>
      <c r="L419" t="s">
        <v>55</v>
      </c>
      <c r="M419" t="s">
        <v>29</v>
      </c>
      <c r="N419" t="s">
        <v>42</v>
      </c>
      <c r="O419">
        <v>18041</v>
      </c>
      <c r="P419">
        <v>0</v>
      </c>
      <c r="Q419" t="s">
        <v>36</v>
      </c>
      <c r="R419">
        <v>14</v>
      </c>
      <c r="S419" t="s">
        <v>33</v>
      </c>
      <c r="T419" t="s">
        <v>31</v>
      </c>
      <c r="U419">
        <v>2</v>
      </c>
      <c r="V419" t="s">
        <v>44</v>
      </c>
      <c r="W419" t="str">
        <f>IF(HR_Data[[#This Row],[age]]&lt;25,"Under 25",IF(HR_Data[[#This Row],[age]]&lt;35,"25-34",IF(HR_Data[[#This Row],[age]]&lt;45,"35-44",IF(HR_Data[[#This Row],[age]]&lt;55,"45-54","55+"))))</f>
        <v>35-44</v>
      </c>
      <c r="X419" t="str">
        <f t="shared" si="6"/>
        <v>8,000+</v>
      </c>
    </row>
    <row r="420" spans="1:24" x14ac:dyDescent="0.3">
      <c r="A420">
        <v>560</v>
      </c>
      <c r="B420">
        <v>26</v>
      </c>
      <c r="C420" t="s">
        <v>36</v>
      </c>
      <c r="D420" t="s">
        <v>23</v>
      </c>
      <c r="E420" t="s">
        <v>38</v>
      </c>
      <c r="F420">
        <v>23</v>
      </c>
      <c r="G420" t="s">
        <v>50</v>
      </c>
      <c r="H420" t="s">
        <v>26</v>
      </c>
      <c r="I420" t="s">
        <v>34</v>
      </c>
      <c r="J420" t="s">
        <v>28</v>
      </c>
      <c r="K420" t="s">
        <v>29</v>
      </c>
      <c r="L420" t="s">
        <v>41</v>
      </c>
      <c r="M420" t="s">
        <v>31</v>
      </c>
      <c r="N420" t="s">
        <v>51</v>
      </c>
      <c r="O420">
        <v>2886</v>
      </c>
      <c r="P420">
        <v>1</v>
      </c>
      <c r="Q420" t="s">
        <v>36</v>
      </c>
      <c r="R420">
        <v>22</v>
      </c>
      <c r="S420" t="s">
        <v>43</v>
      </c>
      <c r="T420" t="s">
        <v>27</v>
      </c>
      <c r="U420">
        <v>3</v>
      </c>
      <c r="V420" t="s">
        <v>35</v>
      </c>
      <c r="W420" t="str">
        <f>IF(HR_Data[[#This Row],[age]]&lt;25,"Under 25",IF(HR_Data[[#This Row],[age]]&lt;35,"25-34",IF(HR_Data[[#This Row],[age]]&lt;45,"35-44",IF(HR_Data[[#This Row],[age]]&lt;55,"45-54","55+"))))</f>
        <v>25-34</v>
      </c>
      <c r="X420" t="str">
        <f t="shared" si="6"/>
        <v>Below 3,000</v>
      </c>
    </row>
    <row r="421" spans="1:24" x14ac:dyDescent="0.3">
      <c r="A421">
        <v>562</v>
      </c>
      <c r="B421">
        <v>30</v>
      </c>
      <c r="C421" t="s">
        <v>36</v>
      </c>
      <c r="D421" t="s">
        <v>54</v>
      </c>
      <c r="E421" t="s">
        <v>38</v>
      </c>
      <c r="F421">
        <v>3</v>
      </c>
      <c r="G421" t="s">
        <v>50</v>
      </c>
      <c r="H421" t="s">
        <v>26</v>
      </c>
      <c r="I421" t="s">
        <v>29</v>
      </c>
      <c r="J421" t="s">
        <v>40</v>
      </c>
      <c r="K421" t="s">
        <v>29</v>
      </c>
      <c r="L421" t="s">
        <v>46</v>
      </c>
      <c r="M421" t="s">
        <v>31</v>
      </c>
      <c r="N421" t="s">
        <v>42</v>
      </c>
      <c r="O421">
        <v>2097</v>
      </c>
      <c r="P421">
        <v>4</v>
      </c>
      <c r="Q421" t="s">
        <v>36</v>
      </c>
      <c r="R421">
        <v>15</v>
      </c>
      <c r="S421" t="s">
        <v>33</v>
      </c>
      <c r="T421" t="s">
        <v>29</v>
      </c>
      <c r="U421">
        <v>3</v>
      </c>
      <c r="V421" t="s">
        <v>35</v>
      </c>
      <c r="W421" t="str">
        <f>IF(HR_Data[[#This Row],[age]]&lt;25,"Under 25",IF(HR_Data[[#This Row],[age]]&lt;35,"25-34",IF(HR_Data[[#This Row],[age]]&lt;45,"35-44",IF(HR_Data[[#This Row],[age]]&lt;55,"45-54","55+"))))</f>
        <v>25-34</v>
      </c>
      <c r="X421" t="str">
        <f t="shared" si="6"/>
        <v>Below 3,000</v>
      </c>
    </row>
    <row r="422" spans="1:24" x14ac:dyDescent="0.3">
      <c r="A422">
        <v>564</v>
      </c>
      <c r="B422">
        <v>29</v>
      </c>
      <c r="C422" t="s">
        <v>36</v>
      </c>
      <c r="D422" t="s">
        <v>23</v>
      </c>
      <c r="E422" t="s">
        <v>38</v>
      </c>
      <c r="F422">
        <v>3</v>
      </c>
      <c r="G422" t="s">
        <v>47</v>
      </c>
      <c r="H422" t="s">
        <v>48</v>
      </c>
      <c r="I422" t="s">
        <v>27</v>
      </c>
      <c r="J422" t="s">
        <v>40</v>
      </c>
      <c r="K422" t="s">
        <v>27</v>
      </c>
      <c r="L422" t="s">
        <v>57</v>
      </c>
      <c r="M422" t="s">
        <v>29</v>
      </c>
      <c r="N422" t="s">
        <v>42</v>
      </c>
      <c r="O422">
        <v>11935</v>
      </c>
      <c r="P422">
        <v>1</v>
      </c>
      <c r="Q422" t="s">
        <v>36</v>
      </c>
      <c r="R422">
        <v>18</v>
      </c>
      <c r="S422" t="s">
        <v>33</v>
      </c>
      <c r="T422" t="s">
        <v>29</v>
      </c>
      <c r="U422">
        <v>2</v>
      </c>
      <c r="V422" t="s">
        <v>44</v>
      </c>
      <c r="W422" t="str">
        <f>IF(HR_Data[[#This Row],[age]]&lt;25,"Under 25",IF(HR_Data[[#This Row],[age]]&lt;35,"25-34",IF(HR_Data[[#This Row],[age]]&lt;45,"35-44",IF(HR_Data[[#This Row],[age]]&lt;55,"45-54","55+"))))</f>
        <v>25-34</v>
      </c>
      <c r="X422" t="str">
        <f t="shared" si="6"/>
        <v>8,000+</v>
      </c>
    </row>
    <row r="423" spans="1:24" x14ac:dyDescent="0.3">
      <c r="A423">
        <v>565</v>
      </c>
      <c r="B423">
        <v>29</v>
      </c>
      <c r="C423" t="s">
        <v>22</v>
      </c>
      <c r="D423" t="s">
        <v>23</v>
      </c>
      <c r="E423" t="s">
        <v>38</v>
      </c>
      <c r="F423">
        <v>25</v>
      </c>
      <c r="G423" t="s">
        <v>61</v>
      </c>
      <c r="H423" t="s">
        <v>60</v>
      </c>
      <c r="I423" t="s">
        <v>29</v>
      </c>
      <c r="J423" t="s">
        <v>28</v>
      </c>
      <c r="K423" t="s">
        <v>27</v>
      </c>
      <c r="L423" t="s">
        <v>41</v>
      </c>
      <c r="M423" t="s">
        <v>27</v>
      </c>
      <c r="N423" t="s">
        <v>42</v>
      </c>
      <c r="O423">
        <v>2546</v>
      </c>
      <c r="P423">
        <v>5</v>
      </c>
      <c r="Q423" t="s">
        <v>36</v>
      </c>
      <c r="R423">
        <v>16</v>
      </c>
      <c r="S423" t="s">
        <v>33</v>
      </c>
      <c r="T423" t="s">
        <v>27</v>
      </c>
      <c r="U423">
        <v>2</v>
      </c>
      <c r="V423" t="s">
        <v>59</v>
      </c>
      <c r="W423" t="str">
        <f>IF(HR_Data[[#This Row],[age]]&lt;25,"Under 25",IF(HR_Data[[#This Row],[age]]&lt;35,"25-34",IF(HR_Data[[#This Row],[age]]&lt;45,"35-44",IF(HR_Data[[#This Row],[age]]&lt;55,"45-54","55+"))))</f>
        <v>25-34</v>
      </c>
      <c r="X423" t="str">
        <f t="shared" si="6"/>
        <v>Below 3,000</v>
      </c>
    </row>
    <row r="424" spans="1:24" x14ac:dyDescent="0.3">
      <c r="A424">
        <v>566</v>
      </c>
      <c r="B424">
        <v>19</v>
      </c>
      <c r="C424" t="s">
        <v>22</v>
      </c>
      <c r="D424" t="s">
        <v>23</v>
      </c>
      <c r="E424" t="s">
        <v>62</v>
      </c>
      <c r="F424">
        <v>2</v>
      </c>
      <c r="G424" t="s">
        <v>25</v>
      </c>
      <c r="H424" t="s">
        <v>60</v>
      </c>
      <c r="I424" t="s">
        <v>34</v>
      </c>
      <c r="J424" t="s">
        <v>40</v>
      </c>
      <c r="K424" t="s">
        <v>27</v>
      </c>
      <c r="L424" t="s">
        <v>62</v>
      </c>
      <c r="M424" t="s">
        <v>31</v>
      </c>
      <c r="N424" t="s">
        <v>32</v>
      </c>
      <c r="O424">
        <v>2564</v>
      </c>
      <c r="P424">
        <v>1</v>
      </c>
      <c r="Q424" t="s">
        <v>36</v>
      </c>
      <c r="R424">
        <v>12</v>
      </c>
      <c r="S424" t="s">
        <v>33</v>
      </c>
      <c r="T424" t="s">
        <v>29</v>
      </c>
      <c r="U424">
        <v>3</v>
      </c>
      <c r="V424" t="s">
        <v>59</v>
      </c>
      <c r="W424" t="str">
        <f>IF(HR_Data[[#This Row],[age]]&lt;25,"Under 25",IF(HR_Data[[#This Row],[age]]&lt;35,"25-34",IF(HR_Data[[#This Row],[age]]&lt;45,"35-44",IF(HR_Data[[#This Row],[age]]&lt;55,"45-54","55+"))))</f>
        <v>Under 25</v>
      </c>
      <c r="X424" t="str">
        <f t="shared" si="6"/>
        <v>Below 3,000</v>
      </c>
    </row>
    <row r="425" spans="1:24" x14ac:dyDescent="0.3">
      <c r="A425">
        <v>567</v>
      </c>
      <c r="B425">
        <v>30</v>
      </c>
      <c r="C425" t="s">
        <v>36</v>
      </c>
      <c r="D425" t="s">
        <v>54</v>
      </c>
      <c r="E425" t="s">
        <v>24</v>
      </c>
      <c r="F425">
        <v>22</v>
      </c>
      <c r="G425" t="s">
        <v>47</v>
      </c>
      <c r="H425" t="s">
        <v>45</v>
      </c>
      <c r="I425" t="s">
        <v>29</v>
      </c>
      <c r="J425" t="s">
        <v>28</v>
      </c>
      <c r="K425" t="s">
        <v>29</v>
      </c>
      <c r="L425" t="s">
        <v>30</v>
      </c>
      <c r="M425" t="s">
        <v>34</v>
      </c>
      <c r="N425" t="s">
        <v>42</v>
      </c>
      <c r="O425">
        <v>8412</v>
      </c>
      <c r="P425">
        <v>0</v>
      </c>
      <c r="Q425" t="s">
        <v>36</v>
      </c>
      <c r="R425">
        <v>11</v>
      </c>
      <c r="S425" t="s">
        <v>33</v>
      </c>
      <c r="T425" t="s">
        <v>29</v>
      </c>
      <c r="U425">
        <v>3</v>
      </c>
      <c r="V425" t="s">
        <v>44</v>
      </c>
      <c r="W425" t="str">
        <f>IF(HR_Data[[#This Row],[age]]&lt;25,"Under 25",IF(HR_Data[[#This Row],[age]]&lt;35,"25-34",IF(HR_Data[[#This Row],[age]]&lt;45,"35-44",IF(HR_Data[[#This Row],[age]]&lt;55,"45-54","55+"))))</f>
        <v>25-34</v>
      </c>
      <c r="X425" t="str">
        <f t="shared" si="6"/>
        <v>8,000+</v>
      </c>
    </row>
    <row r="426" spans="1:24" x14ac:dyDescent="0.3">
      <c r="A426">
        <v>568</v>
      </c>
      <c r="B426">
        <v>57</v>
      </c>
      <c r="C426" t="s">
        <v>36</v>
      </c>
      <c r="D426" t="s">
        <v>23</v>
      </c>
      <c r="E426" t="s">
        <v>24</v>
      </c>
      <c r="F426">
        <v>29</v>
      </c>
      <c r="G426" t="s">
        <v>50</v>
      </c>
      <c r="H426" t="s">
        <v>58</v>
      </c>
      <c r="I426" t="s">
        <v>34</v>
      </c>
      <c r="J426" t="s">
        <v>40</v>
      </c>
      <c r="K426" t="s">
        <v>27</v>
      </c>
      <c r="L426" t="s">
        <v>55</v>
      </c>
      <c r="M426" t="s">
        <v>31</v>
      </c>
      <c r="N426" t="s">
        <v>51</v>
      </c>
      <c r="O426">
        <v>14118</v>
      </c>
      <c r="P426">
        <v>3</v>
      </c>
      <c r="Q426" t="s">
        <v>36</v>
      </c>
      <c r="R426">
        <v>12</v>
      </c>
      <c r="S426" t="s">
        <v>33</v>
      </c>
      <c r="T426" t="s">
        <v>29</v>
      </c>
      <c r="U426">
        <v>3</v>
      </c>
      <c r="V426" t="s">
        <v>49</v>
      </c>
      <c r="W426" t="str">
        <f>IF(HR_Data[[#This Row],[age]]&lt;25,"Under 25",IF(HR_Data[[#This Row],[age]]&lt;35,"25-34",IF(HR_Data[[#This Row],[age]]&lt;45,"35-44",IF(HR_Data[[#This Row],[age]]&lt;55,"45-54","55+"))))</f>
        <v>55+</v>
      </c>
      <c r="X426" t="str">
        <f t="shared" si="6"/>
        <v>8,000+</v>
      </c>
    </row>
    <row r="427" spans="1:24" x14ac:dyDescent="0.3">
      <c r="A427">
        <v>569</v>
      </c>
      <c r="B427">
        <v>50</v>
      </c>
      <c r="C427" t="s">
        <v>36</v>
      </c>
      <c r="D427" t="s">
        <v>23</v>
      </c>
      <c r="E427" t="s">
        <v>38</v>
      </c>
      <c r="F427">
        <v>29</v>
      </c>
      <c r="G427" t="s">
        <v>47</v>
      </c>
      <c r="H427" t="s">
        <v>26</v>
      </c>
      <c r="I427" t="s">
        <v>27</v>
      </c>
      <c r="J427" t="s">
        <v>40</v>
      </c>
      <c r="K427" t="s">
        <v>27</v>
      </c>
      <c r="L427" t="s">
        <v>55</v>
      </c>
      <c r="M427" t="s">
        <v>29</v>
      </c>
      <c r="N427" t="s">
        <v>42</v>
      </c>
      <c r="O427">
        <v>17046</v>
      </c>
      <c r="P427">
        <v>0</v>
      </c>
      <c r="Q427" t="s">
        <v>36</v>
      </c>
      <c r="R427">
        <v>15</v>
      </c>
      <c r="S427" t="s">
        <v>33</v>
      </c>
      <c r="T427" t="s">
        <v>27</v>
      </c>
      <c r="U427">
        <v>2</v>
      </c>
      <c r="V427" t="s">
        <v>44</v>
      </c>
      <c r="W427" t="str">
        <f>IF(HR_Data[[#This Row],[age]]&lt;25,"Under 25",IF(HR_Data[[#This Row],[age]]&lt;35,"25-34",IF(HR_Data[[#This Row],[age]]&lt;45,"35-44",IF(HR_Data[[#This Row],[age]]&lt;55,"45-54","55+"))))</f>
        <v>45-54</v>
      </c>
      <c r="X427" t="str">
        <f t="shared" si="6"/>
        <v>8,000+</v>
      </c>
    </row>
    <row r="428" spans="1:24" x14ac:dyDescent="0.3">
      <c r="A428">
        <v>571</v>
      </c>
      <c r="B428">
        <v>30</v>
      </c>
      <c r="C428" t="s">
        <v>36</v>
      </c>
      <c r="D428" t="s">
        <v>54</v>
      </c>
      <c r="E428" t="s">
        <v>38</v>
      </c>
      <c r="F428">
        <v>2</v>
      </c>
      <c r="G428" t="s">
        <v>50</v>
      </c>
      <c r="H428" t="s">
        <v>48</v>
      </c>
      <c r="I428" t="s">
        <v>29</v>
      </c>
      <c r="J428" t="s">
        <v>28</v>
      </c>
      <c r="K428" t="s">
        <v>29</v>
      </c>
      <c r="L428" t="s">
        <v>46</v>
      </c>
      <c r="M428" t="s">
        <v>31</v>
      </c>
      <c r="N428" t="s">
        <v>32</v>
      </c>
      <c r="O428">
        <v>2564</v>
      </c>
      <c r="P428">
        <v>0</v>
      </c>
      <c r="Q428" t="s">
        <v>36</v>
      </c>
      <c r="R428">
        <v>14</v>
      </c>
      <c r="S428" t="s">
        <v>33</v>
      </c>
      <c r="T428" t="s">
        <v>29</v>
      </c>
      <c r="U428">
        <v>2</v>
      </c>
      <c r="V428" t="s">
        <v>49</v>
      </c>
      <c r="W428" t="str">
        <f>IF(HR_Data[[#This Row],[age]]&lt;25,"Under 25",IF(HR_Data[[#This Row],[age]]&lt;35,"25-34",IF(HR_Data[[#This Row],[age]]&lt;45,"35-44",IF(HR_Data[[#This Row],[age]]&lt;55,"45-54","55+"))))</f>
        <v>25-34</v>
      </c>
      <c r="X428" t="str">
        <f t="shared" si="6"/>
        <v>Below 3,000</v>
      </c>
    </row>
    <row r="429" spans="1:24" x14ac:dyDescent="0.3">
      <c r="A429">
        <v>573</v>
      </c>
      <c r="B429">
        <v>60</v>
      </c>
      <c r="C429" t="s">
        <v>36</v>
      </c>
      <c r="D429" t="s">
        <v>37</v>
      </c>
      <c r="E429" t="s">
        <v>24</v>
      </c>
      <c r="F429">
        <v>28</v>
      </c>
      <c r="G429" t="s">
        <v>50</v>
      </c>
      <c r="H429" t="s">
        <v>58</v>
      </c>
      <c r="I429" t="s">
        <v>29</v>
      </c>
      <c r="J429" t="s">
        <v>28</v>
      </c>
      <c r="K429" t="s">
        <v>27</v>
      </c>
      <c r="L429" t="s">
        <v>30</v>
      </c>
      <c r="M429" t="s">
        <v>34</v>
      </c>
      <c r="N429" t="s">
        <v>42</v>
      </c>
      <c r="O429">
        <v>10266</v>
      </c>
      <c r="P429">
        <v>4</v>
      </c>
      <c r="Q429" t="s">
        <v>36</v>
      </c>
      <c r="R429">
        <v>19</v>
      </c>
      <c r="S429" t="s">
        <v>33</v>
      </c>
      <c r="T429" t="s">
        <v>31</v>
      </c>
      <c r="U429">
        <v>5</v>
      </c>
      <c r="V429" t="s">
        <v>59</v>
      </c>
      <c r="W429" t="str">
        <f>IF(HR_Data[[#This Row],[age]]&lt;25,"Under 25",IF(HR_Data[[#This Row],[age]]&lt;35,"25-34",IF(HR_Data[[#This Row],[age]]&lt;45,"35-44",IF(HR_Data[[#This Row],[age]]&lt;55,"45-54","55+"))))</f>
        <v>55+</v>
      </c>
      <c r="X429" t="str">
        <f t="shared" si="6"/>
        <v>8,000+</v>
      </c>
    </row>
    <row r="430" spans="1:24" x14ac:dyDescent="0.3">
      <c r="A430">
        <v>574</v>
      </c>
      <c r="B430">
        <v>47</v>
      </c>
      <c r="C430" t="s">
        <v>36</v>
      </c>
      <c r="D430" t="s">
        <v>23</v>
      </c>
      <c r="E430" t="s">
        <v>38</v>
      </c>
      <c r="F430">
        <v>2</v>
      </c>
      <c r="G430" t="s">
        <v>25</v>
      </c>
      <c r="H430" t="s">
        <v>48</v>
      </c>
      <c r="I430" t="s">
        <v>34</v>
      </c>
      <c r="J430" t="s">
        <v>28</v>
      </c>
      <c r="K430" t="s">
        <v>29</v>
      </c>
      <c r="L430" t="s">
        <v>52</v>
      </c>
      <c r="M430" t="s">
        <v>31</v>
      </c>
      <c r="N430" t="s">
        <v>51</v>
      </c>
      <c r="O430">
        <v>5070</v>
      </c>
      <c r="P430">
        <v>5</v>
      </c>
      <c r="Q430" t="s">
        <v>36</v>
      </c>
      <c r="R430">
        <v>13</v>
      </c>
      <c r="S430" t="s">
        <v>33</v>
      </c>
      <c r="T430" t="s">
        <v>29</v>
      </c>
      <c r="U430">
        <v>2</v>
      </c>
      <c r="V430" t="s">
        <v>44</v>
      </c>
      <c r="W430" t="str">
        <f>IF(HR_Data[[#This Row],[age]]&lt;25,"Under 25",IF(HR_Data[[#This Row],[age]]&lt;35,"25-34",IF(HR_Data[[#This Row],[age]]&lt;45,"35-44",IF(HR_Data[[#This Row],[age]]&lt;55,"45-54","55+"))))</f>
        <v>45-54</v>
      </c>
      <c r="X430" t="str">
        <f t="shared" si="6"/>
        <v>5,000-7,999</v>
      </c>
    </row>
    <row r="431" spans="1:24" x14ac:dyDescent="0.3">
      <c r="A431">
        <v>575</v>
      </c>
      <c r="B431">
        <v>46</v>
      </c>
      <c r="C431" t="s">
        <v>36</v>
      </c>
      <c r="D431" t="s">
        <v>23</v>
      </c>
      <c r="E431" t="s">
        <v>38</v>
      </c>
      <c r="F431">
        <v>2</v>
      </c>
      <c r="G431" t="s">
        <v>50</v>
      </c>
      <c r="H431" t="s">
        <v>26</v>
      </c>
      <c r="I431" t="s">
        <v>34</v>
      </c>
      <c r="J431" t="s">
        <v>40</v>
      </c>
      <c r="K431" t="s">
        <v>29</v>
      </c>
      <c r="L431" t="s">
        <v>57</v>
      </c>
      <c r="M431" t="s">
        <v>29</v>
      </c>
      <c r="N431" t="s">
        <v>42</v>
      </c>
      <c r="O431">
        <v>17861</v>
      </c>
      <c r="P431">
        <v>6</v>
      </c>
      <c r="Q431" t="s">
        <v>36</v>
      </c>
      <c r="R431">
        <v>13</v>
      </c>
      <c r="S431" t="s">
        <v>33</v>
      </c>
      <c r="T431" t="s">
        <v>29</v>
      </c>
      <c r="U431">
        <v>2</v>
      </c>
      <c r="V431" t="s">
        <v>35</v>
      </c>
      <c r="W431" t="str">
        <f>IF(HR_Data[[#This Row],[age]]&lt;25,"Under 25",IF(HR_Data[[#This Row],[age]]&lt;35,"25-34",IF(HR_Data[[#This Row],[age]]&lt;45,"35-44",IF(HR_Data[[#This Row],[age]]&lt;55,"45-54","55+"))))</f>
        <v>45-54</v>
      </c>
      <c r="X431" t="str">
        <f t="shared" si="6"/>
        <v>8,000+</v>
      </c>
    </row>
    <row r="432" spans="1:24" x14ac:dyDescent="0.3">
      <c r="A432">
        <v>577</v>
      </c>
      <c r="B432">
        <v>35</v>
      </c>
      <c r="C432" t="s">
        <v>36</v>
      </c>
      <c r="D432" t="s">
        <v>23</v>
      </c>
      <c r="E432" t="s">
        <v>38</v>
      </c>
      <c r="F432">
        <v>22</v>
      </c>
      <c r="G432" t="s">
        <v>50</v>
      </c>
      <c r="H432" t="s">
        <v>26</v>
      </c>
      <c r="I432" t="s">
        <v>31</v>
      </c>
      <c r="J432" t="s">
        <v>40</v>
      </c>
      <c r="K432" t="s">
        <v>34</v>
      </c>
      <c r="L432" t="s">
        <v>46</v>
      </c>
      <c r="M432" t="s">
        <v>29</v>
      </c>
      <c r="N432" t="s">
        <v>32</v>
      </c>
      <c r="O432">
        <v>4230</v>
      </c>
      <c r="P432">
        <v>0</v>
      </c>
      <c r="Q432" t="s">
        <v>36</v>
      </c>
      <c r="R432">
        <v>15</v>
      </c>
      <c r="S432" t="s">
        <v>33</v>
      </c>
      <c r="T432" t="s">
        <v>29</v>
      </c>
      <c r="U432">
        <v>2</v>
      </c>
      <c r="V432" t="s">
        <v>44</v>
      </c>
      <c r="W432" t="str">
        <f>IF(HR_Data[[#This Row],[age]]&lt;25,"Under 25",IF(HR_Data[[#This Row],[age]]&lt;35,"25-34",IF(HR_Data[[#This Row],[age]]&lt;45,"35-44",IF(HR_Data[[#This Row],[age]]&lt;55,"45-54","55+"))))</f>
        <v>35-44</v>
      </c>
      <c r="X432" t="str">
        <f t="shared" si="6"/>
        <v>3,000-4,999</v>
      </c>
    </row>
    <row r="433" spans="1:24" x14ac:dyDescent="0.3">
      <c r="A433">
        <v>578</v>
      </c>
      <c r="B433">
        <v>54</v>
      </c>
      <c r="C433" t="s">
        <v>36</v>
      </c>
      <c r="D433" t="s">
        <v>23</v>
      </c>
      <c r="E433" t="s">
        <v>38</v>
      </c>
      <c r="F433">
        <v>8</v>
      </c>
      <c r="G433" t="s">
        <v>47</v>
      </c>
      <c r="H433" t="s">
        <v>26</v>
      </c>
      <c r="I433" t="s">
        <v>29</v>
      </c>
      <c r="J433" t="s">
        <v>28</v>
      </c>
      <c r="K433" t="s">
        <v>29</v>
      </c>
      <c r="L433" t="s">
        <v>46</v>
      </c>
      <c r="M433" t="s">
        <v>29</v>
      </c>
      <c r="N433" t="s">
        <v>32</v>
      </c>
      <c r="O433">
        <v>3780</v>
      </c>
      <c r="P433">
        <v>7</v>
      </c>
      <c r="Q433" t="s">
        <v>36</v>
      </c>
      <c r="R433">
        <v>11</v>
      </c>
      <c r="S433" t="s">
        <v>33</v>
      </c>
      <c r="T433" t="s">
        <v>29</v>
      </c>
      <c r="U433">
        <v>3</v>
      </c>
      <c r="V433" t="s">
        <v>44</v>
      </c>
      <c r="W433" t="str">
        <f>IF(HR_Data[[#This Row],[age]]&lt;25,"Under 25",IF(HR_Data[[#This Row],[age]]&lt;35,"25-34",IF(HR_Data[[#This Row],[age]]&lt;45,"35-44",IF(HR_Data[[#This Row],[age]]&lt;55,"45-54","55+"))))</f>
        <v>45-54</v>
      </c>
      <c r="X433" t="str">
        <f t="shared" si="6"/>
        <v>3,000-4,999</v>
      </c>
    </row>
    <row r="434" spans="1:24" x14ac:dyDescent="0.3">
      <c r="A434">
        <v>579</v>
      </c>
      <c r="B434">
        <v>34</v>
      </c>
      <c r="C434" t="s">
        <v>36</v>
      </c>
      <c r="D434" t="s">
        <v>23</v>
      </c>
      <c r="E434" t="s">
        <v>38</v>
      </c>
      <c r="F434">
        <v>2</v>
      </c>
      <c r="G434" t="s">
        <v>47</v>
      </c>
      <c r="H434" t="s">
        <v>26</v>
      </c>
      <c r="I434" t="s">
        <v>31</v>
      </c>
      <c r="J434" t="s">
        <v>40</v>
      </c>
      <c r="K434" t="s">
        <v>27</v>
      </c>
      <c r="L434" t="s">
        <v>41</v>
      </c>
      <c r="M434" t="s">
        <v>29</v>
      </c>
      <c r="N434" t="s">
        <v>51</v>
      </c>
      <c r="O434">
        <v>2768</v>
      </c>
      <c r="P434">
        <v>3</v>
      </c>
      <c r="Q434" t="s">
        <v>36</v>
      </c>
      <c r="R434">
        <v>12</v>
      </c>
      <c r="S434" t="s">
        <v>33</v>
      </c>
      <c r="T434" t="s">
        <v>29</v>
      </c>
      <c r="U434">
        <v>3</v>
      </c>
      <c r="V434" t="s">
        <v>44</v>
      </c>
      <c r="W434" t="str">
        <f>IF(HR_Data[[#This Row],[age]]&lt;25,"Under 25",IF(HR_Data[[#This Row],[age]]&lt;35,"25-34",IF(HR_Data[[#This Row],[age]]&lt;45,"35-44",IF(HR_Data[[#This Row],[age]]&lt;55,"45-54","55+"))))</f>
        <v>25-34</v>
      </c>
      <c r="X434" t="str">
        <f t="shared" si="6"/>
        <v>Below 3,000</v>
      </c>
    </row>
    <row r="435" spans="1:24" x14ac:dyDescent="0.3">
      <c r="A435">
        <v>580</v>
      </c>
      <c r="B435">
        <v>46</v>
      </c>
      <c r="C435" t="s">
        <v>36</v>
      </c>
      <c r="D435" t="s">
        <v>23</v>
      </c>
      <c r="E435" t="s">
        <v>24</v>
      </c>
      <c r="F435">
        <v>10</v>
      </c>
      <c r="G435" t="s">
        <v>50</v>
      </c>
      <c r="H435" t="s">
        <v>58</v>
      </c>
      <c r="I435" t="s">
        <v>29</v>
      </c>
      <c r="J435" t="s">
        <v>28</v>
      </c>
      <c r="K435" t="s">
        <v>27</v>
      </c>
      <c r="L435" t="s">
        <v>30</v>
      </c>
      <c r="M435" t="s">
        <v>31</v>
      </c>
      <c r="N435" t="s">
        <v>42</v>
      </c>
      <c r="O435">
        <v>9071</v>
      </c>
      <c r="P435">
        <v>2</v>
      </c>
      <c r="Q435" t="s">
        <v>22</v>
      </c>
      <c r="R435">
        <v>19</v>
      </c>
      <c r="S435" t="s">
        <v>33</v>
      </c>
      <c r="T435" t="s">
        <v>29</v>
      </c>
      <c r="U435">
        <v>3</v>
      </c>
      <c r="V435" t="s">
        <v>44</v>
      </c>
      <c r="W435" t="str">
        <f>IF(HR_Data[[#This Row],[age]]&lt;25,"Under 25",IF(HR_Data[[#This Row],[age]]&lt;35,"25-34",IF(HR_Data[[#This Row],[age]]&lt;45,"35-44",IF(HR_Data[[#This Row],[age]]&lt;55,"45-54","55+"))))</f>
        <v>45-54</v>
      </c>
      <c r="X435" t="str">
        <f t="shared" si="6"/>
        <v>8,000+</v>
      </c>
    </row>
    <row r="436" spans="1:24" x14ac:dyDescent="0.3">
      <c r="A436">
        <v>581</v>
      </c>
      <c r="B436">
        <v>31</v>
      </c>
      <c r="C436" t="s">
        <v>36</v>
      </c>
      <c r="D436" t="s">
        <v>23</v>
      </c>
      <c r="E436" t="s">
        <v>38</v>
      </c>
      <c r="F436">
        <v>9</v>
      </c>
      <c r="G436" t="s">
        <v>39</v>
      </c>
      <c r="H436" t="s">
        <v>26</v>
      </c>
      <c r="I436" t="s">
        <v>29</v>
      </c>
      <c r="J436" t="s">
        <v>40</v>
      </c>
      <c r="K436" t="s">
        <v>29</v>
      </c>
      <c r="L436" t="s">
        <v>52</v>
      </c>
      <c r="M436" t="s">
        <v>27</v>
      </c>
      <c r="N436" t="s">
        <v>51</v>
      </c>
      <c r="O436">
        <v>10648</v>
      </c>
      <c r="P436">
        <v>1</v>
      </c>
      <c r="Q436" t="s">
        <v>36</v>
      </c>
      <c r="R436">
        <v>25</v>
      </c>
      <c r="S436" t="s">
        <v>43</v>
      </c>
      <c r="T436" t="s">
        <v>31</v>
      </c>
      <c r="U436">
        <v>6</v>
      </c>
      <c r="V436" t="s">
        <v>59</v>
      </c>
      <c r="W436" t="str">
        <f>IF(HR_Data[[#This Row],[age]]&lt;25,"Under 25",IF(HR_Data[[#This Row],[age]]&lt;35,"25-34",IF(HR_Data[[#This Row],[age]]&lt;45,"35-44",IF(HR_Data[[#This Row],[age]]&lt;55,"45-54","55+"))))</f>
        <v>25-34</v>
      </c>
      <c r="X436" t="str">
        <f t="shared" si="6"/>
        <v>8,000+</v>
      </c>
    </row>
    <row r="437" spans="1:24" x14ac:dyDescent="0.3">
      <c r="A437">
        <v>582</v>
      </c>
      <c r="B437">
        <v>33</v>
      </c>
      <c r="C437" t="s">
        <v>22</v>
      </c>
      <c r="D437" t="s">
        <v>23</v>
      </c>
      <c r="E437" t="s">
        <v>38</v>
      </c>
      <c r="F437">
        <v>15</v>
      </c>
      <c r="G437" t="s">
        <v>39</v>
      </c>
      <c r="H437" t="s">
        <v>48</v>
      </c>
      <c r="I437" t="s">
        <v>27</v>
      </c>
      <c r="J437" t="s">
        <v>40</v>
      </c>
      <c r="K437" t="s">
        <v>29</v>
      </c>
      <c r="L437" t="s">
        <v>55</v>
      </c>
      <c r="M437" t="s">
        <v>29</v>
      </c>
      <c r="N437" t="s">
        <v>42</v>
      </c>
      <c r="O437">
        <v>13610</v>
      </c>
      <c r="P437">
        <v>7</v>
      </c>
      <c r="Q437" t="s">
        <v>22</v>
      </c>
      <c r="R437">
        <v>12</v>
      </c>
      <c r="S437" t="s">
        <v>33</v>
      </c>
      <c r="T437" t="s">
        <v>31</v>
      </c>
      <c r="U437">
        <v>2</v>
      </c>
      <c r="V437" t="s">
        <v>59</v>
      </c>
      <c r="W437" t="str">
        <f>IF(HR_Data[[#This Row],[age]]&lt;25,"Under 25",IF(HR_Data[[#This Row],[age]]&lt;35,"25-34",IF(HR_Data[[#This Row],[age]]&lt;45,"35-44",IF(HR_Data[[#This Row],[age]]&lt;55,"45-54","55+"))))</f>
        <v>25-34</v>
      </c>
      <c r="X437" t="str">
        <f t="shared" si="6"/>
        <v>8,000+</v>
      </c>
    </row>
    <row r="438" spans="1:24" x14ac:dyDescent="0.3">
      <c r="A438">
        <v>584</v>
      </c>
      <c r="B438">
        <v>33</v>
      </c>
      <c r="C438" t="s">
        <v>22</v>
      </c>
      <c r="D438" t="s">
        <v>23</v>
      </c>
      <c r="E438" t="s">
        <v>38</v>
      </c>
      <c r="F438">
        <v>10</v>
      </c>
      <c r="G438" t="s">
        <v>39</v>
      </c>
      <c r="H438" t="s">
        <v>48</v>
      </c>
      <c r="I438" t="s">
        <v>34</v>
      </c>
      <c r="J438" t="s">
        <v>40</v>
      </c>
      <c r="K438" t="s">
        <v>34</v>
      </c>
      <c r="L438" t="s">
        <v>46</v>
      </c>
      <c r="M438" t="s">
        <v>31</v>
      </c>
      <c r="N438" t="s">
        <v>51</v>
      </c>
      <c r="O438">
        <v>3408</v>
      </c>
      <c r="P438">
        <v>7</v>
      </c>
      <c r="Q438" t="s">
        <v>36</v>
      </c>
      <c r="R438">
        <v>13</v>
      </c>
      <c r="S438" t="s">
        <v>33</v>
      </c>
      <c r="T438" t="s">
        <v>34</v>
      </c>
      <c r="U438">
        <v>2</v>
      </c>
      <c r="V438" t="s">
        <v>44</v>
      </c>
      <c r="W438" t="str">
        <f>IF(HR_Data[[#This Row],[age]]&lt;25,"Under 25",IF(HR_Data[[#This Row],[age]]&lt;35,"25-34",IF(HR_Data[[#This Row],[age]]&lt;45,"35-44",IF(HR_Data[[#This Row],[age]]&lt;55,"45-54","55+"))))</f>
        <v>25-34</v>
      </c>
      <c r="X438" t="str">
        <f t="shared" si="6"/>
        <v>3,000-4,999</v>
      </c>
    </row>
    <row r="439" spans="1:24" x14ac:dyDescent="0.3">
      <c r="A439">
        <v>585</v>
      </c>
      <c r="B439">
        <v>30</v>
      </c>
      <c r="C439" t="s">
        <v>36</v>
      </c>
      <c r="D439" t="s">
        <v>23</v>
      </c>
      <c r="E439" t="s">
        <v>24</v>
      </c>
      <c r="F439">
        <v>7</v>
      </c>
      <c r="G439" t="s">
        <v>39</v>
      </c>
      <c r="H439" t="s">
        <v>58</v>
      </c>
      <c r="I439" t="s">
        <v>31</v>
      </c>
      <c r="J439" t="s">
        <v>40</v>
      </c>
      <c r="K439" t="s">
        <v>29</v>
      </c>
      <c r="L439" t="s">
        <v>56</v>
      </c>
      <c r="M439" t="s">
        <v>27</v>
      </c>
      <c r="N439" t="s">
        <v>32</v>
      </c>
      <c r="O439">
        <v>2983</v>
      </c>
      <c r="P439">
        <v>0</v>
      </c>
      <c r="Q439" t="s">
        <v>36</v>
      </c>
      <c r="R439">
        <v>14</v>
      </c>
      <c r="S439" t="s">
        <v>33</v>
      </c>
      <c r="T439" t="s">
        <v>34</v>
      </c>
      <c r="U439">
        <v>3</v>
      </c>
      <c r="V439" t="s">
        <v>44</v>
      </c>
      <c r="W439" t="str">
        <f>IF(HR_Data[[#This Row],[age]]&lt;25,"Under 25",IF(HR_Data[[#This Row],[age]]&lt;35,"25-34",IF(HR_Data[[#This Row],[age]]&lt;45,"35-44",IF(HR_Data[[#This Row],[age]]&lt;55,"45-54","55+"))))</f>
        <v>25-34</v>
      </c>
      <c r="X439" t="str">
        <f t="shared" si="6"/>
        <v>Below 3,000</v>
      </c>
    </row>
    <row r="440" spans="1:24" x14ac:dyDescent="0.3">
      <c r="A440">
        <v>586</v>
      </c>
      <c r="B440">
        <v>35</v>
      </c>
      <c r="C440" t="s">
        <v>36</v>
      </c>
      <c r="D440" t="s">
        <v>23</v>
      </c>
      <c r="E440" t="s">
        <v>38</v>
      </c>
      <c r="F440">
        <v>16</v>
      </c>
      <c r="G440" t="s">
        <v>50</v>
      </c>
      <c r="H440" t="s">
        <v>26</v>
      </c>
      <c r="I440" t="s">
        <v>31</v>
      </c>
      <c r="J440" t="s">
        <v>40</v>
      </c>
      <c r="K440" t="s">
        <v>29</v>
      </c>
      <c r="L440" t="s">
        <v>53</v>
      </c>
      <c r="M440" t="s">
        <v>29</v>
      </c>
      <c r="N440" t="s">
        <v>42</v>
      </c>
      <c r="O440">
        <v>7632</v>
      </c>
      <c r="P440">
        <v>4</v>
      </c>
      <c r="Q440" t="s">
        <v>22</v>
      </c>
      <c r="R440">
        <v>12</v>
      </c>
      <c r="S440" t="s">
        <v>33</v>
      </c>
      <c r="T440" t="s">
        <v>29</v>
      </c>
      <c r="U440">
        <v>2</v>
      </c>
      <c r="V440" t="s">
        <v>44</v>
      </c>
      <c r="W440" t="str">
        <f>IF(HR_Data[[#This Row],[age]]&lt;25,"Under 25",IF(HR_Data[[#This Row],[age]]&lt;35,"25-34",IF(HR_Data[[#This Row],[age]]&lt;45,"35-44",IF(HR_Data[[#This Row],[age]]&lt;55,"45-54","55+"))))</f>
        <v>35-44</v>
      </c>
      <c r="X440" t="str">
        <f t="shared" si="6"/>
        <v>5,000-7,999</v>
      </c>
    </row>
    <row r="441" spans="1:24" x14ac:dyDescent="0.3">
      <c r="A441">
        <v>587</v>
      </c>
      <c r="B441">
        <v>31</v>
      </c>
      <c r="C441" t="s">
        <v>22</v>
      </c>
      <c r="D441" t="s">
        <v>37</v>
      </c>
      <c r="E441" t="s">
        <v>38</v>
      </c>
      <c r="F441">
        <v>20</v>
      </c>
      <c r="G441" t="s">
        <v>50</v>
      </c>
      <c r="H441" t="s">
        <v>26</v>
      </c>
      <c r="I441" t="s">
        <v>34</v>
      </c>
      <c r="J441" t="s">
        <v>40</v>
      </c>
      <c r="K441" t="s">
        <v>29</v>
      </c>
      <c r="L441" t="s">
        <v>53</v>
      </c>
      <c r="M441" t="s">
        <v>29</v>
      </c>
      <c r="N441" t="s">
        <v>42</v>
      </c>
      <c r="O441">
        <v>9824</v>
      </c>
      <c r="P441">
        <v>3</v>
      </c>
      <c r="Q441" t="s">
        <v>36</v>
      </c>
      <c r="R441">
        <v>12</v>
      </c>
      <c r="S441" t="s">
        <v>33</v>
      </c>
      <c r="T441" t="s">
        <v>34</v>
      </c>
      <c r="U441">
        <v>2</v>
      </c>
      <c r="V441" t="s">
        <v>44</v>
      </c>
      <c r="W441" t="str">
        <f>IF(HR_Data[[#This Row],[age]]&lt;25,"Under 25",IF(HR_Data[[#This Row],[age]]&lt;35,"25-34",IF(HR_Data[[#This Row],[age]]&lt;45,"35-44",IF(HR_Data[[#This Row],[age]]&lt;55,"45-54","55+"))))</f>
        <v>25-34</v>
      </c>
      <c r="X441" t="str">
        <f t="shared" si="6"/>
        <v>8,000+</v>
      </c>
    </row>
    <row r="442" spans="1:24" x14ac:dyDescent="0.3">
      <c r="A442">
        <v>590</v>
      </c>
      <c r="B442">
        <v>34</v>
      </c>
      <c r="C442" t="s">
        <v>22</v>
      </c>
      <c r="D442" t="s">
        <v>37</v>
      </c>
      <c r="E442" t="s">
        <v>62</v>
      </c>
      <c r="F442">
        <v>23</v>
      </c>
      <c r="G442" t="s">
        <v>50</v>
      </c>
      <c r="H442" t="s">
        <v>62</v>
      </c>
      <c r="I442" t="s">
        <v>27</v>
      </c>
      <c r="J442" t="s">
        <v>28</v>
      </c>
      <c r="K442" t="s">
        <v>29</v>
      </c>
      <c r="L442" t="s">
        <v>62</v>
      </c>
      <c r="M442" t="s">
        <v>34</v>
      </c>
      <c r="N442" t="s">
        <v>51</v>
      </c>
      <c r="O442">
        <v>9950</v>
      </c>
      <c r="P442">
        <v>9</v>
      </c>
      <c r="Q442" t="s">
        <v>22</v>
      </c>
      <c r="R442">
        <v>15</v>
      </c>
      <c r="S442" t="s">
        <v>33</v>
      </c>
      <c r="T442" t="s">
        <v>29</v>
      </c>
      <c r="U442">
        <v>2</v>
      </c>
      <c r="V442" t="s">
        <v>44</v>
      </c>
      <c r="W442" t="str">
        <f>IF(HR_Data[[#This Row],[age]]&lt;25,"Under 25",IF(HR_Data[[#This Row],[age]]&lt;35,"25-34",IF(HR_Data[[#This Row],[age]]&lt;45,"35-44",IF(HR_Data[[#This Row],[age]]&lt;55,"45-54","55+"))))</f>
        <v>25-34</v>
      </c>
      <c r="X442" t="str">
        <f t="shared" si="6"/>
        <v>8,000+</v>
      </c>
    </row>
    <row r="443" spans="1:24" x14ac:dyDescent="0.3">
      <c r="A443">
        <v>591</v>
      </c>
      <c r="B443">
        <v>42</v>
      </c>
      <c r="C443" t="s">
        <v>36</v>
      </c>
      <c r="D443" t="s">
        <v>37</v>
      </c>
      <c r="E443" t="s">
        <v>38</v>
      </c>
      <c r="F443">
        <v>5</v>
      </c>
      <c r="G443" t="s">
        <v>25</v>
      </c>
      <c r="H443" t="s">
        <v>45</v>
      </c>
      <c r="I443" t="s">
        <v>27</v>
      </c>
      <c r="J443" t="s">
        <v>40</v>
      </c>
      <c r="K443" t="s">
        <v>29</v>
      </c>
      <c r="L443" t="s">
        <v>46</v>
      </c>
      <c r="M443" t="s">
        <v>29</v>
      </c>
      <c r="N443" t="s">
        <v>42</v>
      </c>
      <c r="O443">
        <v>2093</v>
      </c>
      <c r="P443">
        <v>4</v>
      </c>
      <c r="Q443" t="s">
        <v>36</v>
      </c>
      <c r="R443">
        <v>17</v>
      </c>
      <c r="S443" t="s">
        <v>33</v>
      </c>
      <c r="T443" t="s">
        <v>31</v>
      </c>
      <c r="U443">
        <v>4</v>
      </c>
      <c r="V443" t="s">
        <v>44</v>
      </c>
      <c r="W443" t="str">
        <f>IF(HR_Data[[#This Row],[age]]&lt;25,"Under 25",IF(HR_Data[[#This Row],[age]]&lt;35,"25-34",IF(HR_Data[[#This Row],[age]]&lt;45,"35-44",IF(HR_Data[[#This Row],[age]]&lt;55,"45-54","55+"))))</f>
        <v>35-44</v>
      </c>
      <c r="X443" t="str">
        <f t="shared" si="6"/>
        <v>Below 3,000</v>
      </c>
    </row>
    <row r="444" spans="1:24" x14ac:dyDescent="0.3">
      <c r="A444">
        <v>592</v>
      </c>
      <c r="B444">
        <v>36</v>
      </c>
      <c r="C444" t="s">
        <v>36</v>
      </c>
      <c r="D444" t="s">
        <v>54</v>
      </c>
      <c r="E444" t="s">
        <v>24</v>
      </c>
      <c r="F444">
        <v>10</v>
      </c>
      <c r="G444" t="s">
        <v>47</v>
      </c>
      <c r="H444" t="s">
        <v>48</v>
      </c>
      <c r="I444" t="s">
        <v>27</v>
      </c>
      <c r="J444" t="s">
        <v>40</v>
      </c>
      <c r="K444" t="s">
        <v>29</v>
      </c>
      <c r="L444" t="s">
        <v>30</v>
      </c>
      <c r="M444" t="s">
        <v>31</v>
      </c>
      <c r="N444" t="s">
        <v>32</v>
      </c>
      <c r="O444">
        <v>9980</v>
      </c>
      <c r="P444">
        <v>1</v>
      </c>
      <c r="Q444" t="s">
        <v>36</v>
      </c>
      <c r="R444">
        <v>14</v>
      </c>
      <c r="S444" t="s">
        <v>33</v>
      </c>
      <c r="T444" t="s">
        <v>31</v>
      </c>
      <c r="U444">
        <v>3</v>
      </c>
      <c r="V444" t="s">
        <v>49</v>
      </c>
      <c r="W444" t="str">
        <f>IF(HR_Data[[#This Row],[age]]&lt;25,"Under 25",IF(HR_Data[[#This Row],[age]]&lt;35,"25-34",IF(HR_Data[[#This Row],[age]]&lt;45,"35-44",IF(HR_Data[[#This Row],[age]]&lt;55,"45-54","55+"))))</f>
        <v>35-44</v>
      </c>
      <c r="X444" t="str">
        <f t="shared" si="6"/>
        <v>8,000+</v>
      </c>
    </row>
    <row r="445" spans="1:24" x14ac:dyDescent="0.3">
      <c r="A445">
        <v>593</v>
      </c>
      <c r="B445">
        <v>22</v>
      </c>
      <c r="C445" t="s">
        <v>22</v>
      </c>
      <c r="D445" t="s">
        <v>37</v>
      </c>
      <c r="E445" t="s">
        <v>38</v>
      </c>
      <c r="F445">
        <v>4</v>
      </c>
      <c r="G445" t="s">
        <v>39</v>
      </c>
      <c r="H445" t="s">
        <v>60</v>
      </c>
      <c r="I445" t="s">
        <v>29</v>
      </c>
      <c r="J445" t="s">
        <v>40</v>
      </c>
      <c r="K445" t="s">
        <v>27</v>
      </c>
      <c r="L445" t="s">
        <v>46</v>
      </c>
      <c r="M445" t="s">
        <v>29</v>
      </c>
      <c r="N445" t="s">
        <v>32</v>
      </c>
      <c r="O445">
        <v>3894</v>
      </c>
      <c r="P445">
        <v>5</v>
      </c>
      <c r="Q445" t="s">
        <v>36</v>
      </c>
      <c r="R445">
        <v>16</v>
      </c>
      <c r="S445" t="s">
        <v>33</v>
      </c>
      <c r="T445" t="s">
        <v>29</v>
      </c>
      <c r="U445">
        <v>3</v>
      </c>
      <c r="V445" t="s">
        <v>44</v>
      </c>
      <c r="W445" t="str">
        <f>IF(HR_Data[[#This Row],[age]]&lt;25,"Under 25",IF(HR_Data[[#This Row],[age]]&lt;35,"25-34",IF(HR_Data[[#This Row],[age]]&lt;45,"35-44",IF(HR_Data[[#This Row],[age]]&lt;55,"45-54","55+"))))</f>
        <v>Under 25</v>
      </c>
      <c r="X445" t="str">
        <f t="shared" si="6"/>
        <v>3,000-4,999</v>
      </c>
    </row>
    <row r="446" spans="1:24" x14ac:dyDescent="0.3">
      <c r="A446">
        <v>595</v>
      </c>
      <c r="B446">
        <v>48</v>
      </c>
      <c r="C446" t="s">
        <v>36</v>
      </c>
      <c r="D446" t="s">
        <v>23</v>
      </c>
      <c r="E446" t="s">
        <v>24</v>
      </c>
      <c r="F446">
        <v>2</v>
      </c>
      <c r="G446" t="s">
        <v>61</v>
      </c>
      <c r="H446" t="s">
        <v>58</v>
      </c>
      <c r="I446" t="s">
        <v>27</v>
      </c>
      <c r="J446" t="s">
        <v>28</v>
      </c>
      <c r="K446" t="s">
        <v>29</v>
      </c>
      <c r="L446" t="s">
        <v>30</v>
      </c>
      <c r="M446" t="s">
        <v>31</v>
      </c>
      <c r="N446" t="s">
        <v>42</v>
      </c>
      <c r="O446">
        <v>4051</v>
      </c>
      <c r="P446">
        <v>2</v>
      </c>
      <c r="Q446" t="s">
        <v>36</v>
      </c>
      <c r="R446">
        <v>14</v>
      </c>
      <c r="S446" t="s">
        <v>33</v>
      </c>
      <c r="T446" t="s">
        <v>34</v>
      </c>
      <c r="U446">
        <v>2</v>
      </c>
      <c r="V446" t="s">
        <v>44</v>
      </c>
      <c r="W446" t="str">
        <f>IF(HR_Data[[#This Row],[age]]&lt;25,"Under 25",IF(HR_Data[[#This Row],[age]]&lt;35,"25-34",IF(HR_Data[[#This Row],[age]]&lt;45,"35-44",IF(HR_Data[[#This Row],[age]]&lt;55,"45-54","55+"))))</f>
        <v>45-54</v>
      </c>
      <c r="X446" t="str">
        <f t="shared" si="6"/>
        <v>3,000-4,999</v>
      </c>
    </row>
    <row r="447" spans="1:24" x14ac:dyDescent="0.3">
      <c r="A447">
        <v>597</v>
      </c>
      <c r="B447">
        <v>55</v>
      </c>
      <c r="C447" t="s">
        <v>36</v>
      </c>
      <c r="D447" t="s">
        <v>23</v>
      </c>
      <c r="E447" t="s">
        <v>24</v>
      </c>
      <c r="F447">
        <v>18</v>
      </c>
      <c r="G447" t="s">
        <v>61</v>
      </c>
      <c r="H447" t="s">
        <v>26</v>
      </c>
      <c r="I447" t="s">
        <v>34</v>
      </c>
      <c r="J447" t="s">
        <v>28</v>
      </c>
      <c r="K447" t="s">
        <v>29</v>
      </c>
      <c r="L447" t="s">
        <v>55</v>
      </c>
      <c r="M447" t="s">
        <v>27</v>
      </c>
      <c r="N447" t="s">
        <v>32</v>
      </c>
      <c r="O447">
        <v>16835</v>
      </c>
      <c r="P447">
        <v>3</v>
      </c>
      <c r="Q447" t="s">
        <v>36</v>
      </c>
      <c r="R447">
        <v>23</v>
      </c>
      <c r="S447" t="s">
        <v>43</v>
      </c>
      <c r="T447" t="s">
        <v>31</v>
      </c>
      <c r="U447">
        <v>2</v>
      </c>
      <c r="V447" t="s">
        <v>44</v>
      </c>
      <c r="W447" t="str">
        <f>IF(HR_Data[[#This Row],[age]]&lt;25,"Under 25",IF(HR_Data[[#This Row],[age]]&lt;35,"25-34",IF(HR_Data[[#This Row],[age]]&lt;45,"35-44",IF(HR_Data[[#This Row],[age]]&lt;55,"45-54","55+"))))</f>
        <v>55+</v>
      </c>
      <c r="X447" t="str">
        <f t="shared" si="6"/>
        <v>8,000+</v>
      </c>
    </row>
    <row r="448" spans="1:24" x14ac:dyDescent="0.3">
      <c r="A448">
        <v>599</v>
      </c>
      <c r="B448">
        <v>41</v>
      </c>
      <c r="C448" t="s">
        <v>36</v>
      </c>
      <c r="D448" t="s">
        <v>54</v>
      </c>
      <c r="E448" t="s">
        <v>24</v>
      </c>
      <c r="F448">
        <v>10</v>
      </c>
      <c r="G448" t="s">
        <v>25</v>
      </c>
      <c r="H448" t="s">
        <v>26</v>
      </c>
      <c r="I448" t="s">
        <v>31</v>
      </c>
      <c r="J448" t="s">
        <v>40</v>
      </c>
      <c r="K448" t="s">
        <v>29</v>
      </c>
      <c r="L448" t="s">
        <v>30</v>
      </c>
      <c r="M448" t="s">
        <v>31</v>
      </c>
      <c r="N448" t="s">
        <v>32</v>
      </c>
      <c r="O448">
        <v>6230</v>
      </c>
      <c r="P448">
        <v>7</v>
      </c>
      <c r="Q448" t="s">
        <v>36</v>
      </c>
      <c r="R448">
        <v>14</v>
      </c>
      <c r="S448" t="s">
        <v>33</v>
      </c>
      <c r="T448" t="s">
        <v>31</v>
      </c>
      <c r="U448">
        <v>3</v>
      </c>
      <c r="V448" t="s">
        <v>44</v>
      </c>
      <c r="W448" t="str">
        <f>IF(HR_Data[[#This Row],[age]]&lt;25,"Under 25",IF(HR_Data[[#This Row],[age]]&lt;35,"25-34",IF(HR_Data[[#This Row],[age]]&lt;45,"35-44",IF(HR_Data[[#This Row],[age]]&lt;55,"45-54","55+"))))</f>
        <v>35-44</v>
      </c>
      <c r="X448" t="str">
        <f t="shared" si="6"/>
        <v>5,000-7,999</v>
      </c>
    </row>
    <row r="449" spans="1:24" x14ac:dyDescent="0.3">
      <c r="A449">
        <v>600</v>
      </c>
      <c r="B449">
        <v>35</v>
      </c>
      <c r="C449" t="s">
        <v>36</v>
      </c>
      <c r="D449" t="s">
        <v>23</v>
      </c>
      <c r="E449" t="s">
        <v>24</v>
      </c>
      <c r="F449">
        <v>1</v>
      </c>
      <c r="G449" t="s">
        <v>50</v>
      </c>
      <c r="H449" t="s">
        <v>58</v>
      </c>
      <c r="I449" t="s">
        <v>27</v>
      </c>
      <c r="J449" t="s">
        <v>40</v>
      </c>
      <c r="K449" t="s">
        <v>29</v>
      </c>
      <c r="L449" t="s">
        <v>30</v>
      </c>
      <c r="M449" t="s">
        <v>29</v>
      </c>
      <c r="N449" t="s">
        <v>42</v>
      </c>
      <c r="O449">
        <v>4717</v>
      </c>
      <c r="P449">
        <v>9</v>
      </c>
      <c r="Q449" t="s">
        <v>36</v>
      </c>
      <c r="R449">
        <v>11</v>
      </c>
      <c r="S449" t="s">
        <v>33</v>
      </c>
      <c r="T449" t="s">
        <v>29</v>
      </c>
      <c r="U449">
        <v>2</v>
      </c>
      <c r="V449" t="s">
        <v>44</v>
      </c>
      <c r="W449" t="str">
        <f>IF(HR_Data[[#This Row],[age]]&lt;25,"Under 25",IF(HR_Data[[#This Row],[age]]&lt;35,"25-34",IF(HR_Data[[#This Row],[age]]&lt;45,"35-44",IF(HR_Data[[#This Row],[age]]&lt;55,"45-54","55+"))))</f>
        <v>35-44</v>
      </c>
      <c r="X449" t="str">
        <f t="shared" si="6"/>
        <v>3,000-4,999</v>
      </c>
    </row>
    <row r="450" spans="1:24" x14ac:dyDescent="0.3">
      <c r="A450">
        <v>601</v>
      </c>
      <c r="B450">
        <v>40</v>
      </c>
      <c r="C450" t="s">
        <v>36</v>
      </c>
      <c r="D450" t="s">
        <v>23</v>
      </c>
      <c r="E450" t="s">
        <v>38</v>
      </c>
      <c r="F450">
        <v>6</v>
      </c>
      <c r="G450" t="s">
        <v>50</v>
      </c>
      <c r="H450" t="s">
        <v>26</v>
      </c>
      <c r="I450" t="s">
        <v>27</v>
      </c>
      <c r="J450" t="s">
        <v>28</v>
      </c>
      <c r="K450" t="s">
        <v>29</v>
      </c>
      <c r="L450" t="s">
        <v>52</v>
      </c>
      <c r="M450" t="s">
        <v>29</v>
      </c>
      <c r="N450" t="s">
        <v>32</v>
      </c>
      <c r="O450">
        <v>13237</v>
      </c>
      <c r="P450">
        <v>7</v>
      </c>
      <c r="Q450" t="s">
        <v>36</v>
      </c>
      <c r="R450">
        <v>15</v>
      </c>
      <c r="S450" t="s">
        <v>33</v>
      </c>
      <c r="T450" t="s">
        <v>29</v>
      </c>
      <c r="U450">
        <v>3</v>
      </c>
      <c r="V450" t="s">
        <v>44</v>
      </c>
      <c r="W450" t="str">
        <f>IF(HR_Data[[#This Row],[age]]&lt;25,"Under 25",IF(HR_Data[[#This Row],[age]]&lt;35,"25-34",IF(HR_Data[[#This Row],[age]]&lt;45,"35-44",IF(HR_Data[[#This Row],[age]]&lt;55,"45-54","55+"))))</f>
        <v>35-44</v>
      </c>
      <c r="X450" t="str">
        <f t="shared" si="6"/>
        <v>8,000+</v>
      </c>
    </row>
    <row r="451" spans="1:24" x14ac:dyDescent="0.3">
      <c r="A451">
        <v>602</v>
      </c>
      <c r="B451">
        <v>39</v>
      </c>
      <c r="C451" t="s">
        <v>36</v>
      </c>
      <c r="D451" t="s">
        <v>37</v>
      </c>
      <c r="E451" t="s">
        <v>38</v>
      </c>
      <c r="F451">
        <v>8</v>
      </c>
      <c r="G451" t="s">
        <v>39</v>
      </c>
      <c r="H451" t="s">
        <v>26</v>
      </c>
      <c r="I451" t="s">
        <v>29</v>
      </c>
      <c r="J451" t="s">
        <v>28</v>
      </c>
      <c r="K451" t="s">
        <v>29</v>
      </c>
      <c r="L451" t="s">
        <v>46</v>
      </c>
      <c r="M451" t="s">
        <v>29</v>
      </c>
      <c r="N451" t="s">
        <v>42</v>
      </c>
      <c r="O451">
        <v>3755</v>
      </c>
      <c r="P451">
        <v>1</v>
      </c>
      <c r="Q451" t="s">
        <v>36</v>
      </c>
      <c r="R451">
        <v>11</v>
      </c>
      <c r="S451" t="s">
        <v>33</v>
      </c>
      <c r="T451" t="s">
        <v>34</v>
      </c>
      <c r="U451">
        <v>3</v>
      </c>
      <c r="V451" t="s">
        <v>44</v>
      </c>
      <c r="W451" t="str">
        <f>IF(HR_Data[[#This Row],[age]]&lt;25,"Under 25",IF(HR_Data[[#This Row],[age]]&lt;35,"25-34",IF(HR_Data[[#This Row],[age]]&lt;45,"35-44",IF(HR_Data[[#This Row],[age]]&lt;55,"45-54","55+"))))</f>
        <v>35-44</v>
      </c>
      <c r="X451" t="str">
        <f t="shared" ref="X451:X514" si="7">IF(O451&lt;3000,"Below 3,000",IF(O451&lt;5000,"3,000-4,999",IF(O451&lt;8000,"5,000-7,999","8,000+")))</f>
        <v>3,000-4,999</v>
      </c>
    </row>
    <row r="452" spans="1:24" x14ac:dyDescent="0.3">
      <c r="A452">
        <v>604</v>
      </c>
      <c r="B452">
        <v>31</v>
      </c>
      <c r="C452" t="s">
        <v>36</v>
      </c>
      <c r="D452" t="s">
        <v>23</v>
      </c>
      <c r="E452" t="s">
        <v>24</v>
      </c>
      <c r="F452">
        <v>2</v>
      </c>
      <c r="G452" t="s">
        <v>39</v>
      </c>
      <c r="H452" t="s">
        <v>26</v>
      </c>
      <c r="I452" t="s">
        <v>27</v>
      </c>
      <c r="J452" t="s">
        <v>40</v>
      </c>
      <c r="K452" t="s">
        <v>29</v>
      </c>
      <c r="L452" t="s">
        <v>30</v>
      </c>
      <c r="M452" t="s">
        <v>31</v>
      </c>
      <c r="N452" t="s">
        <v>32</v>
      </c>
      <c r="O452">
        <v>6582</v>
      </c>
      <c r="P452">
        <v>4</v>
      </c>
      <c r="Q452" t="s">
        <v>22</v>
      </c>
      <c r="R452">
        <v>13</v>
      </c>
      <c r="S452" t="s">
        <v>33</v>
      </c>
      <c r="T452" t="s">
        <v>29</v>
      </c>
      <c r="U452">
        <v>2</v>
      </c>
      <c r="V452" t="s">
        <v>59</v>
      </c>
      <c r="W452" t="str">
        <f>IF(HR_Data[[#This Row],[age]]&lt;25,"Under 25",IF(HR_Data[[#This Row],[age]]&lt;35,"25-34",IF(HR_Data[[#This Row],[age]]&lt;45,"35-44",IF(HR_Data[[#This Row],[age]]&lt;55,"45-54","55+"))))</f>
        <v>25-34</v>
      </c>
      <c r="X452" t="str">
        <f t="shared" si="7"/>
        <v>5,000-7,999</v>
      </c>
    </row>
    <row r="453" spans="1:24" x14ac:dyDescent="0.3">
      <c r="A453">
        <v>605</v>
      </c>
      <c r="B453">
        <v>42</v>
      </c>
      <c r="C453" t="s">
        <v>36</v>
      </c>
      <c r="D453" t="s">
        <v>23</v>
      </c>
      <c r="E453" t="s">
        <v>38</v>
      </c>
      <c r="F453">
        <v>24</v>
      </c>
      <c r="G453" t="s">
        <v>50</v>
      </c>
      <c r="H453" t="s">
        <v>48</v>
      </c>
      <c r="I453" t="s">
        <v>31</v>
      </c>
      <c r="J453" t="s">
        <v>40</v>
      </c>
      <c r="K453" t="s">
        <v>29</v>
      </c>
      <c r="L453" t="s">
        <v>52</v>
      </c>
      <c r="M453" t="s">
        <v>34</v>
      </c>
      <c r="N453" t="s">
        <v>42</v>
      </c>
      <c r="O453">
        <v>7406</v>
      </c>
      <c r="P453">
        <v>1</v>
      </c>
      <c r="Q453" t="s">
        <v>22</v>
      </c>
      <c r="R453">
        <v>21</v>
      </c>
      <c r="S453" t="s">
        <v>43</v>
      </c>
      <c r="T453" t="s">
        <v>31</v>
      </c>
      <c r="U453">
        <v>5</v>
      </c>
      <c r="V453" t="s">
        <v>49</v>
      </c>
      <c r="W453" t="str">
        <f>IF(HR_Data[[#This Row],[age]]&lt;25,"Under 25",IF(HR_Data[[#This Row],[age]]&lt;35,"25-34",IF(HR_Data[[#This Row],[age]]&lt;45,"35-44",IF(HR_Data[[#This Row],[age]]&lt;55,"45-54","55+"))))</f>
        <v>35-44</v>
      </c>
      <c r="X453" t="str">
        <f t="shared" si="7"/>
        <v>5,000-7,999</v>
      </c>
    </row>
    <row r="454" spans="1:24" x14ac:dyDescent="0.3">
      <c r="A454">
        <v>606</v>
      </c>
      <c r="B454">
        <v>45</v>
      </c>
      <c r="C454" t="s">
        <v>36</v>
      </c>
      <c r="D454" t="s">
        <v>23</v>
      </c>
      <c r="E454" t="s">
        <v>24</v>
      </c>
      <c r="F454">
        <v>2</v>
      </c>
      <c r="G454" t="s">
        <v>50</v>
      </c>
      <c r="H454" t="s">
        <v>45</v>
      </c>
      <c r="I454" t="s">
        <v>31</v>
      </c>
      <c r="J454" t="s">
        <v>40</v>
      </c>
      <c r="K454" t="s">
        <v>29</v>
      </c>
      <c r="L454" t="s">
        <v>30</v>
      </c>
      <c r="M454" t="s">
        <v>27</v>
      </c>
      <c r="N454" t="s">
        <v>42</v>
      </c>
      <c r="O454">
        <v>4805</v>
      </c>
      <c r="P454">
        <v>0</v>
      </c>
      <c r="Q454" t="s">
        <v>36</v>
      </c>
      <c r="R454">
        <v>19</v>
      </c>
      <c r="S454" t="s">
        <v>33</v>
      </c>
      <c r="T454" t="s">
        <v>27</v>
      </c>
      <c r="U454">
        <v>3</v>
      </c>
      <c r="V454" t="s">
        <v>59</v>
      </c>
      <c r="W454" t="str">
        <f>IF(HR_Data[[#This Row],[age]]&lt;25,"Under 25",IF(HR_Data[[#This Row],[age]]&lt;35,"25-34",IF(HR_Data[[#This Row],[age]]&lt;45,"35-44",IF(HR_Data[[#This Row],[age]]&lt;55,"45-54","55+"))))</f>
        <v>45-54</v>
      </c>
      <c r="X454" t="str">
        <f t="shared" si="7"/>
        <v>3,000-4,999</v>
      </c>
    </row>
    <row r="455" spans="1:24" x14ac:dyDescent="0.3">
      <c r="A455">
        <v>608</v>
      </c>
      <c r="B455">
        <v>26</v>
      </c>
      <c r="C455" t="s">
        <v>22</v>
      </c>
      <c r="D455" t="s">
        <v>37</v>
      </c>
      <c r="E455" t="s">
        <v>62</v>
      </c>
      <c r="F455">
        <v>17</v>
      </c>
      <c r="G455" t="s">
        <v>47</v>
      </c>
      <c r="H455" t="s">
        <v>26</v>
      </c>
      <c r="I455" t="s">
        <v>27</v>
      </c>
      <c r="J455" t="s">
        <v>28</v>
      </c>
      <c r="K455" t="s">
        <v>29</v>
      </c>
      <c r="L455" t="s">
        <v>62</v>
      </c>
      <c r="M455" t="s">
        <v>29</v>
      </c>
      <c r="N455" t="s">
        <v>51</v>
      </c>
      <c r="O455">
        <v>2741</v>
      </c>
      <c r="P455">
        <v>0</v>
      </c>
      <c r="Q455" t="s">
        <v>22</v>
      </c>
      <c r="R455">
        <v>11</v>
      </c>
      <c r="S455" t="s">
        <v>33</v>
      </c>
      <c r="T455" t="s">
        <v>27</v>
      </c>
      <c r="U455">
        <v>2</v>
      </c>
      <c r="V455" t="s">
        <v>49</v>
      </c>
      <c r="W455" t="str">
        <f>IF(HR_Data[[#This Row],[age]]&lt;25,"Under 25",IF(HR_Data[[#This Row],[age]]&lt;35,"25-34",IF(HR_Data[[#This Row],[age]]&lt;45,"35-44",IF(HR_Data[[#This Row],[age]]&lt;55,"45-54","55+"))))</f>
        <v>25-34</v>
      </c>
      <c r="X455" t="str">
        <f t="shared" si="7"/>
        <v>Below 3,000</v>
      </c>
    </row>
    <row r="456" spans="1:24" x14ac:dyDescent="0.3">
      <c r="A456">
        <v>611</v>
      </c>
      <c r="B456">
        <v>29</v>
      </c>
      <c r="C456" t="s">
        <v>36</v>
      </c>
      <c r="D456" t="s">
        <v>23</v>
      </c>
      <c r="E456" t="s">
        <v>38</v>
      </c>
      <c r="F456">
        <v>19</v>
      </c>
      <c r="G456" t="s">
        <v>50</v>
      </c>
      <c r="H456" t="s">
        <v>60</v>
      </c>
      <c r="I456" t="s">
        <v>31</v>
      </c>
      <c r="J456" t="s">
        <v>40</v>
      </c>
      <c r="K456" t="s">
        <v>29</v>
      </c>
      <c r="L456" t="s">
        <v>52</v>
      </c>
      <c r="M456" t="s">
        <v>31</v>
      </c>
      <c r="N456" t="s">
        <v>51</v>
      </c>
      <c r="O456">
        <v>4262</v>
      </c>
      <c r="P456">
        <v>4</v>
      </c>
      <c r="Q456" t="s">
        <v>36</v>
      </c>
      <c r="R456">
        <v>12</v>
      </c>
      <c r="S456" t="s">
        <v>33</v>
      </c>
      <c r="T456" t="s">
        <v>27</v>
      </c>
      <c r="U456">
        <v>2</v>
      </c>
      <c r="V456" t="s">
        <v>59</v>
      </c>
      <c r="W456" t="str">
        <f>IF(HR_Data[[#This Row],[age]]&lt;25,"Under 25",IF(HR_Data[[#This Row],[age]]&lt;35,"25-34",IF(HR_Data[[#This Row],[age]]&lt;45,"35-44",IF(HR_Data[[#This Row],[age]]&lt;55,"45-54","55+"))))</f>
        <v>25-34</v>
      </c>
      <c r="X456" t="str">
        <f t="shared" si="7"/>
        <v>3,000-4,999</v>
      </c>
    </row>
    <row r="457" spans="1:24" x14ac:dyDescent="0.3">
      <c r="A457">
        <v>612</v>
      </c>
      <c r="B457">
        <v>33</v>
      </c>
      <c r="C457" t="s">
        <v>36</v>
      </c>
      <c r="D457" t="s">
        <v>23</v>
      </c>
      <c r="E457" t="s">
        <v>38</v>
      </c>
      <c r="F457">
        <v>1</v>
      </c>
      <c r="G457" t="s">
        <v>61</v>
      </c>
      <c r="H457" t="s">
        <v>48</v>
      </c>
      <c r="I457" t="s">
        <v>34</v>
      </c>
      <c r="J457" t="s">
        <v>28</v>
      </c>
      <c r="K457" t="s">
        <v>31</v>
      </c>
      <c r="L457" t="s">
        <v>57</v>
      </c>
      <c r="M457" t="s">
        <v>29</v>
      </c>
      <c r="N457" t="s">
        <v>51</v>
      </c>
      <c r="O457">
        <v>16184</v>
      </c>
      <c r="P457">
        <v>4</v>
      </c>
      <c r="Q457" t="s">
        <v>36</v>
      </c>
      <c r="R457">
        <v>19</v>
      </c>
      <c r="S457" t="s">
        <v>33</v>
      </c>
      <c r="T457" t="s">
        <v>29</v>
      </c>
      <c r="U457">
        <v>2</v>
      </c>
      <c r="V457" t="s">
        <v>44</v>
      </c>
      <c r="W457" t="str">
        <f>IF(HR_Data[[#This Row],[age]]&lt;25,"Under 25",IF(HR_Data[[#This Row],[age]]&lt;35,"25-34",IF(HR_Data[[#This Row],[age]]&lt;45,"35-44",IF(HR_Data[[#This Row],[age]]&lt;55,"45-54","55+"))))</f>
        <v>25-34</v>
      </c>
      <c r="X457" t="str">
        <f t="shared" si="7"/>
        <v>8,000+</v>
      </c>
    </row>
    <row r="458" spans="1:24" x14ac:dyDescent="0.3">
      <c r="A458">
        <v>613</v>
      </c>
      <c r="B458">
        <v>31</v>
      </c>
      <c r="C458" t="s">
        <v>36</v>
      </c>
      <c r="D458" t="s">
        <v>23</v>
      </c>
      <c r="E458" t="s">
        <v>24</v>
      </c>
      <c r="F458">
        <v>7</v>
      </c>
      <c r="G458" t="s">
        <v>50</v>
      </c>
      <c r="H458" t="s">
        <v>26</v>
      </c>
      <c r="I458" t="s">
        <v>29</v>
      </c>
      <c r="J458" t="s">
        <v>40</v>
      </c>
      <c r="K458" t="s">
        <v>27</v>
      </c>
      <c r="L458" t="s">
        <v>55</v>
      </c>
      <c r="M458" t="s">
        <v>31</v>
      </c>
      <c r="N458" t="s">
        <v>51</v>
      </c>
      <c r="O458">
        <v>11557</v>
      </c>
      <c r="P458">
        <v>9</v>
      </c>
      <c r="Q458" t="s">
        <v>36</v>
      </c>
      <c r="R458">
        <v>21</v>
      </c>
      <c r="S458" t="s">
        <v>43</v>
      </c>
      <c r="T458" t="s">
        <v>29</v>
      </c>
      <c r="U458">
        <v>3</v>
      </c>
      <c r="V458" t="s">
        <v>49</v>
      </c>
      <c r="W458" t="str">
        <f>IF(HR_Data[[#This Row],[age]]&lt;25,"Under 25",IF(HR_Data[[#This Row],[age]]&lt;35,"25-34",IF(HR_Data[[#This Row],[age]]&lt;45,"35-44",IF(HR_Data[[#This Row],[age]]&lt;55,"45-54","55+"))))</f>
        <v>25-34</v>
      </c>
      <c r="X458" t="str">
        <f t="shared" si="7"/>
        <v>8,000+</v>
      </c>
    </row>
    <row r="459" spans="1:24" x14ac:dyDescent="0.3">
      <c r="A459">
        <v>614</v>
      </c>
      <c r="B459">
        <v>18</v>
      </c>
      <c r="C459" t="s">
        <v>22</v>
      </c>
      <c r="D459" t="s">
        <v>37</v>
      </c>
      <c r="E459" t="s">
        <v>24</v>
      </c>
      <c r="F459">
        <v>5</v>
      </c>
      <c r="G459" t="s">
        <v>50</v>
      </c>
      <c r="H459" t="s">
        <v>58</v>
      </c>
      <c r="I459" t="s">
        <v>27</v>
      </c>
      <c r="J459" t="s">
        <v>40</v>
      </c>
      <c r="K459" t="s">
        <v>29</v>
      </c>
      <c r="L459" t="s">
        <v>56</v>
      </c>
      <c r="M459" t="s">
        <v>27</v>
      </c>
      <c r="N459" t="s">
        <v>32</v>
      </c>
      <c r="O459">
        <v>1878</v>
      </c>
      <c r="P459">
        <v>1</v>
      </c>
      <c r="Q459" t="s">
        <v>22</v>
      </c>
      <c r="R459">
        <v>14</v>
      </c>
      <c r="S459" t="s">
        <v>33</v>
      </c>
      <c r="T459" t="s">
        <v>31</v>
      </c>
      <c r="U459">
        <v>3</v>
      </c>
      <c r="V459" t="s">
        <v>44</v>
      </c>
      <c r="W459" t="str">
        <f>IF(HR_Data[[#This Row],[age]]&lt;25,"Under 25",IF(HR_Data[[#This Row],[age]]&lt;35,"25-34",IF(HR_Data[[#This Row],[age]]&lt;45,"35-44",IF(HR_Data[[#This Row],[age]]&lt;55,"45-54","55+"))))</f>
        <v>Under 25</v>
      </c>
      <c r="X459" t="str">
        <f t="shared" si="7"/>
        <v>Below 3,000</v>
      </c>
    </row>
    <row r="460" spans="1:24" x14ac:dyDescent="0.3">
      <c r="A460">
        <v>615</v>
      </c>
      <c r="B460">
        <v>40</v>
      </c>
      <c r="C460" t="s">
        <v>36</v>
      </c>
      <c r="D460" t="s">
        <v>54</v>
      </c>
      <c r="E460" t="s">
        <v>24</v>
      </c>
      <c r="F460">
        <v>28</v>
      </c>
      <c r="G460" t="s">
        <v>50</v>
      </c>
      <c r="H460" t="s">
        <v>45</v>
      </c>
      <c r="I460" t="s">
        <v>29</v>
      </c>
      <c r="J460" t="s">
        <v>40</v>
      </c>
      <c r="K460" t="s">
        <v>34</v>
      </c>
      <c r="L460" t="s">
        <v>30</v>
      </c>
      <c r="M460" t="s">
        <v>34</v>
      </c>
      <c r="N460" t="s">
        <v>51</v>
      </c>
      <c r="O460">
        <v>10932</v>
      </c>
      <c r="P460">
        <v>3</v>
      </c>
      <c r="Q460" t="s">
        <v>36</v>
      </c>
      <c r="R460">
        <v>15</v>
      </c>
      <c r="S460" t="s">
        <v>33</v>
      </c>
      <c r="T460" t="s">
        <v>29</v>
      </c>
      <c r="U460">
        <v>2</v>
      </c>
      <c r="V460" t="s">
        <v>44</v>
      </c>
      <c r="W460" t="str">
        <f>IF(HR_Data[[#This Row],[age]]&lt;25,"Under 25",IF(HR_Data[[#This Row],[age]]&lt;35,"25-34",IF(HR_Data[[#This Row],[age]]&lt;45,"35-44",IF(HR_Data[[#This Row],[age]]&lt;55,"45-54","55+"))))</f>
        <v>35-44</v>
      </c>
      <c r="X460" t="str">
        <f t="shared" si="7"/>
        <v>8,000+</v>
      </c>
    </row>
    <row r="461" spans="1:24" x14ac:dyDescent="0.3">
      <c r="A461">
        <v>616</v>
      </c>
      <c r="B461">
        <v>41</v>
      </c>
      <c r="C461" t="s">
        <v>36</v>
      </c>
      <c r="D461" t="s">
        <v>54</v>
      </c>
      <c r="E461" t="s">
        <v>38</v>
      </c>
      <c r="F461">
        <v>2</v>
      </c>
      <c r="G461" t="s">
        <v>47</v>
      </c>
      <c r="H461" t="s">
        <v>45</v>
      </c>
      <c r="I461" t="s">
        <v>34</v>
      </c>
      <c r="J461" t="s">
        <v>28</v>
      </c>
      <c r="K461" t="s">
        <v>27</v>
      </c>
      <c r="L461" t="s">
        <v>53</v>
      </c>
      <c r="M461" t="s">
        <v>29</v>
      </c>
      <c r="N461" t="s">
        <v>32</v>
      </c>
      <c r="O461">
        <v>6811</v>
      </c>
      <c r="P461">
        <v>2</v>
      </c>
      <c r="Q461" t="s">
        <v>22</v>
      </c>
      <c r="R461">
        <v>17</v>
      </c>
      <c r="S461" t="s">
        <v>33</v>
      </c>
      <c r="T461" t="s">
        <v>34</v>
      </c>
      <c r="U461">
        <v>3</v>
      </c>
      <c r="V461" t="s">
        <v>44</v>
      </c>
      <c r="W461" t="str">
        <f>IF(HR_Data[[#This Row],[age]]&lt;25,"Under 25",IF(HR_Data[[#This Row],[age]]&lt;35,"25-34",IF(HR_Data[[#This Row],[age]]&lt;45,"35-44",IF(HR_Data[[#This Row],[age]]&lt;55,"45-54","55+"))))</f>
        <v>35-44</v>
      </c>
      <c r="X461" t="str">
        <f t="shared" si="7"/>
        <v>5,000-7,999</v>
      </c>
    </row>
    <row r="462" spans="1:24" x14ac:dyDescent="0.3">
      <c r="A462">
        <v>618</v>
      </c>
      <c r="B462">
        <v>26</v>
      </c>
      <c r="C462" t="s">
        <v>36</v>
      </c>
      <c r="D462" t="s">
        <v>23</v>
      </c>
      <c r="E462" t="s">
        <v>24</v>
      </c>
      <c r="F462">
        <v>29</v>
      </c>
      <c r="G462" t="s">
        <v>25</v>
      </c>
      <c r="H462" t="s">
        <v>48</v>
      </c>
      <c r="I462" t="s">
        <v>34</v>
      </c>
      <c r="J462" t="s">
        <v>40</v>
      </c>
      <c r="K462" t="s">
        <v>29</v>
      </c>
      <c r="L462" t="s">
        <v>30</v>
      </c>
      <c r="M462" t="s">
        <v>29</v>
      </c>
      <c r="N462" t="s">
        <v>51</v>
      </c>
      <c r="O462">
        <v>4306</v>
      </c>
      <c r="P462">
        <v>5</v>
      </c>
      <c r="Q462" t="s">
        <v>36</v>
      </c>
      <c r="R462">
        <v>12</v>
      </c>
      <c r="S462" t="s">
        <v>33</v>
      </c>
      <c r="T462" t="s">
        <v>34</v>
      </c>
      <c r="U462">
        <v>5</v>
      </c>
      <c r="V462" t="s">
        <v>44</v>
      </c>
      <c r="W462" t="str">
        <f>IF(HR_Data[[#This Row],[age]]&lt;25,"Under 25",IF(HR_Data[[#This Row],[age]]&lt;35,"25-34",IF(HR_Data[[#This Row],[age]]&lt;45,"35-44",IF(HR_Data[[#This Row],[age]]&lt;55,"45-54","55+"))))</f>
        <v>25-34</v>
      </c>
      <c r="X462" t="str">
        <f t="shared" si="7"/>
        <v>3,000-4,999</v>
      </c>
    </row>
    <row r="463" spans="1:24" x14ac:dyDescent="0.3">
      <c r="A463">
        <v>620</v>
      </c>
      <c r="B463">
        <v>35</v>
      </c>
      <c r="C463" t="s">
        <v>36</v>
      </c>
      <c r="D463" t="s">
        <v>23</v>
      </c>
      <c r="E463" t="s">
        <v>24</v>
      </c>
      <c r="F463">
        <v>1</v>
      </c>
      <c r="G463" t="s">
        <v>50</v>
      </c>
      <c r="H463" t="s">
        <v>48</v>
      </c>
      <c r="I463" t="s">
        <v>34</v>
      </c>
      <c r="J463" t="s">
        <v>28</v>
      </c>
      <c r="K463" t="s">
        <v>29</v>
      </c>
      <c r="L463" t="s">
        <v>30</v>
      </c>
      <c r="M463" t="s">
        <v>29</v>
      </c>
      <c r="N463" t="s">
        <v>32</v>
      </c>
      <c r="O463">
        <v>4859</v>
      </c>
      <c r="P463">
        <v>1</v>
      </c>
      <c r="Q463" t="s">
        <v>36</v>
      </c>
      <c r="R463">
        <v>16</v>
      </c>
      <c r="S463" t="s">
        <v>33</v>
      </c>
      <c r="T463" t="s">
        <v>31</v>
      </c>
      <c r="U463">
        <v>3</v>
      </c>
      <c r="V463" t="s">
        <v>44</v>
      </c>
      <c r="W463" t="str">
        <f>IF(HR_Data[[#This Row],[age]]&lt;25,"Under 25",IF(HR_Data[[#This Row],[age]]&lt;35,"25-34",IF(HR_Data[[#This Row],[age]]&lt;45,"35-44",IF(HR_Data[[#This Row],[age]]&lt;55,"45-54","55+"))))</f>
        <v>35-44</v>
      </c>
      <c r="X463" t="str">
        <f t="shared" si="7"/>
        <v>3,000-4,999</v>
      </c>
    </row>
    <row r="464" spans="1:24" x14ac:dyDescent="0.3">
      <c r="A464">
        <v>621</v>
      </c>
      <c r="B464">
        <v>34</v>
      </c>
      <c r="C464" t="s">
        <v>36</v>
      </c>
      <c r="D464" t="s">
        <v>23</v>
      </c>
      <c r="E464" t="s">
        <v>24</v>
      </c>
      <c r="F464">
        <v>21</v>
      </c>
      <c r="G464" t="s">
        <v>47</v>
      </c>
      <c r="H464" t="s">
        <v>26</v>
      </c>
      <c r="I464" t="s">
        <v>31</v>
      </c>
      <c r="J464" t="s">
        <v>40</v>
      </c>
      <c r="K464" t="s">
        <v>31</v>
      </c>
      <c r="L464" t="s">
        <v>30</v>
      </c>
      <c r="M464" t="s">
        <v>31</v>
      </c>
      <c r="N464" t="s">
        <v>32</v>
      </c>
      <c r="O464">
        <v>5337</v>
      </c>
      <c r="P464">
        <v>1</v>
      </c>
      <c r="Q464" t="s">
        <v>36</v>
      </c>
      <c r="R464">
        <v>12</v>
      </c>
      <c r="S464" t="s">
        <v>33</v>
      </c>
      <c r="T464" t="s">
        <v>31</v>
      </c>
      <c r="U464">
        <v>3</v>
      </c>
      <c r="V464" t="s">
        <v>44</v>
      </c>
      <c r="W464" t="str">
        <f>IF(HR_Data[[#This Row],[age]]&lt;25,"Under 25",IF(HR_Data[[#This Row],[age]]&lt;35,"25-34",IF(HR_Data[[#This Row],[age]]&lt;45,"35-44",IF(HR_Data[[#This Row],[age]]&lt;55,"45-54","55+"))))</f>
        <v>25-34</v>
      </c>
      <c r="X464" t="str">
        <f t="shared" si="7"/>
        <v>5,000-7,999</v>
      </c>
    </row>
    <row r="465" spans="1:24" x14ac:dyDescent="0.3">
      <c r="A465">
        <v>622</v>
      </c>
      <c r="B465">
        <v>26</v>
      </c>
      <c r="C465" t="s">
        <v>22</v>
      </c>
      <c r="D465" t="s">
        <v>23</v>
      </c>
      <c r="E465" t="s">
        <v>38</v>
      </c>
      <c r="F465">
        <v>24</v>
      </c>
      <c r="G465" t="s">
        <v>50</v>
      </c>
      <c r="H465" t="s">
        <v>60</v>
      </c>
      <c r="I465" t="s">
        <v>29</v>
      </c>
      <c r="J465" t="s">
        <v>40</v>
      </c>
      <c r="K465" t="s">
        <v>34</v>
      </c>
      <c r="L465" t="s">
        <v>46</v>
      </c>
      <c r="M465" t="s">
        <v>31</v>
      </c>
      <c r="N465" t="s">
        <v>32</v>
      </c>
      <c r="O465">
        <v>2340</v>
      </c>
      <c r="P465">
        <v>1</v>
      </c>
      <c r="Q465" t="s">
        <v>22</v>
      </c>
      <c r="R465">
        <v>18</v>
      </c>
      <c r="S465" t="s">
        <v>33</v>
      </c>
      <c r="T465" t="s">
        <v>27</v>
      </c>
      <c r="U465">
        <v>3</v>
      </c>
      <c r="V465" t="s">
        <v>35</v>
      </c>
      <c r="W465" t="str">
        <f>IF(HR_Data[[#This Row],[age]]&lt;25,"Under 25",IF(HR_Data[[#This Row],[age]]&lt;35,"25-34",IF(HR_Data[[#This Row],[age]]&lt;45,"35-44",IF(HR_Data[[#This Row],[age]]&lt;55,"45-54","55+"))))</f>
        <v>25-34</v>
      </c>
      <c r="X465" t="str">
        <f t="shared" si="7"/>
        <v>Below 3,000</v>
      </c>
    </row>
    <row r="466" spans="1:24" x14ac:dyDescent="0.3">
      <c r="A466">
        <v>623</v>
      </c>
      <c r="B466">
        <v>37</v>
      </c>
      <c r="C466" t="s">
        <v>36</v>
      </c>
      <c r="D466" t="s">
        <v>23</v>
      </c>
      <c r="E466" t="s">
        <v>38</v>
      </c>
      <c r="F466">
        <v>1</v>
      </c>
      <c r="G466" t="s">
        <v>50</v>
      </c>
      <c r="H466" t="s">
        <v>60</v>
      </c>
      <c r="I466" t="s">
        <v>27</v>
      </c>
      <c r="J466" t="s">
        <v>28</v>
      </c>
      <c r="K466" t="s">
        <v>29</v>
      </c>
      <c r="L466" t="s">
        <v>52</v>
      </c>
      <c r="M466" t="s">
        <v>31</v>
      </c>
      <c r="N466" t="s">
        <v>32</v>
      </c>
      <c r="O466">
        <v>7491</v>
      </c>
      <c r="P466">
        <v>4</v>
      </c>
      <c r="Q466" t="s">
        <v>36</v>
      </c>
      <c r="R466">
        <v>17</v>
      </c>
      <c r="S466" t="s">
        <v>33</v>
      </c>
      <c r="T466" t="s">
        <v>31</v>
      </c>
      <c r="U466">
        <v>3</v>
      </c>
      <c r="V466" t="s">
        <v>59</v>
      </c>
      <c r="W466" t="str">
        <f>IF(HR_Data[[#This Row],[age]]&lt;25,"Under 25",IF(HR_Data[[#This Row],[age]]&lt;35,"25-34",IF(HR_Data[[#This Row],[age]]&lt;45,"35-44",IF(HR_Data[[#This Row],[age]]&lt;55,"45-54","55+"))))</f>
        <v>35-44</v>
      </c>
      <c r="X466" t="str">
        <f t="shared" si="7"/>
        <v>5,000-7,999</v>
      </c>
    </row>
    <row r="467" spans="1:24" x14ac:dyDescent="0.3">
      <c r="A467">
        <v>624</v>
      </c>
      <c r="B467">
        <v>46</v>
      </c>
      <c r="C467" t="s">
        <v>36</v>
      </c>
      <c r="D467" t="s">
        <v>37</v>
      </c>
      <c r="E467" t="s">
        <v>38</v>
      </c>
      <c r="F467">
        <v>18</v>
      </c>
      <c r="G467" t="s">
        <v>39</v>
      </c>
      <c r="H467" t="s">
        <v>48</v>
      </c>
      <c r="I467" t="s">
        <v>34</v>
      </c>
      <c r="J467" t="s">
        <v>28</v>
      </c>
      <c r="K467" t="s">
        <v>29</v>
      </c>
      <c r="L467" t="s">
        <v>53</v>
      </c>
      <c r="M467" t="s">
        <v>29</v>
      </c>
      <c r="N467" t="s">
        <v>42</v>
      </c>
      <c r="O467">
        <v>10527</v>
      </c>
      <c r="P467">
        <v>5</v>
      </c>
      <c r="Q467" t="s">
        <v>36</v>
      </c>
      <c r="R467">
        <v>11</v>
      </c>
      <c r="S467" t="s">
        <v>33</v>
      </c>
      <c r="T467" t="s">
        <v>31</v>
      </c>
      <c r="U467">
        <v>3</v>
      </c>
      <c r="V467" t="s">
        <v>49</v>
      </c>
      <c r="W467" t="str">
        <f>IF(HR_Data[[#This Row],[age]]&lt;25,"Under 25",IF(HR_Data[[#This Row],[age]]&lt;35,"25-34",IF(HR_Data[[#This Row],[age]]&lt;45,"35-44",IF(HR_Data[[#This Row],[age]]&lt;55,"45-54","55+"))))</f>
        <v>45-54</v>
      </c>
      <c r="X467" t="str">
        <f t="shared" si="7"/>
        <v>8,000+</v>
      </c>
    </row>
    <row r="468" spans="1:24" x14ac:dyDescent="0.3">
      <c r="A468">
        <v>625</v>
      </c>
      <c r="B468">
        <v>41</v>
      </c>
      <c r="C468" t="s">
        <v>36</v>
      </c>
      <c r="D468" t="s">
        <v>23</v>
      </c>
      <c r="E468" t="s">
        <v>24</v>
      </c>
      <c r="F468">
        <v>2</v>
      </c>
      <c r="G468" t="s">
        <v>61</v>
      </c>
      <c r="H468" t="s">
        <v>26</v>
      </c>
      <c r="I468" t="s">
        <v>27</v>
      </c>
      <c r="J468" t="s">
        <v>28</v>
      </c>
      <c r="K468" t="s">
        <v>29</v>
      </c>
      <c r="L468" t="s">
        <v>55</v>
      </c>
      <c r="M468" t="s">
        <v>34</v>
      </c>
      <c r="N468" t="s">
        <v>42</v>
      </c>
      <c r="O468">
        <v>16595</v>
      </c>
      <c r="P468">
        <v>7</v>
      </c>
      <c r="Q468" t="s">
        <v>36</v>
      </c>
      <c r="R468">
        <v>16</v>
      </c>
      <c r="S468" t="s">
        <v>33</v>
      </c>
      <c r="T468" t="s">
        <v>27</v>
      </c>
      <c r="U468">
        <v>2</v>
      </c>
      <c r="V468" t="s">
        <v>44</v>
      </c>
      <c r="W468" t="str">
        <f>IF(HR_Data[[#This Row],[age]]&lt;25,"Under 25",IF(HR_Data[[#This Row],[age]]&lt;35,"25-34",IF(HR_Data[[#This Row],[age]]&lt;45,"35-44",IF(HR_Data[[#This Row],[age]]&lt;55,"45-54","55+"))))</f>
        <v>35-44</v>
      </c>
      <c r="X468" t="str">
        <f t="shared" si="7"/>
        <v>8,000+</v>
      </c>
    </row>
    <row r="469" spans="1:24" x14ac:dyDescent="0.3">
      <c r="A469">
        <v>626</v>
      </c>
      <c r="B469">
        <v>37</v>
      </c>
      <c r="C469" t="s">
        <v>36</v>
      </c>
      <c r="D469" t="s">
        <v>54</v>
      </c>
      <c r="E469" t="s">
        <v>24</v>
      </c>
      <c r="F469">
        <v>9</v>
      </c>
      <c r="G469" t="s">
        <v>47</v>
      </c>
      <c r="H469" t="s">
        <v>48</v>
      </c>
      <c r="I469" t="s">
        <v>34</v>
      </c>
      <c r="J469" t="s">
        <v>40</v>
      </c>
      <c r="K469" t="s">
        <v>29</v>
      </c>
      <c r="L469" t="s">
        <v>30</v>
      </c>
      <c r="M469" t="s">
        <v>27</v>
      </c>
      <c r="N469" t="s">
        <v>51</v>
      </c>
      <c r="O469">
        <v>8834</v>
      </c>
      <c r="P469">
        <v>1</v>
      </c>
      <c r="Q469" t="s">
        <v>36</v>
      </c>
      <c r="R469">
        <v>13</v>
      </c>
      <c r="S469" t="s">
        <v>33</v>
      </c>
      <c r="T469" t="s">
        <v>31</v>
      </c>
      <c r="U469">
        <v>6</v>
      </c>
      <c r="V469" t="s">
        <v>44</v>
      </c>
      <c r="W469" t="str">
        <f>IF(HR_Data[[#This Row],[age]]&lt;25,"Under 25",IF(HR_Data[[#This Row],[age]]&lt;35,"25-34",IF(HR_Data[[#This Row],[age]]&lt;45,"35-44",IF(HR_Data[[#This Row],[age]]&lt;55,"45-54","55+"))))</f>
        <v>35-44</v>
      </c>
      <c r="X469" t="str">
        <f t="shared" si="7"/>
        <v>8,000+</v>
      </c>
    </row>
    <row r="470" spans="1:24" x14ac:dyDescent="0.3">
      <c r="A470">
        <v>630</v>
      </c>
      <c r="B470">
        <v>52</v>
      </c>
      <c r="C470" t="s">
        <v>36</v>
      </c>
      <c r="D470" t="s">
        <v>23</v>
      </c>
      <c r="E470" t="s">
        <v>38</v>
      </c>
      <c r="F470">
        <v>6</v>
      </c>
      <c r="G470" t="s">
        <v>25</v>
      </c>
      <c r="H470" t="s">
        <v>60</v>
      </c>
      <c r="I470" t="s">
        <v>31</v>
      </c>
      <c r="J470" t="s">
        <v>40</v>
      </c>
      <c r="K470" t="s">
        <v>29</v>
      </c>
      <c r="L470" t="s">
        <v>41</v>
      </c>
      <c r="M470" t="s">
        <v>34</v>
      </c>
      <c r="N470" t="s">
        <v>51</v>
      </c>
      <c r="O470">
        <v>5577</v>
      </c>
      <c r="P470">
        <v>3</v>
      </c>
      <c r="Q470" t="s">
        <v>22</v>
      </c>
      <c r="R470">
        <v>12</v>
      </c>
      <c r="S470" t="s">
        <v>33</v>
      </c>
      <c r="T470" t="s">
        <v>27</v>
      </c>
      <c r="U470">
        <v>3</v>
      </c>
      <c r="V470" t="s">
        <v>44</v>
      </c>
      <c r="W470" t="str">
        <f>IF(HR_Data[[#This Row],[age]]&lt;25,"Under 25",IF(HR_Data[[#This Row],[age]]&lt;35,"25-34",IF(HR_Data[[#This Row],[age]]&lt;45,"35-44",IF(HR_Data[[#This Row],[age]]&lt;55,"45-54","55+"))))</f>
        <v>45-54</v>
      </c>
      <c r="X470" t="str">
        <f t="shared" si="7"/>
        <v>5,000-7,999</v>
      </c>
    </row>
    <row r="471" spans="1:24" x14ac:dyDescent="0.3">
      <c r="A471">
        <v>631</v>
      </c>
      <c r="B471">
        <v>32</v>
      </c>
      <c r="C471" t="s">
        <v>22</v>
      </c>
      <c r="D471" t="s">
        <v>54</v>
      </c>
      <c r="E471" t="s">
        <v>24</v>
      </c>
      <c r="F471">
        <v>11</v>
      </c>
      <c r="G471" t="s">
        <v>47</v>
      </c>
      <c r="H471" t="s">
        <v>45</v>
      </c>
      <c r="I471" t="s">
        <v>31</v>
      </c>
      <c r="J471" t="s">
        <v>40</v>
      </c>
      <c r="K471" t="s">
        <v>31</v>
      </c>
      <c r="L471" t="s">
        <v>30</v>
      </c>
      <c r="M471" t="s">
        <v>29</v>
      </c>
      <c r="N471" t="s">
        <v>42</v>
      </c>
      <c r="O471">
        <v>4707</v>
      </c>
      <c r="P471">
        <v>8</v>
      </c>
      <c r="Q471" t="s">
        <v>36</v>
      </c>
      <c r="R471">
        <v>12</v>
      </c>
      <c r="S471" t="s">
        <v>33</v>
      </c>
      <c r="T471" t="s">
        <v>31</v>
      </c>
      <c r="U471">
        <v>2</v>
      </c>
      <c r="V471" t="s">
        <v>44</v>
      </c>
      <c r="W471" t="str">
        <f>IF(HR_Data[[#This Row],[age]]&lt;25,"Under 25",IF(HR_Data[[#This Row],[age]]&lt;35,"25-34",IF(HR_Data[[#This Row],[age]]&lt;45,"35-44",IF(HR_Data[[#This Row],[age]]&lt;55,"45-54","55+"))))</f>
        <v>25-34</v>
      </c>
      <c r="X471" t="str">
        <f t="shared" si="7"/>
        <v>3,000-4,999</v>
      </c>
    </row>
    <row r="472" spans="1:24" x14ac:dyDescent="0.3">
      <c r="A472">
        <v>632</v>
      </c>
      <c r="B472">
        <v>24</v>
      </c>
      <c r="C472" t="s">
        <v>36</v>
      </c>
      <c r="D472" t="s">
        <v>37</v>
      </c>
      <c r="E472" t="s">
        <v>24</v>
      </c>
      <c r="F472">
        <v>24</v>
      </c>
      <c r="G472" t="s">
        <v>50</v>
      </c>
      <c r="H472" t="s">
        <v>48</v>
      </c>
      <c r="I472" t="s">
        <v>31</v>
      </c>
      <c r="J472" t="s">
        <v>40</v>
      </c>
      <c r="K472" t="s">
        <v>29</v>
      </c>
      <c r="L472" t="s">
        <v>56</v>
      </c>
      <c r="M472" t="s">
        <v>31</v>
      </c>
      <c r="N472" t="s">
        <v>42</v>
      </c>
      <c r="O472">
        <v>2400</v>
      </c>
      <c r="P472">
        <v>0</v>
      </c>
      <c r="Q472" t="s">
        <v>36</v>
      </c>
      <c r="R472">
        <v>13</v>
      </c>
      <c r="S472" t="s">
        <v>33</v>
      </c>
      <c r="T472" t="s">
        <v>29</v>
      </c>
      <c r="U472">
        <v>3</v>
      </c>
      <c r="V472" t="s">
        <v>44</v>
      </c>
      <c r="W472" t="str">
        <f>IF(HR_Data[[#This Row],[age]]&lt;25,"Under 25",IF(HR_Data[[#This Row],[age]]&lt;35,"25-34",IF(HR_Data[[#This Row],[age]]&lt;45,"35-44",IF(HR_Data[[#This Row],[age]]&lt;55,"45-54","55+"))))</f>
        <v>Under 25</v>
      </c>
      <c r="X472" t="str">
        <f t="shared" si="7"/>
        <v>Below 3,000</v>
      </c>
    </row>
    <row r="473" spans="1:24" x14ac:dyDescent="0.3">
      <c r="A473">
        <v>634</v>
      </c>
      <c r="B473">
        <v>38</v>
      </c>
      <c r="C473" t="s">
        <v>36</v>
      </c>
      <c r="D473" t="s">
        <v>23</v>
      </c>
      <c r="E473" t="s">
        <v>38</v>
      </c>
      <c r="F473">
        <v>10</v>
      </c>
      <c r="G473" t="s">
        <v>50</v>
      </c>
      <c r="H473" t="s">
        <v>48</v>
      </c>
      <c r="I473" t="s">
        <v>29</v>
      </c>
      <c r="J473" t="s">
        <v>28</v>
      </c>
      <c r="K473" t="s">
        <v>29</v>
      </c>
      <c r="L473" t="s">
        <v>53</v>
      </c>
      <c r="M473" t="s">
        <v>29</v>
      </c>
      <c r="N473" t="s">
        <v>42</v>
      </c>
      <c r="O473">
        <v>9824</v>
      </c>
      <c r="P473">
        <v>3</v>
      </c>
      <c r="Q473" t="s">
        <v>36</v>
      </c>
      <c r="R473">
        <v>19</v>
      </c>
      <c r="S473" t="s">
        <v>33</v>
      </c>
      <c r="T473" t="s">
        <v>29</v>
      </c>
      <c r="U473">
        <v>4</v>
      </c>
      <c r="V473" t="s">
        <v>44</v>
      </c>
      <c r="W473" t="str">
        <f>IF(HR_Data[[#This Row],[age]]&lt;25,"Under 25",IF(HR_Data[[#This Row],[age]]&lt;35,"25-34",IF(HR_Data[[#This Row],[age]]&lt;45,"35-44",IF(HR_Data[[#This Row],[age]]&lt;55,"45-54","55+"))))</f>
        <v>35-44</v>
      </c>
      <c r="X473" t="str">
        <f t="shared" si="7"/>
        <v>8,000+</v>
      </c>
    </row>
    <row r="474" spans="1:24" x14ac:dyDescent="0.3">
      <c r="A474">
        <v>635</v>
      </c>
      <c r="B474">
        <v>37</v>
      </c>
      <c r="C474" t="s">
        <v>36</v>
      </c>
      <c r="D474" t="s">
        <v>23</v>
      </c>
      <c r="E474" t="s">
        <v>38</v>
      </c>
      <c r="F474">
        <v>1</v>
      </c>
      <c r="G474" t="s">
        <v>47</v>
      </c>
      <c r="H474" t="s">
        <v>26</v>
      </c>
      <c r="I474" t="s">
        <v>27</v>
      </c>
      <c r="J474" t="s">
        <v>28</v>
      </c>
      <c r="K474" t="s">
        <v>29</v>
      </c>
      <c r="L474" t="s">
        <v>52</v>
      </c>
      <c r="M474" t="s">
        <v>27</v>
      </c>
      <c r="N474" t="s">
        <v>42</v>
      </c>
      <c r="O474">
        <v>6447</v>
      </c>
      <c r="P474">
        <v>6</v>
      </c>
      <c r="Q474" t="s">
        <v>36</v>
      </c>
      <c r="R474">
        <v>12</v>
      </c>
      <c r="S474" t="s">
        <v>33</v>
      </c>
      <c r="T474" t="s">
        <v>27</v>
      </c>
      <c r="U474">
        <v>2</v>
      </c>
      <c r="V474" t="s">
        <v>49</v>
      </c>
      <c r="W474" t="str">
        <f>IF(HR_Data[[#This Row],[age]]&lt;25,"Under 25",IF(HR_Data[[#This Row],[age]]&lt;35,"25-34",IF(HR_Data[[#This Row],[age]]&lt;45,"35-44",IF(HR_Data[[#This Row],[age]]&lt;55,"45-54","55+"))))</f>
        <v>35-44</v>
      </c>
      <c r="X474" t="str">
        <f t="shared" si="7"/>
        <v>5,000-7,999</v>
      </c>
    </row>
    <row r="475" spans="1:24" x14ac:dyDescent="0.3">
      <c r="A475">
        <v>638</v>
      </c>
      <c r="B475">
        <v>49</v>
      </c>
      <c r="C475" t="s">
        <v>36</v>
      </c>
      <c r="D475" t="s">
        <v>23</v>
      </c>
      <c r="E475" t="s">
        <v>38</v>
      </c>
      <c r="F475">
        <v>18</v>
      </c>
      <c r="G475" t="s">
        <v>47</v>
      </c>
      <c r="H475" t="s">
        <v>26</v>
      </c>
      <c r="I475" t="s">
        <v>31</v>
      </c>
      <c r="J475" t="s">
        <v>40</v>
      </c>
      <c r="K475" t="s">
        <v>27</v>
      </c>
      <c r="L475" t="s">
        <v>57</v>
      </c>
      <c r="M475" t="s">
        <v>29</v>
      </c>
      <c r="N475" t="s">
        <v>51</v>
      </c>
      <c r="O475">
        <v>19502</v>
      </c>
      <c r="P475">
        <v>1</v>
      </c>
      <c r="Q475" t="s">
        <v>22</v>
      </c>
      <c r="R475">
        <v>17</v>
      </c>
      <c r="S475" t="s">
        <v>33</v>
      </c>
      <c r="T475" t="s">
        <v>29</v>
      </c>
      <c r="U475">
        <v>5</v>
      </c>
      <c r="V475" t="s">
        <v>44</v>
      </c>
      <c r="W475" t="str">
        <f>IF(HR_Data[[#This Row],[age]]&lt;25,"Under 25",IF(HR_Data[[#This Row],[age]]&lt;35,"25-34",IF(HR_Data[[#This Row],[age]]&lt;45,"35-44",IF(HR_Data[[#This Row],[age]]&lt;55,"45-54","55+"))))</f>
        <v>45-54</v>
      </c>
      <c r="X475" t="str">
        <f t="shared" si="7"/>
        <v>8,000+</v>
      </c>
    </row>
    <row r="476" spans="1:24" x14ac:dyDescent="0.3">
      <c r="A476">
        <v>639</v>
      </c>
      <c r="B476">
        <v>24</v>
      </c>
      <c r="C476" t="s">
        <v>36</v>
      </c>
      <c r="D476" t="s">
        <v>23</v>
      </c>
      <c r="E476" t="s">
        <v>38</v>
      </c>
      <c r="F476">
        <v>23</v>
      </c>
      <c r="G476" t="s">
        <v>50</v>
      </c>
      <c r="H476" t="s">
        <v>48</v>
      </c>
      <c r="I476" t="s">
        <v>27</v>
      </c>
      <c r="J476" t="s">
        <v>40</v>
      </c>
      <c r="K476" t="s">
        <v>31</v>
      </c>
      <c r="L476" t="s">
        <v>41</v>
      </c>
      <c r="M476" t="s">
        <v>31</v>
      </c>
      <c r="N476" t="s">
        <v>42</v>
      </c>
      <c r="O476">
        <v>2725</v>
      </c>
      <c r="P476">
        <v>1</v>
      </c>
      <c r="Q476" t="s">
        <v>22</v>
      </c>
      <c r="R476">
        <v>11</v>
      </c>
      <c r="S476" t="s">
        <v>33</v>
      </c>
      <c r="T476" t="s">
        <v>27</v>
      </c>
      <c r="U476">
        <v>3</v>
      </c>
      <c r="V476" t="s">
        <v>44</v>
      </c>
      <c r="W476" t="str">
        <f>IF(HR_Data[[#This Row],[age]]&lt;25,"Under 25",IF(HR_Data[[#This Row],[age]]&lt;35,"25-34",IF(HR_Data[[#This Row],[age]]&lt;45,"35-44",IF(HR_Data[[#This Row],[age]]&lt;55,"45-54","55+"))))</f>
        <v>Under 25</v>
      </c>
      <c r="X476" t="str">
        <f t="shared" si="7"/>
        <v>Below 3,000</v>
      </c>
    </row>
    <row r="477" spans="1:24" x14ac:dyDescent="0.3">
      <c r="A477">
        <v>641</v>
      </c>
      <c r="B477">
        <v>26</v>
      </c>
      <c r="C477" t="s">
        <v>36</v>
      </c>
      <c r="D477" t="s">
        <v>23</v>
      </c>
      <c r="E477" t="s">
        <v>24</v>
      </c>
      <c r="F477">
        <v>28</v>
      </c>
      <c r="G477" t="s">
        <v>25</v>
      </c>
      <c r="H477" t="s">
        <v>58</v>
      </c>
      <c r="I477" t="s">
        <v>34</v>
      </c>
      <c r="J477" t="s">
        <v>40</v>
      </c>
      <c r="K477" t="s">
        <v>29</v>
      </c>
      <c r="L477" t="s">
        <v>30</v>
      </c>
      <c r="M477" t="s">
        <v>27</v>
      </c>
      <c r="N477" t="s">
        <v>42</v>
      </c>
      <c r="O477">
        <v>6272</v>
      </c>
      <c r="P477">
        <v>1</v>
      </c>
      <c r="Q477" t="s">
        <v>36</v>
      </c>
      <c r="R477">
        <v>20</v>
      </c>
      <c r="S477" t="s">
        <v>43</v>
      </c>
      <c r="T477" t="s">
        <v>31</v>
      </c>
      <c r="U477">
        <v>5</v>
      </c>
      <c r="V477" t="s">
        <v>59</v>
      </c>
      <c r="W477" t="str">
        <f>IF(HR_Data[[#This Row],[age]]&lt;25,"Under 25",IF(HR_Data[[#This Row],[age]]&lt;35,"25-34",IF(HR_Data[[#This Row],[age]]&lt;45,"35-44",IF(HR_Data[[#This Row],[age]]&lt;55,"45-54","55+"))))</f>
        <v>25-34</v>
      </c>
      <c r="X477" t="str">
        <f t="shared" si="7"/>
        <v>5,000-7,999</v>
      </c>
    </row>
    <row r="478" spans="1:24" x14ac:dyDescent="0.3">
      <c r="A478">
        <v>643</v>
      </c>
      <c r="B478">
        <v>24</v>
      </c>
      <c r="C478" t="s">
        <v>36</v>
      </c>
      <c r="D478" t="s">
        <v>23</v>
      </c>
      <c r="E478" t="s">
        <v>38</v>
      </c>
      <c r="F478">
        <v>17</v>
      </c>
      <c r="G478" t="s">
        <v>25</v>
      </c>
      <c r="H478" t="s">
        <v>45</v>
      </c>
      <c r="I478" t="s">
        <v>31</v>
      </c>
      <c r="J478" t="s">
        <v>40</v>
      </c>
      <c r="K478" t="s">
        <v>27</v>
      </c>
      <c r="L478" t="s">
        <v>46</v>
      </c>
      <c r="M478" t="s">
        <v>27</v>
      </c>
      <c r="N478" t="s">
        <v>42</v>
      </c>
      <c r="O478">
        <v>2127</v>
      </c>
      <c r="P478">
        <v>1</v>
      </c>
      <c r="Q478" t="s">
        <v>36</v>
      </c>
      <c r="R478">
        <v>21</v>
      </c>
      <c r="S478" t="s">
        <v>43</v>
      </c>
      <c r="T478" t="s">
        <v>31</v>
      </c>
      <c r="U478">
        <v>2</v>
      </c>
      <c r="V478" t="s">
        <v>44</v>
      </c>
      <c r="W478" t="str">
        <f>IF(HR_Data[[#This Row],[age]]&lt;25,"Under 25",IF(HR_Data[[#This Row],[age]]&lt;35,"25-34",IF(HR_Data[[#This Row],[age]]&lt;45,"35-44",IF(HR_Data[[#This Row],[age]]&lt;55,"45-54","55+"))))</f>
        <v>Under 25</v>
      </c>
      <c r="X478" t="str">
        <f t="shared" si="7"/>
        <v>Below 3,000</v>
      </c>
    </row>
    <row r="479" spans="1:24" x14ac:dyDescent="0.3">
      <c r="A479">
        <v>644</v>
      </c>
      <c r="B479">
        <v>50</v>
      </c>
      <c r="C479" t="s">
        <v>36</v>
      </c>
      <c r="D479" t="s">
        <v>37</v>
      </c>
      <c r="E479" t="s">
        <v>62</v>
      </c>
      <c r="F479">
        <v>3</v>
      </c>
      <c r="G479" t="s">
        <v>50</v>
      </c>
      <c r="H479" t="s">
        <v>48</v>
      </c>
      <c r="I479" t="s">
        <v>34</v>
      </c>
      <c r="J479" t="s">
        <v>40</v>
      </c>
      <c r="K479" t="s">
        <v>29</v>
      </c>
      <c r="L479" t="s">
        <v>55</v>
      </c>
      <c r="M479" t="s">
        <v>27</v>
      </c>
      <c r="N479" t="s">
        <v>42</v>
      </c>
      <c r="O479">
        <v>18200</v>
      </c>
      <c r="P479">
        <v>1</v>
      </c>
      <c r="Q479" t="s">
        <v>36</v>
      </c>
      <c r="R479">
        <v>11</v>
      </c>
      <c r="S479" t="s">
        <v>33</v>
      </c>
      <c r="T479" t="s">
        <v>29</v>
      </c>
      <c r="U479">
        <v>2</v>
      </c>
      <c r="V479" t="s">
        <v>44</v>
      </c>
      <c r="W479" t="str">
        <f>IF(HR_Data[[#This Row],[age]]&lt;25,"Under 25",IF(HR_Data[[#This Row],[age]]&lt;35,"25-34",IF(HR_Data[[#This Row],[age]]&lt;45,"35-44",IF(HR_Data[[#This Row],[age]]&lt;55,"45-54","55+"))))</f>
        <v>45-54</v>
      </c>
      <c r="X479" t="str">
        <f t="shared" si="7"/>
        <v>8,000+</v>
      </c>
    </row>
    <row r="480" spans="1:24" x14ac:dyDescent="0.3">
      <c r="A480">
        <v>645</v>
      </c>
      <c r="B480">
        <v>25</v>
      </c>
      <c r="C480" t="s">
        <v>36</v>
      </c>
      <c r="D480" t="s">
        <v>23</v>
      </c>
      <c r="E480" t="s">
        <v>24</v>
      </c>
      <c r="F480">
        <v>13</v>
      </c>
      <c r="G480" t="s">
        <v>39</v>
      </c>
      <c r="H480" t="s">
        <v>48</v>
      </c>
      <c r="I480" t="s">
        <v>27</v>
      </c>
      <c r="J480" t="s">
        <v>40</v>
      </c>
      <c r="K480" t="s">
        <v>29</v>
      </c>
      <c r="L480" t="s">
        <v>56</v>
      </c>
      <c r="M480" t="s">
        <v>29</v>
      </c>
      <c r="N480" t="s">
        <v>42</v>
      </c>
      <c r="O480">
        <v>2096</v>
      </c>
      <c r="P480">
        <v>1</v>
      </c>
      <c r="Q480" t="s">
        <v>36</v>
      </c>
      <c r="R480">
        <v>11</v>
      </c>
      <c r="S480" t="s">
        <v>33</v>
      </c>
      <c r="T480" t="s">
        <v>29</v>
      </c>
      <c r="U480">
        <v>1</v>
      </c>
      <c r="V480" t="s">
        <v>44</v>
      </c>
      <c r="W480" t="str">
        <f>IF(HR_Data[[#This Row],[age]]&lt;25,"Under 25",IF(HR_Data[[#This Row],[age]]&lt;35,"25-34",IF(HR_Data[[#This Row],[age]]&lt;45,"35-44",IF(HR_Data[[#This Row],[age]]&lt;55,"45-54","55+"))))</f>
        <v>25-34</v>
      </c>
      <c r="X480" t="str">
        <f t="shared" si="7"/>
        <v>Below 3,000</v>
      </c>
    </row>
    <row r="481" spans="1:24" x14ac:dyDescent="0.3">
      <c r="A481">
        <v>647</v>
      </c>
      <c r="B481">
        <v>24</v>
      </c>
      <c r="C481" t="s">
        <v>22</v>
      </c>
      <c r="D481" t="s">
        <v>37</v>
      </c>
      <c r="E481" t="s">
        <v>38</v>
      </c>
      <c r="F481">
        <v>7</v>
      </c>
      <c r="G481" t="s">
        <v>50</v>
      </c>
      <c r="H481" t="s">
        <v>26</v>
      </c>
      <c r="I481" t="s">
        <v>34</v>
      </c>
      <c r="J481" t="s">
        <v>28</v>
      </c>
      <c r="K481" t="s">
        <v>29</v>
      </c>
      <c r="L481" t="s">
        <v>46</v>
      </c>
      <c r="M481" t="s">
        <v>29</v>
      </c>
      <c r="N481" t="s">
        <v>42</v>
      </c>
      <c r="O481">
        <v>2886</v>
      </c>
      <c r="P481">
        <v>1</v>
      </c>
      <c r="Q481" t="s">
        <v>22</v>
      </c>
      <c r="R481">
        <v>16</v>
      </c>
      <c r="S481" t="s">
        <v>33</v>
      </c>
      <c r="T481" t="s">
        <v>31</v>
      </c>
      <c r="U481">
        <v>4</v>
      </c>
      <c r="V481" t="s">
        <v>44</v>
      </c>
      <c r="W481" t="str">
        <f>IF(HR_Data[[#This Row],[age]]&lt;25,"Under 25",IF(HR_Data[[#This Row],[age]]&lt;35,"25-34",IF(HR_Data[[#This Row],[age]]&lt;45,"35-44",IF(HR_Data[[#This Row],[age]]&lt;55,"45-54","55+"))))</f>
        <v>Under 25</v>
      </c>
      <c r="X481" t="str">
        <f t="shared" si="7"/>
        <v>Below 3,000</v>
      </c>
    </row>
    <row r="482" spans="1:24" x14ac:dyDescent="0.3">
      <c r="A482">
        <v>648</v>
      </c>
      <c r="B482">
        <v>30</v>
      </c>
      <c r="C482" t="s">
        <v>22</v>
      </c>
      <c r="D482" t="s">
        <v>37</v>
      </c>
      <c r="E482" t="s">
        <v>24</v>
      </c>
      <c r="F482">
        <v>12</v>
      </c>
      <c r="G482" t="s">
        <v>47</v>
      </c>
      <c r="H482" t="s">
        <v>26</v>
      </c>
      <c r="I482" t="s">
        <v>27</v>
      </c>
      <c r="J482" t="s">
        <v>40</v>
      </c>
      <c r="K482" t="s">
        <v>27</v>
      </c>
      <c r="L482" t="s">
        <v>56</v>
      </c>
      <c r="M482" t="s">
        <v>34</v>
      </c>
      <c r="N482" t="s">
        <v>42</v>
      </c>
      <c r="O482">
        <v>2033</v>
      </c>
      <c r="P482">
        <v>1</v>
      </c>
      <c r="Q482" t="s">
        <v>36</v>
      </c>
      <c r="R482">
        <v>18</v>
      </c>
      <c r="S482" t="s">
        <v>33</v>
      </c>
      <c r="T482" t="s">
        <v>29</v>
      </c>
      <c r="U482">
        <v>2</v>
      </c>
      <c r="V482" t="s">
        <v>59</v>
      </c>
      <c r="W482" t="str">
        <f>IF(HR_Data[[#This Row],[age]]&lt;25,"Under 25",IF(HR_Data[[#This Row],[age]]&lt;35,"25-34",IF(HR_Data[[#This Row],[age]]&lt;45,"35-44",IF(HR_Data[[#This Row],[age]]&lt;55,"45-54","55+"))))</f>
        <v>25-34</v>
      </c>
      <c r="X482" t="str">
        <f t="shared" si="7"/>
        <v>Below 3,000</v>
      </c>
    </row>
    <row r="483" spans="1:24" x14ac:dyDescent="0.3">
      <c r="A483">
        <v>649</v>
      </c>
      <c r="B483">
        <v>34</v>
      </c>
      <c r="C483" t="s">
        <v>36</v>
      </c>
      <c r="D483" t="s">
        <v>23</v>
      </c>
      <c r="E483" t="s">
        <v>38</v>
      </c>
      <c r="F483">
        <v>1</v>
      </c>
      <c r="G483" t="s">
        <v>25</v>
      </c>
      <c r="H483" t="s">
        <v>26</v>
      </c>
      <c r="I483" t="s">
        <v>27</v>
      </c>
      <c r="J483" t="s">
        <v>40</v>
      </c>
      <c r="K483" t="s">
        <v>27</v>
      </c>
      <c r="L483" t="s">
        <v>41</v>
      </c>
      <c r="M483" t="s">
        <v>31</v>
      </c>
      <c r="N483" t="s">
        <v>42</v>
      </c>
      <c r="O483">
        <v>3622</v>
      </c>
      <c r="P483">
        <v>1</v>
      </c>
      <c r="Q483" t="s">
        <v>22</v>
      </c>
      <c r="R483">
        <v>13</v>
      </c>
      <c r="S483" t="s">
        <v>33</v>
      </c>
      <c r="T483" t="s">
        <v>31</v>
      </c>
      <c r="U483">
        <v>3</v>
      </c>
      <c r="V483" t="s">
        <v>44</v>
      </c>
      <c r="W483" t="str">
        <f>IF(HR_Data[[#This Row],[age]]&lt;25,"Under 25",IF(HR_Data[[#This Row],[age]]&lt;35,"25-34",IF(HR_Data[[#This Row],[age]]&lt;45,"35-44",IF(HR_Data[[#This Row],[age]]&lt;55,"45-54","55+"))))</f>
        <v>25-34</v>
      </c>
      <c r="X483" t="str">
        <f t="shared" si="7"/>
        <v>3,000-4,999</v>
      </c>
    </row>
    <row r="484" spans="1:24" x14ac:dyDescent="0.3">
      <c r="A484">
        <v>650</v>
      </c>
      <c r="B484">
        <v>31</v>
      </c>
      <c r="C484" t="s">
        <v>22</v>
      </c>
      <c r="D484" t="s">
        <v>23</v>
      </c>
      <c r="E484" t="s">
        <v>24</v>
      </c>
      <c r="F484">
        <v>13</v>
      </c>
      <c r="G484" t="s">
        <v>47</v>
      </c>
      <c r="H484" t="s">
        <v>48</v>
      </c>
      <c r="I484" t="s">
        <v>27</v>
      </c>
      <c r="J484" t="s">
        <v>40</v>
      </c>
      <c r="K484" t="s">
        <v>29</v>
      </c>
      <c r="L484" t="s">
        <v>30</v>
      </c>
      <c r="M484" t="s">
        <v>34</v>
      </c>
      <c r="N484" t="s">
        <v>51</v>
      </c>
      <c r="O484">
        <v>4233</v>
      </c>
      <c r="P484">
        <v>2</v>
      </c>
      <c r="Q484" t="s">
        <v>36</v>
      </c>
      <c r="R484">
        <v>17</v>
      </c>
      <c r="S484" t="s">
        <v>33</v>
      </c>
      <c r="T484" t="s">
        <v>29</v>
      </c>
      <c r="U484">
        <v>2</v>
      </c>
      <c r="V484" t="s">
        <v>35</v>
      </c>
      <c r="W484" t="str">
        <f>IF(HR_Data[[#This Row],[age]]&lt;25,"Under 25",IF(HR_Data[[#This Row],[age]]&lt;35,"25-34",IF(HR_Data[[#This Row],[age]]&lt;45,"35-44",IF(HR_Data[[#This Row],[age]]&lt;55,"45-54","55+"))))</f>
        <v>25-34</v>
      </c>
      <c r="X484" t="str">
        <f t="shared" si="7"/>
        <v>3,000-4,999</v>
      </c>
    </row>
    <row r="485" spans="1:24" x14ac:dyDescent="0.3">
      <c r="A485">
        <v>652</v>
      </c>
      <c r="B485">
        <v>35</v>
      </c>
      <c r="C485" t="s">
        <v>36</v>
      </c>
      <c r="D485" t="s">
        <v>23</v>
      </c>
      <c r="E485" t="s">
        <v>38</v>
      </c>
      <c r="F485">
        <v>25</v>
      </c>
      <c r="G485" t="s">
        <v>25</v>
      </c>
      <c r="H485" t="s">
        <v>45</v>
      </c>
      <c r="I485" t="s">
        <v>34</v>
      </c>
      <c r="J485" t="s">
        <v>40</v>
      </c>
      <c r="K485" t="s">
        <v>27</v>
      </c>
      <c r="L485" t="s">
        <v>46</v>
      </c>
      <c r="M485" t="s">
        <v>31</v>
      </c>
      <c r="N485" t="s">
        <v>32</v>
      </c>
      <c r="O485">
        <v>3681</v>
      </c>
      <c r="P485">
        <v>4</v>
      </c>
      <c r="Q485" t="s">
        <v>36</v>
      </c>
      <c r="R485">
        <v>14</v>
      </c>
      <c r="S485" t="s">
        <v>33</v>
      </c>
      <c r="T485" t="s">
        <v>31</v>
      </c>
      <c r="U485">
        <v>3</v>
      </c>
      <c r="V485" t="s">
        <v>44</v>
      </c>
      <c r="W485" t="str">
        <f>IF(HR_Data[[#This Row],[age]]&lt;25,"Under 25",IF(HR_Data[[#This Row],[age]]&lt;35,"25-34",IF(HR_Data[[#This Row],[age]]&lt;45,"35-44",IF(HR_Data[[#This Row],[age]]&lt;55,"45-54","55+"))))</f>
        <v>35-44</v>
      </c>
      <c r="X485" t="str">
        <f t="shared" si="7"/>
        <v>3,000-4,999</v>
      </c>
    </row>
    <row r="486" spans="1:24" x14ac:dyDescent="0.3">
      <c r="A486">
        <v>653</v>
      </c>
      <c r="B486">
        <v>31</v>
      </c>
      <c r="C486" t="s">
        <v>36</v>
      </c>
      <c r="D486" t="s">
        <v>23</v>
      </c>
      <c r="E486" t="s">
        <v>24</v>
      </c>
      <c r="F486">
        <v>6</v>
      </c>
      <c r="G486" t="s">
        <v>47</v>
      </c>
      <c r="H486" t="s">
        <v>48</v>
      </c>
      <c r="I486" t="s">
        <v>34</v>
      </c>
      <c r="J486" t="s">
        <v>40</v>
      </c>
      <c r="K486" t="s">
        <v>31</v>
      </c>
      <c r="L486" t="s">
        <v>30</v>
      </c>
      <c r="M486" t="s">
        <v>31</v>
      </c>
      <c r="N486" t="s">
        <v>51</v>
      </c>
      <c r="O486">
        <v>5460</v>
      </c>
      <c r="P486">
        <v>4</v>
      </c>
      <c r="Q486" t="s">
        <v>36</v>
      </c>
      <c r="R486">
        <v>22</v>
      </c>
      <c r="S486" t="s">
        <v>43</v>
      </c>
      <c r="T486" t="s">
        <v>31</v>
      </c>
      <c r="U486">
        <v>4</v>
      </c>
      <c r="V486" t="s">
        <v>59</v>
      </c>
      <c r="W486" t="str">
        <f>IF(HR_Data[[#This Row],[age]]&lt;25,"Under 25",IF(HR_Data[[#This Row],[age]]&lt;35,"25-34",IF(HR_Data[[#This Row],[age]]&lt;45,"35-44",IF(HR_Data[[#This Row],[age]]&lt;55,"45-54","55+"))))</f>
        <v>25-34</v>
      </c>
      <c r="X486" t="str">
        <f t="shared" si="7"/>
        <v>5,000-7,999</v>
      </c>
    </row>
    <row r="487" spans="1:24" x14ac:dyDescent="0.3">
      <c r="A487">
        <v>655</v>
      </c>
      <c r="B487">
        <v>27</v>
      </c>
      <c r="C487" t="s">
        <v>36</v>
      </c>
      <c r="D487" t="s">
        <v>23</v>
      </c>
      <c r="E487" t="s">
        <v>38</v>
      </c>
      <c r="F487">
        <v>6</v>
      </c>
      <c r="G487" t="s">
        <v>47</v>
      </c>
      <c r="H487" t="s">
        <v>48</v>
      </c>
      <c r="I487" t="s">
        <v>34</v>
      </c>
      <c r="J487" t="s">
        <v>28</v>
      </c>
      <c r="K487" t="s">
        <v>27</v>
      </c>
      <c r="L487" t="s">
        <v>41</v>
      </c>
      <c r="M487" t="s">
        <v>29</v>
      </c>
      <c r="N487" t="s">
        <v>51</v>
      </c>
      <c r="O487">
        <v>2187</v>
      </c>
      <c r="P487">
        <v>0</v>
      </c>
      <c r="Q487" t="s">
        <v>36</v>
      </c>
      <c r="R487">
        <v>12</v>
      </c>
      <c r="S487" t="s">
        <v>33</v>
      </c>
      <c r="T487" t="s">
        <v>29</v>
      </c>
      <c r="U487">
        <v>5</v>
      </c>
      <c r="V487" t="s">
        <v>49</v>
      </c>
      <c r="W487" t="str">
        <f>IF(HR_Data[[#This Row],[age]]&lt;25,"Under 25",IF(HR_Data[[#This Row],[age]]&lt;35,"25-34",IF(HR_Data[[#This Row],[age]]&lt;45,"35-44",IF(HR_Data[[#This Row],[age]]&lt;55,"45-54","55+"))))</f>
        <v>25-34</v>
      </c>
      <c r="X487" t="str">
        <f t="shared" si="7"/>
        <v>Below 3,000</v>
      </c>
    </row>
    <row r="488" spans="1:24" x14ac:dyDescent="0.3">
      <c r="A488">
        <v>656</v>
      </c>
      <c r="B488">
        <v>37</v>
      </c>
      <c r="C488" t="s">
        <v>36</v>
      </c>
      <c r="D488" t="s">
        <v>23</v>
      </c>
      <c r="E488" t="s">
        <v>24</v>
      </c>
      <c r="F488">
        <v>2</v>
      </c>
      <c r="G488" t="s">
        <v>50</v>
      </c>
      <c r="H488" t="s">
        <v>58</v>
      </c>
      <c r="I488" t="s">
        <v>31</v>
      </c>
      <c r="J488" t="s">
        <v>40</v>
      </c>
      <c r="K488" t="s">
        <v>29</v>
      </c>
      <c r="L488" t="s">
        <v>30</v>
      </c>
      <c r="M488" t="s">
        <v>29</v>
      </c>
      <c r="N488" t="s">
        <v>42</v>
      </c>
      <c r="O488">
        <v>9602</v>
      </c>
      <c r="P488">
        <v>4</v>
      </c>
      <c r="Q488" t="s">
        <v>22</v>
      </c>
      <c r="R488">
        <v>11</v>
      </c>
      <c r="S488" t="s">
        <v>33</v>
      </c>
      <c r="T488" t="s">
        <v>29</v>
      </c>
      <c r="U488">
        <v>3</v>
      </c>
      <c r="V488" t="s">
        <v>49</v>
      </c>
      <c r="W488" t="str">
        <f>IF(HR_Data[[#This Row],[age]]&lt;25,"Under 25",IF(HR_Data[[#This Row],[age]]&lt;35,"25-34",IF(HR_Data[[#This Row],[age]]&lt;45,"35-44",IF(HR_Data[[#This Row],[age]]&lt;55,"45-54","55+"))))</f>
        <v>35-44</v>
      </c>
      <c r="X488" t="str">
        <f t="shared" si="7"/>
        <v>8,000+</v>
      </c>
    </row>
    <row r="489" spans="1:24" x14ac:dyDescent="0.3">
      <c r="A489">
        <v>657</v>
      </c>
      <c r="B489">
        <v>20</v>
      </c>
      <c r="C489" t="s">
        <v>36</v>
      </c>
      <c r="D489" t="s">
        <v>23</v>
      </c>
      <c r="E489" t="s">
        <v>38</v>
      </c>
      <c r="F489">
        <v>1</v>
      </c>
      <c r="G489" t="s">
        <v>50</v>
      </c>
      <c r="H489" t="s">
        <v>26</v>
      </c>
      <c r="I489" t="s">
        <v>31</v>
      </c>
      <c r="J489" t="s">
        <v>28</v>
      </c>
      <c r="K489" t="s">
        <v>27</v>
      </c>
      <c r="L489" t="s">
        <v>41</v>
      </c>
      <c r="M489" t="s">
        <v>27</v>
      </c>
      <c r="N489" t="s">
        <v>32</v>
      </c>
      <c r="O489">
        <v>2836</v>
      </c>
      <c r="P489">
        <v>1</v>
      </c>
      <c r="Q489" t="s">
        <v>36</v>
      </c>
      <c r="R489">
        <v>13</v>
      </c>
      <c r="S489" t="s">
        <v>33</v>
      </c>
      <c r="T489" t="s">
        <v>31</v>
      </c>
      <c r="U489">
        <v>0</v>
      </c>
      <c r="V489" t="s">
        <v>59</v>
      </c>
      <c r="W489" t="str">
        <f>IF(HR_Data[[#This Row],[age]]&lt;25,"Under 25",IF(HR_Data[[#This Row],[age]]&lt;35,"25-34",IF(HR_Data[[#This Row],[age]]&lt;45,"35-44",IF(HR_Data[[#This Row],[age]]&lt;55,"45-54","55+"))))</f>
        <v>Under 25</v>
      </c>
      <c r="X489" t="str">
        <f t="shared" si="7"/>
        <v>Below 3,000</v>
      </c>
    </row>
    <row r="490" spans="1:24" x14ac:dyDescent="0.3">
      <c r="A490">
        <v>659</v>
      </c>
      <c r="B490">
        <v>42</v>
      </c>
      <c r="C490" t="s">
        <v>36</v>
      </c>
      <c r="D490" t="s">
        <v>23</v>
      </c>
      <c r="E490" t="s">
        <v>38</v>
      </c>
      <c r="F490">
        <v>2</v>
      </c>
      <c r="G490" t="s">
        <v>47</v>
      </c>
      <c r="H490" t="s">
        <v>26</v>
      </c>
      <c r="I490" t="s">
        <v>29</v>
      </c>
      <c r="J490" t="s">
        <v>28</v>
      </c>
      <c r="K490" t="s">
        <v>29</v>
      </c>
      <c r="L490" t="s">
        <v>53</v>
      </c>
      <c r="M490" t="s">
        <v>31</v>
      </c>
      <c r="N490" t="s">
        <v>42</v>
      </c>
      <c r="O490">
        <v>4089</v>
      </c>
      <c r="P490">
        <v>1</v>
      </c>
      <c r="Q490" t="s">
        <v>36</v>
      </c>
      <c r="R490">
        <v>13</v>
      </c>
      <c r="S490" t="s">
        <v>33</v>
      </c>
      <c r="T490" t="s">
        <v>27</v>
      </c>
      <c r="U490">
        <v>4</v>
      </c>
      <c r="V490" t="s">
        <v>44</v>
      </c>
      <c r="W490" t="str">
        <f>IF(HR_Data[[#This Row],[age]]&lt;25,"Under 25",IF(HR_Data[[#This Row],[age]]&lt;35,"25-34",IF(HR_Data[[#This Row],[age]]&lt;45,"35-44",IF(HR_Data[[#This Row],[age]]&lt;55,"45-54","55+"))))</f>
        <v>35-44</v>
      </c>
      <c r="X490" t="str">
        <f t="shared" si="7"/>
        <v>3,000-4,999</v>
      </c>
    </row>
    <row r="491" spans="1:24" x14ac:dyDescent="0.3">
      <c r="A491">
        <v>661</v>
      </c>
      <c r="B491">
        <v>43</v>
      </c>
      <c r="C491" t="s">
        <v>36</v>
      </c>
      <c r="D491" t="s">
        <v>23</v>
      </c>
      <c r="E491" t="s">
        <v>38</v>
      </c>
      <c r="F491">
        <v>6</v>
      </c>
      <c r="G491" t="s">
        <v>47</v>
      </c>
      <c r="H491" t="s">
        <v>45</v>
      </c>
      <c r="I491" t="s">
        <v>27</v>
      </c>
      <c r="J491" t="s">
        <v>40</v>
      </c>
      <c r="K491" t="s">
        <v>27</v>
      </c>
      <c r="L491" t="s">
        <v>57</v>
      </c>
      <c r="M491" t="s">
        <v>31</v>
      </c>
      <c r="N491" t="s">
        <v>51</v>
      </c>
      <c r="O491">
        <v>16627</v>
      </c>
      <c r="P491">
        <v>4</v>
      </c>
      <c r="Q491" t="s">
        <v>22</v>
      </c>
      <c r="R491">
        <v>14</v>
      </c>
      <c r="S491" t="s">
        <v>33</v>
      </c>
      <c r="T491" t="s">
        <v>29</v>
      </c>
      <c r="U491">
        <v>3</v>
      </c>
      <c r="V491" t="s">
        <v>49</v>
      </c>
      <c r="W491" t="str">
        <f>IF(HR_Data[[#This Row],[age]]&lt;25,"Under 25",IF(HR_Data[[#This Row],[age]]&lt;35,"25-34",IF(HR_Data[[#This Row],[age]]&lt;45,"35-44",IF(HR_Data[[#This Row],[age]]&lt;55,"45-54","55+"))))</f>
        <v>35-44</v>
      </c>
      <c r="X491" t="str">
        <f t="shared" si="7"/>
        <v>8,000+</v>
      </c>
    </row>
    <row r="492" spans="1:24" x14ac:dyDescent="0.3">
      <c r="A492">
        <v>662</v>
      </c>
      <c r="B492">
        <v>38</v>
      </c>
      <c r="C492" t="s">
        <v>36</v>
      </c>
      <c r="D492" t="s">
        <v>23</v>
      </c>
      <c r="E492" t="s">
        <v>38</v>
      </c>
      <c r="F492">
        <v>1</v>
      </c>
      <c r="G492" t="s">
        <v>39</v>
      </c>
      <c r="H492" t="s">
        <v>26</v>
      </c>
      <c r="I492" t="s">
        <v>29</v>
      </c>
      <c r="J492" t="s">
        <v>28</v>
      </c>
      <c r="K492" t="s">
        <v>29</v>
      </c>
      <c r="L492" t="s">
        <v>41</v>
      </c>
      <c r="M492" t="s">
        <v>34</v>
      </c>
      <c r="N492" t="s">
        <v>32</v>
      </c>
      <c r="O492">
        <v>2619</v>
      </c>
      <c r="P492">
        <v>3</v>
      </c>
      <c r="Q492" t="s">
        <v>36</v>
      </c>
      <c r="R492">
        <v>17</v>
      </c>
      <c r="S492" t="s">
        <v>33</v>
      </c>
      <c r="T492" t="s">
        <v>31</v>
      </c>
      <c r="U492">
        <v>3</v>
      </c>
      <c r="V492" t="s">
        <v>49</v>
      </c>
      <c r="W492" t="str">
        <f>IF(HR_Data[[#This Row],[age]]&lt;25,"Under 25",IF(HR_Data[[#This Row],[age]]&lt;35,"25-34",IF(HR_Data[[#This Row],[age]]&lt;45,"35-44",IF(HR_Data[[#This Row],[age]]&lt;55,"45-54","55+"))))</f>
        <v>35-44</v>
      </c>
      <c r="X492" t="str">
        <f t="shared" si="7"/>
        <v>Below 3,000</v>
      </c>
    </row>
    <row r="493" spans="1:24" x14ac:dyDescent="0.3">
      <c r="A493">
        <v>663</v>
      </c>
      <c r="B493">
        <v>43</v>
      </c>
      <c r="C493" t="s">
        <v>36</v>
      </c>
      <c r="D493" t="s">
        <v>37</v>
      </c>
      <c r="E493" t="s">
        <v>38</v>
      </c>
      <c r="F493">
        <v>9</v>
      </c>
      <c r="G493" t="s">
        <v>61</v>
      </c>
      <c r="H493" t="s">
        <v>48</v>
      </c>
      <c r="I493" t="s">
        <v>31</v>
      </c>
      <c r="J493" t="s">
        <v>40</v>
      </c>
      <c r="K493" t="s">
        <v>29</v>
      </c>
      <c r="L493" t="s">
        <v>46</v>
      </c>
      <c r="M493" t="s">
        <v>29</v>
      </c>
      <c r="N493" t="s">
        <v>51</v>
      </c>
      <c r="O493">
        <v>5679</v>
      </c>
      <c r="P493">
        <v>3</v>
      </c>
      <c r="Q493" t="s">
        <v>22</v>
      </c>
      <c r="R493">
        <v>13</v>
      </c>
      <c r="S493" t="s">
        <v>33</v>
      </c>
      <c r="T493" t="s">
        <v>27</v>
      </c>
      <c r="U493">
        <v>3</v>
      </c>
      <c r="V493" t="s">
        <v>44</v>
      </c>
      <c r="W493" t="str">
        <f>IF(HR_Data[[#This Row],[age]]&lt;25,"Under 25",IF(HR_Data[[#This Row],[age]]&lt;35,"25-34",IF(HR_Data[[#This Row],[age]]&lt;45,"35-44",IF(HR_Data[[#This Row],[age]]&lt;55,"45-54","55+"))))</f>
        <v>35-44</v>
      </c>
      <c r="X493" t="str">
        <f t="shared" si="7"/>
        <v>5,000-7,999</v>
      </c>
    </row>
    <row r="494" spans="1:24" x14ac:dyDescent="0.3">
      <c r="A494">
        <v>664</v>
      </c>
      <c r="B494">
        <v>48</v>
      </c>
      <c r="C494" t="s">
        <v>36</v>
      </c>
      <c r="D494" t="s">
        <v>23</v>
      </c>
      <c r="E494" t="s">
        <v>38</v>
      </c>
      <c r="F494">
        <v>1</v>
      </c>
      <c r="G494" t="s">
        <v>47</v>
      </c>
      <c r="H494" t="s">
        <v>26</v>
      </c>
      <c r="I494" t="s">
        <v>31</v>
      </c>
      <c r="J494" t="s">
        <v>28</v>
      </c>
      <c r="K494" t="s">
        <v>27</v>
      </c>
      <c r="L494" t="s">
        <v>55</v>
      </c>
      <c r="M494" t="s">
        <v>34</v>
      </c>
      <c r="N494" t="s">
        <v>42</v>
      </c>
      <c r="O494">
        <v>15402</v>
      </c>
      <c r="P494">
        <v>7</v>
      </c>
      <c r="Q494" t="s">
        <v>36</v>
      </c>
      <c r="R494">
        <v>11</v>
      </c>
      <c r="S494" t="s">
        <v>33</v>
      </c>
      <c r="T494" t="s">
        <v>34</v>
      </c>
      <c r="U494">
        <v>3</v>
      </c>
      <c r="V494" t="s">
        <v>35</v>
      </c>
      <c r="W494" t="str">
        <f>IF(HR_Data[[#This Row],[age]]&lt;25,"Under 25",IF(HR_Data[[#This Row],[age]]&lt;35,"25-34",IF(HR_Data[[#This Row],[age]]&lt;45,"35-44",IF(HR_Data[[#This Row],[age]]&lt;55,"45-54","55+"))))</f>
        <v>45-54</v>
      </c>
      <c r="X494" t="str">
        <f t="shared" si="7"/>
        <v>8,000+</v>
      </c>
    </row>
    <row r="495" spans="1:24" x14ac:dyDescent="0.3">
      <c r="A495">
        <v>665</v>
      </c>
      <c r="B495">
        <v>44</v>
      </c>
      <c r="C495" t="s">
        <v>36</v>
      </c>
      <c r="D495" t="s">
        <v>23</v>
      </c>
      <c r="E495" t="s">
        <v>62</v>
      </c>
      <c r="F495">
        <v>1</v>
      </c>
      <c r="G495" t="s">
        <v>47</v>
      </c>
      <c r="H495" t="s">
        <v>26</v>
      </c>
      <c r="I495" t="s">
        <v>34</v>
      </c>
      <c r="J495" t="s">
        <v>28</v>
      </c>
      <c r="K495" t="s">
        <v>27</v>
      </c>
      <c r="L495" t="s">
        <v>62</v>
      </c>
      <c r="M495" t="s">
        <v>29</v>
      </c>
      <c r="N495" t="s">
        <v>32</v>
      </c>
      <c r="O495">
        <v>5985</v>
      </c>
      <c r="P495">
        <v>4</v>
      </c>
      <c r="Q495" t="s">
        <v>36</v>
      </c>
      <c r="R495">
        <v>11</v>
      </c>
      <c r="S495" t="s">
        <v>33</v>
      </c>
      <c r="T495" t="s">
        <v>27</v>
      </c>
      <c r="U495">
        <v>1</v>
      </c>
      <c r="V495" t="s">
        <v>59</v>
      </c>
      <c r="W495" t="str">
        <f>IF(HR_Data[[#This Row],[age]]&lt;25,"Under 25",IF(HR_Data[[#This Row],[age]]&lt;35,"25-34",IF(HR_Data[[#This Row],[age]]&lt;45,"35-44",IF(HR_Data[[#This Row],[age]]&lt;55,"45-54","55+"))))</f>
        <v>35-44</v>
      </c>
      <c r="X495" t="str">
        <f t="shared" si="7"/>
        <v>5,000-7,999</v>
      </c>
    </row>
    <row r="496" spans="1:24" x14ac:dyDescent="0.3">
      <c r="A496">
        <v>666</v>
      </c>
      <c r="B496">
        <v>34</v>
      </c>
      <c r="C496" t="s">
        <v>36</v>
      </c>
      <c r="D496" t="s">
        <v>23</v>
      </c>
      <c r="E496" t="s">
        <v>24</v>
      </c>
      <c r="F496">
        <v>14</v>
      </c>
      <c r="G496" t="s">
        <v>50</v>
      </c>
      <c r="H496" t="s">
        <v>60</v>
      </c>
      <c r="I496" t="s">
        <v>29</v>
      </c>
      <c r="J496" t="s">
        <v>28</v>
      </c>
      <c r="K496" t="s">
        <v>29</v>
      </c>
      <c r="L496" t="s">
        <v>56</v>
      </c>
      <c r="M496" t="s">
        <v>29</v>
      </c>
      <c r="N496" t="s">
        <v>51</v>
      </c>
      <c r="O496">
        <v>2579</v>
      </c>
      <c r="P496">
        <v>1</v>
      </c>
      <c r="Q496" t="s">
        <v>22</v>
      </c>
      <c r="R496">
        <v>18</v>
      </c>
      <c r="S496" t="s">
        <v>33</v>
      </c>
      <c r="T496" t="s">
        <v>31</v>
      </c>
      <c r="U496">
        <v>3</v>
      </c>
      <c r="V496" t="s">
        <v>44</v>
      </c>
      <c r="W496" t="str">
        <f>IF(HR_Data[[#This Row],[age]]&lt;25,"Under 25",IF(HR_Data[[#This Row],[age]]&lt;35,"25-34",IF(HR_Data[[#This Row],[age]]&lt;45,"35-44",IF(HR_Data[[#This Row],[age]]&lt;55,"45-54","55+"))))</f>
        <v>25-34</v>
      </c>
      <c r="X496" t="str">
        <f t="shared" si="7"/>
        <v>Below 3,000</v>
      </c>
    </row>
    <row r="497" spans="1:24" x14ac:dyDescent="0.3">
      <c r="A497">
        <v>667</v>
      </c>
      <c r="B497">
        <v>27</v>
      </c>
      <c r="C497" t="s">
        <v>22</v>
      </c>
      <c r="D497" t="s">
        <v>23</v>
      </c>
      <c r="E497" t="s">
        <v>24</v>
      </c>
      <c r="F497">
        <v>2</v>
      </c>
      <c r="G497" t="s">
        <v>39</v>
      </c>
      <c r="H497" t="s">
        <v>58</v>
      </c>
      <c r="I497" t="s">
        <v>29</v>
      </c>
      <c r="J497" t="s">
        <v>40</v>
      </c>
      <c r="K497" t="s">
        <v>29</v>
      </c>
      <c r="L497" t="s">
        <v>56</v>
      </c>
      <c r="M497" t="s">
        <v>34</v>
      </c>
      <c r="N497" t="s">
        <v>51</v>
      </c>
      <c r="O497">
        <v>3041</v>
      </c>
      <c r="P497">
        <v>0</v>
      </c>
      <c r="Q497" t="s">
        <v>36</v>
      </c>
      <c r="R497">
        <v>11</v>
      </c>
      <c r="S497" t="s">
        <v>33</v>
      </c>
      <c r="T497" t="s">
        <v>27</v>
      </c>
      <c r="U497">
        <v>3</v>
      </c>
      <c r="V497" t="s">
        <v>44</v>
      </c>
      <c r="W497" t="str">
        <f>IF(HR_Data[[#This Row],[age]]&lt;25,"Under 25",IF(HR_Data[[#This Row],[age]]&lt;35,"25-34",IF(HR_Data[[#This Row],[age]]&lt;45,"35-44",IF(HR_Data[[#This Row],[age]]&lt;55,"45-54","55+"))))</f>
        <v>25-34</v>
      </c>
      <c r="X497" t="str">
        <f t="shared" si="7"/>
        <v>3,000-4,999</v>
      </c>
    </row>
    <row r="498" spans="1:24" x14ac:dyDescent="0.3">
      <c r="A498">
        <v>669</v>
      </c>
      <c r="B498">
        <v>21</v>
      </c>
      <c r="C498" t="s">
        <v>36</v>
      </c>
      <c r="D498" t="s">
        <v>23</v>
      </c>
      <c r="E498" t="s">
        <v>24</v>
      </c>
      <c r="F498">
        <v>22</v>
      </c>
      <c r="G498" t="s">
        <v>39</v>
      </c>
      <c r="H498" t="s">
        <v>60</v>
      </c>
      <c r="I498" t="s">
        <v>29</v>
      </c>
      <c r="J498" t="s">
        <v>40</v>
      </c>
      <c r="K498" t="s">
        <v>29</v>
      </c>
      <c r="L498" t="s">
        <v>56</v>
      </c>
      <c r="M498" t="s">
        <v>29</v>
      </c>
      <c r="N498" t="s">
        <v>32</v>
      </c>
      <c r="O498">
        <v>3447</v>
      </c>
      <c r="P498">
        <v>1</v>
      </c>
      <c r="Q498" t="s">
        <v>36</v>
      </c>
      <c r="R498">
        <v>11</v>
      </c>
      <c r="S498" t="s">
        <v>33</v>
      </c>
      <c r="T498" t="s">
        <v>29</v>
      </c>
      <c r="U498">
        <v>2</v>
      </c>
      <c r="V498" t="s">
        <v>44</v>
      </c>
      <c r="W498" t="str">
        <f>IF(HR_Data[[#This Row],[age]]&lt;25,"Under 25",IF(HR_Data[[#This Row],[age]]&lt;35,"25-34",IF(HR_Data[[#This Row],[age]]&lt;45,"35-44",IF(HR_Data[[#This Row],[age]]&lt;55,"45-54","55+"))))</f>
        <v>Under 25</v>
      </c>
      <c r="X498" t="str">
        <f t="shared" si="7"/>
        <v>3,000-4,999</v>
      </c>
    </row>
    <row r="499" spans="1:24" x14ac:dyDescent="0.3">
      <c r="A499">
        <v>671</v>
      </c>
      <c r="B499">
        <v>44</v>
      </c>
      <c r="C499" t="s">
        <v>36</v>
      </c>
      <c r="D499" t="s">
        <v>23</v>
      </c>
      <c r="E499" t="s">
        <v>38</v>
      </c>
      <c r="F499">
        <v>3</v>
      </c>
      <c r="G499" t="s">
        <v>47</v>
      </c>
      <c r="H499" t="s">
        <v>45</v>
      </c>
      <c r="I499" t="s">
        <v>31</v>
      </c>
      <c r="J499" t="s">
        <v>40</v>
      </c>
      <c r="K499" t="s">
        <v>29</v>
      </c>
      <c r="L499" t="s">
        <v>55</v>
      </c>
      <c r="M499" t="s">
        <v>31</v>
      </c>
      <c r="N499" t="s">
        <v>42</v>
      </c>
      <c r="O499">
        <v>19513</v>
      </c>
      <c r="P499">
        <v>4</v>
      </c>
      <c r="Q499" t="s">
        <v>22</v>
      </c>
      <c r="R499">
        <v>12</v>
      </c>
      <c r="S499" t="s">
        <v>33</v>
      </c>
      <c r="T499" t="s">
        <v>34</v>
      </c>
      <c r="U499">
        <v>2</v>
      </c>
      <c r="V499" t="s">
        <v>59</v>
      </c>
      <c r="W499" t="str">
        <f>IF(HR_Data[[#This Row],[age]]&lt;25,"Under 25",IF(HR_Data[[#This Row],[age]]&lt;35,"25-34",IF(HR_Data[[#This Row],[age]]&lt;45,"35-44",IF(HR_Data[[#This Row],[age]]&lt;55,"45-54","55+"))))</f>
        <v>35-44</v>
      </c>
      <c r="X499" t="str">
        <f t="shared" si="7"/>
        <v>8,000+</v>
      </c>
    </row>
    <row r="500" spans="1:24" x14ac:dyDescent="0.3">
      <c r="A500">
        <v>675</v>
      </c>
      <c r="B500">
        <v>22</v>
      </c>
      <c r="C500" t="s">
        <v>36</v>
      </c>
      <c r="D500" t="s">
        <v>23</v>
      </c>
      <c r="E500" t="s">
        <v>38</v>
      </c>
      <c r="F500">
        <v>6</v>
      </c>
      <c r="G500" t="s">
        <v>39</v>
      </c>
      <c r="H500" t="s">
        <v>48</v>
      </c>
      <c r="I500" t="s">
        <v>34</v>
      </c>
      <c r="J500" t="s">
        <v>40</v>
      </c>
      <c r="K500" t="s">
        <v>29</v>
      </c>
      <c r="L500" t="s">
        <v>41</v>
      </c>
      <c r="M500" t="s">
        <v>29</v>
      </c>
      <c r="N500" t="s">
        <v>42</v>
      </c>
      <c r="O500">
        <v>2773</v>
      </c>
      <c r="P500">
        <v>0</v>
      </c>
      <c r="Q500" t="s">
        <v>36</v>
      </c>
      <c r="R500">
        <v>20</v>
      </c>
      <c r="S500" t="s">
        <v>43</v>
      </c>
      <c r="T500" t="s">
        <v>31</v>
      </c>
      <c r="U500">
        <v>3</v>
      </c>
      <c r="V500" t="s">
        <v>44</v>
      </c>
      <c r="W500" t="str">
        <f>IF(HR_Data[[#This Row],[age]]&lt;25,"Under 25",IF(HR_Data[[#This Row],[age]]&lt;35,"25-34",IF(HR_Data[[#This Row],[age]]&lt;45,"35-44",IF(HR_Data[[#This Row],[age]]&lt;55,"45-54","55+"))))</f>
        <v>Under 25</v>
      </c>
      <c r="X500" t="str">
        <f t="shared" si="7"/>
        <v>Below 3,000</v>
      </c>
    </row>
    <row r="501" spans="1:24" x14ac:dyDescent="0.3">
      <c r="A501">
        <v>677</v>
      </c>
      <c r="B501">
        <v>33</v>
      </c>
      <c r="C501" t="s">
        <v>36</v>
      </c>
      <c r="D501" t="s">
        <v>23</v>
      </c>
      <c r="E501" t="s">
        <v>24</v>
      </c>
      <c r="F501">
        <v>8</v>
      </c>
      <c r="G501" t="s">
        <v>47</v>
      </c>
      <c r="H501" t="s">
        <v>58</v>
      </c>
      <c r="I501" t="s">
        <v>29</v>
      </c>
      <c r="J501" t="s">
        <v>40</v>
      </c>
      <c r="K501" t="s">
        <v>29</v>
      </c>
      <c r="L501" t="s">
        <v>30</v>
      </c>
      <c r="M501" t="s">
        <v>29</v>
      </c>
      <c r="N501" t="s">
        <v>51</v>
      </c>
      <c r="O501">
        <v>7104</v>
      </c>
      <c r="P501">
        <v>0</v>
      </c>
      <c r="Q501" t="s">
        <v>36</v>
      </c>
      <c r="R501">
        <v>12</v>
      </c>
      <c r="S501" t="s">
        <v>33</v>
      </c>
      <c r="T501" t="s">
        <v>31</v>
      </c>
      <c r="U501">
        <v>3</v>
      </c>
      <c r="V501" t="s">
        <v>44</v>
      </c>
      <c r="W501" t="str">
        <f>IF(HR_Data[[#This Row],[age]]&lt;25,"Under 25",IF(HR_Data[[#This Row],[age]]&lt;35,"25-34",IF(HR_Data[[#This Row],[age]]&lt;45,"35-44",IF(HR_Data[[#This Row],[age]]&lt;55,"45-54","55+"))))</f>
        <v>25-34</v>
      </c>
      <c r="X501" t="str">
        <f t="shared" si="7"/>
        <v>5,000-7,999</v>
      </c>
    </row>
    <row r="502" spans="1:24" x14ac:dyDescent="0.3">
      <c r="A502">
        <v>679</v>
      </c>
      <c r="B502">
        <v>32</v>
      </c>
      <c r="C502" t="s">
        <v>36</v>
      </c>
      <c r="D502" t="s">
        <v>23</v>
      </c>
      <c r="E502" t="s">
        <v>38</v>
      </c>
      <c r="F502">
        <v>9</v>
      </c>
      <c r="G502" t="s">
        <v>47</v>
      </c>
      <c r="H502" t="s">
        <v>26</v>
      </c>
      <c r="I502" t="s">
        <v>34</v>
      </c>
      <c r="J502" t="s">
        <v>28</v>
      </c>
      <c r="K502" t="s">
        <v>29</v>
      </c>
      <c r="L502" t="s">
        <v>41</v>
      </c>
      <c r="M502" t="s">
        <v>31</v>
      </c>
      <c r="N502" t="s">
        <v>42</v>
      </c>
      <c r="O502">
        <v>6322</v>
      </c>
      <c r="P502">
        <v>1</v>
      </c>
      <c r="Q502" t="s">
        <v>22</v>
      </c>
      <c r="R502">
        <v>12</v>
      </c>
      <c r="S502" t="s">
        <v>33</v>
      </c>
      <c r="T502" t="s">
        <v>31</v>
      </c>
      <c r="U502">
        <v>2</v>
      </c>
      <c r="V502" t="s">
        <v>49</v>
      </c>
      <c r="W502" t="str">
        <f>IF(HR_Data[[#This Row],[age]]&lt;25,"Under 25",IF(HR_Data[[#This Row],[age]]&lt;35,"25-34",IF(HR_Data[[#This Row],[age]]&lt;45,"35-44",IF(HR_Data[[#This Row],[age]]&lt;55,"45-54","55+"))))</f>
        <v>25-34</v>
      </c>
      <c r="X502" t="str">
        <f t="shared" si="7"/>
        <v>5,000-7,999</v>
      </c>
    </row>
    <row r="503" spans="1:24" x14ac:dyDescent="0.3">
      <c r="A503">
        <v>680</v>
      </c>
      <c r="B503">
        <v>30</v>
      </c>
      <c r="C503" t="s">
        <v>36</v>
      </c>
      <c r="D503" t="s">
        <v>37</v>
      </c>
      <c r="E503" t="s">
        <v>38</v>
      </c>
      <c r="F503">
        <v>3</v>
      </c>
      <c r="G503" t="s">
        <v>50</v>
      </c>
      <c r="H503" t="s">
        <v>48</v>
      </c>
      <c r="I503" t="s">
        <v>29</v>
      </c>
      <c r="J503" t="s">
        <v>28</v>
      </c>
      <c r="K503" t="s">
        <v>29</v>
      </c>
      <c r="L503" t="s">
        <v>41</v>
      </c>
      <c r="M503" t="s">
        <v>29</v>
      </c>
      <c r="N503" t="s">
        <v>51</v>
      </c>
      <c r="O503">
        <v>2083</v>
      </c>
      <c r="P503">
        <v>1</v>
      </c>
      <c r="Q503" t="s">
        <v>36</v>
      </c>
      <c r="R503">
        <v>20</v>
      </c>
      <c r="S503" t="s">
        <v>43</v>
      </c>
      <c r="T503" t="s">
        <v>29</v>
      </c>
      <c r="U503">
        <v>2</v>
      </c>
      <c r="V503" t="s">
        <v>44</v>
      </c>
      <c r="W503" t="str">
        <f>IF(HR_Data[[#This Row],[age]]&lt;25,"Under 25",IF(HR_Data[[#This Row],[age]]&lt;35,"25-34",IF(HR_Data[[#This Row],[age]]&lt;45,"35-44",IF(HR_Data[[#This Row],[age]]&lt;55,"45-54","55+"))))</f>
        <v>25-34</v>
      </c>
      <c r="X503" t="str">
        <f t="shared" si="7"/>
        <v>Below 3,000</v>
      </c>
    </row>
    <row r="504" spans="1:24" x14ac:dyDescent="0.3">
      <c r="A504">
        <v>682</v>
      </c>
      <c r="B504">
        <v>53</v>
      </c>
      <c r="C504" t="s">
        <v>36</v>
      </c>
      <c r="D504" t="s">
        <v>23</v>
      </c>
      <c r="E504" t="s">
        <v>24</v>
      </c>
      <c r="F504">
        <v>1</v>
      </c>
      <c r="G504" t="s">
        <v>39</v>
      </c>
      <c r="H504" t="s">
        <v>48</v>
      </c>
      <c r="I504" t="s">
        <v>31</v>
      </c>
      <c r="J504" t="s">
        <v>28</v>
      </c>
      <c r="K504" t="s">
        <v>29</v>
      </c>
      <c r="L504" t="s">
        <v>30</v>
      </c>
      <c r="M504" t="s">
        <v>34</v>
      </c>
      <c r="N504" t="s">
        <v>32</v>
      </c>
      <c r="O504">
        <v>8381</v>
      </c>
      <c r="P504">
        <v>7</v>
      </c>
      <c r="Q504" t="s">
        <v>36</v>
      </c>
      <c r="R504">
        <v>20</v>
      </c>
      <c r="S504" t="s">
        <v>43</v>
      </c>
      <c r="T504" t="s">
        <v>31</v>
      </c>
      <c r="U504">
        <v>2</v>
      </c>
      <c r="V504" t="s">
        <v>59</v>
      </c>
      <c r="W504" t="str">
        <f>IF(HR_Data[[#This Row],[age]]&lt;25,"Under 25",IF(HR_Data[[#This Row],[age]]&lt;35,"25-34",IF(HR_Data[[#This Row],[age]]&lt;45,"35-44",IF(HR_Data[[#This Row],[age]]&lt;55,"45-54","55+"))))</f>
        <v>45-54</v>
      </c>
      <c r="X504" t="str">
        <f t="shared" si="7"/>
        <v>8,000+</v>
      </c>
    </row>
    <row r="505" spans="1:24" x14ac:dyDescent="0.3">
      <c r="A505">
        <v>683</v>
      </c>
      <c r="B505">
        <v>34</v>
      </c>
      <c r="C505" t="s">
        <v>36</v>
      </c>
      <c r="D505" t="s">
        <v>23</v>
      </c>
      <c r="E505" t="s">
        <v>38</v>
      </c>
      <c r="F505">
        <v>1</v>
      </c>
      <c r="G505" t="s">
        <v>61</v>
      </c>
      <c r="H505" t="s">
        <v>26</v>
      </c>
      <c r="I505" t="s">
        <v>27</v>
      </c>
      <c r="J505" t="s">
        <v>40</v>
      </c>
      <c r="K505" t="s">
        <v>29</v>
      </c>
      <c r="L505" t="s">
        <v>41</v>
      </c>
      <c r="M505" t="s">
        <v>31</v>
      </c>
      <c r="N505" t="s">
        <v>42</v>
      </c>
      <c r="O505">
        <v>2691</v>
      </c>
      <c r="P505">
        <v>1</v>
      </c>
      <c r="Q505" t="s">
        <v>36</v>
      </c>
      <c r="R505">
        <v>12</v>
      </c>
      <c r="S505" t="s">
        <v>33</v>
      </c>
      <c r="T505" t="s">
        <v>31</v>
      </c>
      <c r="U505">
        <v>4</v>
      </c>
      <c r="V505" t="s">
        <v>49</v>
      </c>
      <c r="W505" t="str">
        <f>IF(HR_Data[[#This Row],[age]]&lt;25,"Under 25",IF(HR_Data[[#This Row],[age]]&lt;35,"25-34",IF(HR_Data[[#This Row],[age]]&lt;45,"35-44",IF(HR_Data[[#This Row],[age]]&lt;55,"45-54","55+"))))</f>
        <v>25-34</v>
      </c>
      <c r="X505" t="str">
        <f t="shared" si="7"/>
        <v>Below 3,000</v>
      </c>
    </row>
    <row r="506" spans="1:24" x14ac:dyDescent="0.3">
      <c r="A506">
        <v>684</v>
      </c>
      <c r="B506">
        <v>45</v>
      </c>
      <c r="C506" t="s">
        <v>22</v>
      </c>
      <c r="D506" t="s">
        <v>37</v>
      </c>
      <c r="E506" t="s">
        <v>24</v>
      </c>
      <c r="F506">
        <v>26</v>
      </c>
      <c r="G506" t="s">
        <v>47</v>
      </c>
      <c r="H506" t="s">
        <v>26</v>
      </c>
      <c r="I506" t="s">
        <v>34</v>
      </c>
      <c r="J506" t="s">
        <v>28</v>
      </c>
      <c r="K506" t="s">
        <v>29</v>
      </c>
      <c r="L506" t="s">
        <v>30</v>
      </c>
      <c r="M506" t="s">
        <v>34</v>
      </c>
      <c r="N506" t="s">
        <v>42</v>
      </c>
      <c r="O506">
        <v>4286</v>
      </c>
      <c r="P506">
        <v>2</v>
      </c>
      <c r="Q506" t="s">
        <v>36</v>
      </c>
      <c r="R506">
        <v>14</v>
      </c>
      <c r="S506" t="s">
        <v>33</v>
      </c>
      <c r="T506" t="s">
        <v>31</v>
      </c>
      <c r="U506">
        <v>4</v>
      </c>
      <c r="V506" t="s">
        <v>44</v>
      </c>
      <c r="W506" t="str">
        <f>IF(HR_Data[[#This Row],[age]]&lt;25,"Under 25",IF(HR_Data[[#This Row],[age]]&lt;35,"25-34",IF(HR_Data[[#This Row],[age]]&lt;45,"35-44",IF(HR_Data[[#This Row],[age]]&lt;55,"45-54","55+"))))</f>
        <v>45-54</v>
      </c>
      <c r="X506" t="str">
        <f t="shared" si="7"/>
        <v>3,000-4,999</v>
      </c>
    </row>
    <row r="507" spans="1:24" x14ac:dyDescent="0.3">
      <c r="A507">
        <v>686</v>
      </c>
      <c r="B507">
        <v>26</v>
      </c>
      <c r="C507" t="s">
        <v>36</v>
      </c>
      <c r="D507" t="s">
        <v>23</v>
      </c>
      <c r="E507" t="s">
        <v>38</v>
      </c>
      <c r="F507">
        <v>6</v>
      </c>
      <c r="G507" t="s">
        <v>50</v>
      </c>
      <c r="H507" t="s">
        <v>26</v>
      </c>
      <c r="I507" t="s">
        <v>29</v>
      </c>
      <c r="J507" t="s">
        <v>28</v>
      </c>
      <c r="K507" t="s">
        <v>29</v>
      </c>
      <c r="L507" t="s">
        <v>46</v>
      </c>
      <c r="M507" t="s">
        <v>31</v>
      </c>
      <c r="N507" t="s">
        <v>42</v>
      </c>
      <c r="O507">
        <v>2659</v>
      </c>
      <c r="P507">
        <v>1</v>
      </c>
      <c r="Q507" t="s">
        <v>22</v>
      </c>
      <c r="R507">
        <v>13</v>
      </c>
      <c r="S507" t="s">
        <v>33</v>
      </c>
      <c r="T507" t="s">
        <v>29</v>
      </c>
      <c r="U507">
        <v>2</v>
      </c>
      <c r="V507" t="s">
        <v>44</v>
      </c>
      <c r="W507" t="str">
        <f>IF(HR_Data[[#This Row],[age]]&lt;25,"Under 25",IF(HR_Data[[#This Row],[age]]&lt;35,"25-34",IF(HR_Data[[#This Row],[age]]&lt;45,"35-44",IF(HR_Data[[#This Row],[age]]&lt;55,"45-54","55+"))))</f>
        <v>25-34</v>
      </c>
      <c r="X507" t="str">
        <f t="shared" si="7"/>
        <v>Below 3,000</v>
      </c>
    </row>
    <row r="508" spans="1:24" x14ac:dyDescent="0.3">
      <c r="A508">
        <v>689</v>
      </c>
      <c r="B508">
        <v>37</v>
      </c>
      <c r="C508" t="s">
        <v>36</v>
      </c>
      <c r="D508" t="s">
        <v>23</v>
      </c>
      <c r="E508" t="s">
        <v>38</v>
      </c>
      <c r="F508">
        <v>3</v>
      </c>
      <c r="G508" t="s">
        <v>50</v>
      </c>
      <c r="H508" t="s">
        <v>45</v>
      </c>
      <c r="I508" t="s">
        <v>29</v>
      </c>
      <c r="J508" t="s">
        <v>40</v>
      </c>
      <c r="K508" t="s">
        <v>29</v>
      </c>
      <c r="L508" t="s">
        <v>52</v>
      </c>
      <c r="M508" t="s">
        <v>29</v>
      </c>
      <c r="N508" t="s">
        <v>42</v>
      </c>
      <c r="O508">
        <v>9434</v>
      </c>
      <c r="P508">
        <v>1</v>
      </c>
      <c r="Q508" t="s">
        <v>36</v>
      </c>
      <c r="R508">
        <v>15</v>
      </c>
      <c r="S508" t="s">
        <v>33</v>
      </c>
      <c r="T508" t="s">
        <v>29</v>
      </c>
      <c r="U508">
        <v>2</v>
      </c>
      <c r="V508" t="s">
        <v>44</v>
      </c>
      <c r="W508" t="str">
        <f>IF(HR_Data[[#This Row],[age]]&lt;25,"Under 25",IF(HR_Data[[#This Row],[age]]&lt;35,"25-34",IF(HR_Data[[#This Row],[age]]&lt;45,"35-44",IF(HR_Data[[#This Row],[age]]&lt;55,"45-54","55+"))))</f>
        <v>35-44</v>
      </c>
      <c r="X508" t="str">
        <f t="shared" si="7"/>
        <v>8,000+</v>
      </c>
    </row>
    <row r="509" spans="1:24" x14ac:dyDescent="0.3">
      <c r="A509">
        <v>690</v>
      </c>
      <c r="B509">
        <v>29</v>
      </c>
      <c r="C509" t="s">
        <v>36</v>
      </c>
      <c r="D509" t="s">
        <v>23</v>
      </c>
      <c r="E509" t="s">
        <v>24</v>
      </c>
      <c r="F509">
        <v>3</v>
      </c>
      <c r="G509" t="s">
        <v>25</v>
      </c>
      <c r="H509" t="s">
        <v>48</v>
      </c>
      <c r="I509" t="s">
        <v>27</v>
      </c>
      <c r="J509" t="s">
        <v>28</v>
      </c>
      <c r="K509" t="s">
        <v>29</v>
      </c>
      <c r="L509" t="s">
        <v>30</v>
      </c>
      <c r="M509" t="s">
        <v>29</v>
      </c>
      <c r="N509" t="s">
        <v>42</v>
      </c>
      <c r="O509">
        <v>5561</v>
      </c>
      <c r="P509">
        <v>1</v>
      </c>
      <c r="Q509" t="s">
        <v>36</v>
      </c>
      <c r="R509">
        <v>14</v>
      </c>
      <c r="S509" t="s">
        <v>33</v>
      </c>
      <c r="T509" t="s">
        <v>34</v>
      </c>
      <c r="U509">
        <v>5</v>
      </c>
      <c r="V509" t="s">
        <v>49</v>
      </c>
      <c r="W509" t="str">
        <f>IF(HR_Data[[#This Row],[age]]&lt;25,"Under 25",IF(HR_Data[[#This Row],[age]]&lt;35,"25-34",IF(HR_Data[[#This Row],[age]]&lt;45,"35-44",IF(HR_Data[[#This Row],[age]]&lt;55,"45-54","55+"))))</f>
        <v>25-34</v>
      </c>
      <c r="X509" t="str">
        <f t="shared" si="7"/>
        <v>5,000-7,999</v>
      </c>
    </row>
    <row r="510" spans="1:24" x14ac:dyDescent="0.3">
      <c r="A510">
        <v>691</v>
      </c>
      <c r="B510">
        <v>35</v>
      </c>
      <c r="C510" t="s">
        <v>36</v>
      </c>
      <c r="D510" t="s">
        <v>23</v>
      </c>
      <c r="E510" t="s">
        <v>38</v>
      </c>
      <c r="F510">
        <v>6</v>
      </c>
      <c r="G510" t="s">
        <v>47</v>
      </c>
      <c r="H510" t="s">
        <v>26</v>
      </c>
      <c r="I510" t="s">
        <v>27</v>
      </c>
      <c r="J510" t="s">
        <v>40</v>
      </c>
      <c r="K510" t="s">
        <v>34</v>
      </c>
      <c r="L510" t="s">
        <v>41</v>
      </c>
      <c r="M510" t="s">
        <v>31</v>
      </c>
      <c r="N510" t="s">
        <v>32</v>
      </c>
      <c r="O510">
        <v>6646</v>
      </c>
      <c r="P510">
        <v>1</v>
      </c>
      <c r="Q510" t="s">
        <v>36</v>
      </c>
      <c r="R510">
        <v>13</v>
      </c>
      <c r="S510" t="s">
        <v>33</v>
      </c>
      <c r="T510" t="s">
        <v>27</v>
      </c>
      <c r="U510">
        <v>3</v>
      </c>
      <c r="V510" t="s">
        <v>44</v>
      </c>
      <c r="W510" t="str">
        <f>IF(HR_Data[[#This Row],[age]]&lt;25,"Under 25",IF(HR_Data[[#This Row],[age]]&lt;35,"25-34",IF(HR_Data[[#This Row],[age]]&lt;45,"35-44",IF(HR_Data[[#This Row],[age]]&lt;55,"45-54","55+"))))</f>
        <v>35-44</v>
      </c>
      <c r="X510" t="str">
        <f t="shared" si="7"/>
        <v>5,000-7,999</v>
      </c>
    </row>
    <row r="511" spans="1:24" x14ac:dyDescent="0.3">
      <c r="A511">
        <v>692</v>
      </c>
      <c r="B511">
        <v>33</v>
      </c>
      <c r="C511" t="s">
        <v>36</v>
      </c>
      <c r="D511" t="s">
        <v>37</v>
      </c>
      <c r="E511" t="s">
        <v>38</v>
      </c>
      <c r="F511">
        <v>6</v>
      </c>
      <c r="G511" t="s">
        <v>50</v>
      </c>
      <c r="H511" t="s">
        <v>26</v>
      </c>
      <c r="I511" t="s">
        <v>29</v>
      </c>
      <c r="J511" t="s">
        <v>40</v>
      </c>
      <c r="K511" t="s">
        <v>29</v>
      </c>
      <c r="L511" t="s">
        <v>53</v>
      </c>
      <c r="M511" t="s">
        <v>31</v>
      </c>
      <c r="N511" t="s">
        <v>51</v>
      </c>
      <c r="O511">
        <v>7725</v>
      </c>
      <c r="P511">
        <v>3</v>
      </c>
      <c r="Q511" t="s">
        <v>36</v>
      </c>
      <c r="R511">
        <v>23</v>
      </c>
      <c r="S511" t="s">
        <v>43</v>
      </c>
      <c r="T511" t="s">
        <v>29</v>
      </c>
      <c r="U511">
        <v>2</v>
      </c>
      <c r="V511" t="s">
        <v>35</v>
      </c>
      <c r="W511" t="str">
        <f>IF(HR_Data[[#This Row],[age]]&lt;25,"Under 25",IF(HR_Data[[#This Row],[age]]&lt;35,"25-34",IF(HR_Data[[#This Row],[age]]&lt;45,"35-44",IF(HR_Data[[#This Row],[age]]&lt;55,"45-54","55+"))))</f>
        <v>25-34</v>
      </c>
      <c r="X511" t="str">
        <f t="shared" si="7"/>
        <v>5,000-7,999</v>
      </c>
    </row>
    <row r="512" spans="1:24" x14ac:dyDescent="0.3">
      <c r="A512">
        <v>698</v>
      </c>
      <c r="B512">
        <v>54</v>
      </c>
      <c r="C512" t="s">
        <v>36</v>
      </c>
      <c r="D512" t="s">
        <v>23</v>
      </c>
      <c r="E512" t="s">
        <v>62</v>
      </c>
      <c r="F512">
        <v>19</v>
      </c>
      <c r="G512" t="s">
        <v>47</v>
      </c>
      <c r="H512" t="s">
        <v>48</v>
      </c>
      <c r="I512" t="s">
        <v>29</v>
      </c>
      <c r="J512" t="s">
        <v>40</v>
      </c>
      <c r="K512" t="s">
        <v>29</v>
      </c>
      <c r="L512" t="s">
        <v>62</v>
      </c>
      <c r="M512" t="s">
        <v>27</v>
      </c>
      <c r="N512" t="s">
        <v>42</v>
      </c>
      <c r="O512">
        <v>10725</v>
      </c>
      <c r="P512">
        <v>2</v>
      </c>
      <c r="Q512" t="s">
        <v>36</v>
      </c>
      <c r="R512">
        <v>15</v>
      </c>
      <c r="S512" t="s">
        <v>33</v>
      </c>
      <c r="T512" t="s">
        <v>29</v>
      </c>
      <c r="U512">
        <v>1</v>
      </c>
      <c r="V512" t="s">
        <v>59</v>
      </c>
      <c r="W512" t="str">
        <f>IF(HR_Data[[#This Row],[age]]&lt;25,"Under 25",IF(HR_Data[[#This Row],[age]]&lt;35,"25-34",IF(HR_Data[[#This Row],[age]]&lt;45,"35-44",IF(HR_Data[[#This Row],[age]]&lt;55,"45-54","55+"))))</f>
        <v>45-54</v>
      </c>
      <c r="X512" t="str">
        <f t="shared" si="7"/>
        <v>8,000+</v>
      </c>
    </row>
    <row r="513" spans="1:24" x14ac:dyDescent="0.3">
      <c r="A513">
        <v>699</v>
      </c>
      <c r="B513">
        <v>36</v>
      </c>
      <c r="C513" t="s">
        <v>36</v>
      </c>
      <c r="D513" t="s">
        <v>23</v>
      </c>
      <c r="E513" t="s">
        <v>38</v>
      </c>
      <c r="F513">
        <v>9</v>
      </c>
      <c r="G513" t="s">
        <v>25</v>
      </c>
      <c r="H513" t="s">
        <v>48</v>
      </c>
      <c r="I513" t="s">
        <v>27</v>
      </c>
      <c r="J513" t="s">
        <v>40</v>
      </c>
      <c r="K513" t="s">
        <v>27</v>
      </c>
      <c r="L513" t="s">
        <v>52</v>
      </c>
      <c r="M513" t="s">
        <v>27</v>
      </c>
      <c r="N513" t="s">
        <v>51</v>
      </c>
      <c r="O513">
        <v>8847</v>
      </c>
      <c r="P513">
        <v>2</v>
      </c>
      <c r="Q513" t="s">
        <v>22</v>
      </c>
      <c r="R513">
        <v>11</v>
      </c>
      <c r="S513" t="s">
        <v>33</v>
      </c>
      <c r="T513" t="s">
        <v>29</v>
      </c>
      <c r="U513">
        <v>2</v>
      </c>
      <c r="V513" t="s">
        <v>44</v>
      </c>
      <c r="W513" t="str">
        <f>IF(HR_Data[[#This Row],[age]]&lt;25,"Under 25",IF(HR_Data[[#This Row],[age]]&lt;35,"25-34",IF(HR_Data[[#This Row],[age]]&lt;45,"35-44",IF(HR_Data[[#This Row],[age]]&lt;55,"45-54","55+"))))</f>
        <v>35-44</v>
      </c>
      <c r="X513" t="str">
        <f t="shared" si="7"/>
        <v>8,000+</v>
      </c>
    </row>
    <row r="514" spans="1:24" x14ac:dyDescent="0.3">
      <c r="A514">
        <v>700</v>
      </c>
      <c r="B514">
        <v>27</v>
      </c>
      <c r="C514" t="s">
        <v>36</v>
      </c>
      <c r="D514" t="s">
        <v>23</v>
      </c>
      <c r="E514" t="s">
        <v>38</v>
      </c>
      <c r="F514">
        <v>3</v>
      </c>
      <c r="G514" t="s">
        <v>47</v>
      </c>
      <c r="H514" t="s">
        <v>48</v>
      </c>
      <c r="I514" t="s">
        <v>34</v>
      </c>
      <c r="J514" t="s">
        <v>40</v>
      </c>
      <c r="K514" t="s">
        <v>27</v>
      </c>
      <c r="L514" t="s">
        <v>41</v>
      </c>
      <c r="M514" t="s">
        <v>31</v>
      </c>
      <c r="N514" t="s">
        <v>32</v>
      </c>
      <c r="O514">
        <v>2045</v>
      </c>
      <c r="P514">
        <v>0</v>
      </c>
      <c r="Q514" t="s">
        <v>36</v>
      </c>
      <c r="R514">
        <v>13</v>
      </c>
      <c r="S514" t="s">
        <v>33</v>
      </c>
      <c r="T514" t="s">
        <v>31</v>
      </c>
      <c r="U514">
        <v>0</v>
      </c>
      <c r="V514" t="s">
        <v>44</v>
      </c>
      <c r="W514" t="str">
        <f>IF(HR_Data[[#This Row],[age]]&lt;25,"Under 25",IF(HR_Data[[#This Row],[age]]&lt;35,"25-34",IF(HR_Data[[#This Row],[age]]&lt;45,"35-44",IF(HR_Data[[#This Row],[age]]&lt;55,"45-54","55+"))))</f>
        <v>25-34</v>
      </c>
      <c r="X514" t="str">
        <f t="shared" si="7"/>
        <v>Below 3,000</v>
      </c>
    </row>
    <row r="515" spans="1:24" x14ac:dyDescent="0.3">
      <c r="A515">
        <v>701</v>
      </c>
      <c r="B515">
        <v>20</v>
      </c>
      <c r="C515" t="s">
        <v>22</v>
      </c>
      <c r="D515" t="s">
        <v>23</v>
      </c>
      <c r="E515" t="s">
        <v>38</v>
      </c>
      <c r="F515">
        <v>10</v>
      </c>
      <c r="G515" t="s">
        <v>39</v>
      </c>
      <c r="H515" t="s">
        <v>48</v>
      </c>
      <c r="I515" t="s">
        <v>31</v>
      </c>
      <c r="J515" t="s">
        <v>40</v>
      </c>
      <c r="K515" t="s">
        <v>29</v>
      </c>
      <c r="L515" t="s">
        <v>41</v>
      </c>
      <c r="M515" t="s">
        <v>29</v>
      </c>
      <c r="N515" t="s">
        <v>32</v>
      </c>
      <c r="O515">
        <v>1009</v>
      </c>
      <c r="P515">
        <v>1</v>
      </c>
      <c r="Q515" t="s">
        <v>22</v>
      </c>
      <c r="R515">
        <v>11</v>
      </c>
      <c r="S515" t="s">
        <v>33</v>
      </c>
      <c r="T515" t="s">
        <v>31</v>
      </c>
      <c r="U515">
        <v>5</v>
      </c>
      <c r="V515" t="s">
        <v>44</v>
      </c>
      <c r="W515" t="str">
        <f>IF(HR_Data[[#This Row],[age]]&lt;25,"Under 25",IF(HR_Data[[#This Row],[age]]&lt;35,"25-34",IF(HR_Data[[#This Row],[age]]&lt;45,"35-44",IF(HR_Data[[#This Row],[age]]&lt;55,"45-54","55+"))))</f>
        <v>Under 25</v>
      </c>
      <c r="X515" t="str">
        <f t="shared" ref="X515:X578" si="8">IF(O515&lt;3000,"Below 3,000",IF(O515&lt;5000,"3,000-4,999",IF(O515&lt;8000,"5,000-7,999","8,000+")))</f>
        <v>Below 3,000</v>
      </c>
    </row>
    <row r="516" spans="1:24" x14ac:dyDescent="0.3">
      <c r="A516">
        <v>702</v>
      </c>
      <c r="B516">
        <v>33</v>
      </c>
      <c r="C516" t="s">
        <v>22</v>
      </c>
      <c r="D516" t="s">
        <v>37</v>
      </c>
      <c r="E516" t="s">
        <v>38</v>
      </c>
      <c r="F516">
        <v>3</v>
      </c>
      <c r="G516" t="s">
        <v>50</v>
      </c>
      <c r="H516" t="s">
        <v>26</v>
      </c>
      <c r="I516" t="s">
        <v>34</v>
      </c>
      <c r="J516" t="s">
        <v>40</v>
      </c>
      <c r="K516" t="s">
        <v>29</v>
      </c>
      <c r="L516" t="s">
        <v>41</v>
      </c>
      <c r="M516" t="s">
        <v>34</v>
      </c>
      <c r="N516" t="s">
        <v>32</v>
      </c>
      <c r="O516">
        <v>3348</v>
      </c>
      <c r="P516">
        <v>1</v>
      </c>
      <c r="Q516" t="s">
        <v>22</v>
      </c>
      <c r="R516">
        <v>11</v>
      </c>
      <c r="S516" t="s">
        <v>33</v>
      </c>
      <c r="T516" t="s">
        <v>34</v>
      </c>
      <c r="U516">
        <v>3</v>
      </c>
      <c r="V516" t="s">
        <v>44</v>
      </c>
      <c r="W516" t="str">
        <f>IF(HR_Data[[#This Row],[age]]&lt;25,"Under 25",IF(HR_Data[[#This Row],[age]]&lt;35,"25-34",IF(HR_Data[[#This Row],[age]]&lt;45,"35-44",IF(HR_Data[[#This Row],[age]]&lt;55,"45-54","55+"))))</f>
        <v>25-34</v>
      </c>
      <c r="X516" t="str">
        <f t="shared" si="8"/>
        <v>3,000-4,999</v>
      </c>
    </row>
    <row r="517" spans="1:24" x14ac:dyDescent="0.3">
      <c r="A517">
        <v>704</v>
      </c>
      <c r="B517">
        <v>35</v>
      </c>
      <c r="C517" t="s">
        <v>36</v>
      </c>
      <c r="D517" t="s">
        <v>54</v>
      </c>
      <c r="E517" t="s">
        <v>38</v>
      </c>
      <c r="F517">
        <v>3</v>
      </c>
      <c r="G517" t="s">
        <v>50</v>
      </c>
      <c r="H517" t="s">
        <v>26</v>
      </c>
      <c r="I517" t="s">
        <v>29</v>
      </c>
      <c r="J517" t="s">
        <v>40</v>
      </c>
      <c r="K517" t="s">
        <v>27</v>
      </c>
      <c r="L517" t="s">
        <v>46</v>
      </c>
      <c r="M517" t="s">
        <v>29</v>
      </c>
      <c r="N517" t="s">
        <v>42</v>
      </c>
      <c r="O517">
        <v>1281</v>
      </c>
      <c r="P517">
        <v>1</v>
      </c>
      <c r="Q517" t="s">
        <v>36</v>
      </c>
      <c r="R517">
        <v>18</v>
      </c>
      <c r="S517" t="s">
        <v>33</v>
      </c>
      <c r="T517" t="s">
        <v>29</v>
      </c>
      <c r="U517">
        <v>3</v>
      </c>
      <c r="V517" t="s">
        <v>44</v>
      </c>
      <c r="W517" t="str">
        <f>IF(HR_Data[[#This Row],[age]]&lt;25,"Under 25",IF(HR_Data[[#This Row],[age]]&lt;35,"25-34",IF(HR_Data[[#This Row],[age]]&lt;45,"35-44",IF(HR_Data[[#This Row],[age]]&lt;55,"45-54","55+"))))</f>
        <v>35-44</v>
      </c>
      <c r="X517" t="str">
        <f t="shared" si="8"/>
        <v>Below 3,000</v>
      </c>
    </row>
    <row r="518" spans="1:24" x14ac:dyDescent="0.3">
      <c r="A518">
        <v>705</v>
      </c>
      <c r="B518">
        <v>23</v>
      </c>
      <c r="C518" t="s">
        <v>36</v>
      </c>
      <c r="D518" t="s">
        <v>23</v>
      </c>
      <c r="E518" t="s">
        <v>38</v>
      </c>
      <c r="F518">
        <v>4</v>
      </c>
      <c r="G518" t="s">
        <v>50</v>
      </c>
      <c r="H518" t="s">
        <v>48</v>
      </c>
      <c r="I518" t="s">
        <v>34</v>
      </c>
      <c r="J518" t="s">
        <v>40</v>
      </c>
      <c r="K518" t="s">
        <v>31</v>
      </c>
      <c r="L518" t="s">
        <v>41</v>
      </c>
      <c r="M518" t="s">
        <v>34</v>
      </c>
      <c r="N518" t="s">
        <v>42</v>
      </c>
      <c r="O518">
        <v>2819</v>
      </c>
      <c r="P518">
        <v>2</v>
      </c>
      <c r="Q518" t="s">
        <v>36</v>
      </c>
      <c r="R518">
        <v>16</v>
      </c>
      <c r="S518" t="s">
        <v>33</v>
      </c>
      <c r="T518" t="s">
        <v>34</v>
      </c>
      <c r="U518">
        <v>3</v>
      </c>
      <c r="V518" t="s">
        <v>59</v>
      </c>
      <c r="W518" t="str">
        <f>IF(HR_Data[[#This Row],[age]]&lt;25,"Under 25",IF(HR_Data[[#This Row],[age]]&lt;35,"25-34",IF(HR_Data[[#This Row],[age]]&lt;45,"35-44",IF(HR_Data[[#This Row],[age]]&lt;55,"45-54","55+"))))</f>
        <v>Under 25</v>
      </c>
      <c r="X518" t="str">
        <f t="shared" si="8"/>
        <v>Below 3,000</v>
      </c>
    </row>
    <row r="519" spans="1:24" x14ac:dyDescent="0.3">
      <c r="A519">
        <v>707</v>
      </c>
      <c r="B519">
        <v>25</v>
      </c>
      <c r="C519" t="s">
        <v>36</v>
      </c>
      <c r="D519" t="s">
        <v>23</v>
      </c>
      <c r="E519" t="s">
        <v>24</v>
      </c>
      <c r="F519">
        <v>8</v>
      </c>
      <c r="G519" t="s">
        <v>50</v>
      </c>
      <c r="H519" t="s">
        <v>26</v>
      </c>
      <c r="I519" t="s">
        <v>31</v>
      </c>
      <c r="J519" t="s">
        <v>40</v>
      </c>
      <c r="K519" t="s">
        <v>31</v>
      </c>
      <c r="L519" t="s">
        <v>30</v>
      </c>
      <c r="M519" t="s">
        <v>27</v>
      </c>
      <c r="N519" t="s">
        <v>42</v>
      </c>
      <c r="O519">
        <v>4851</v>
      </c>
      <c r="P519">
        <v>0</v>
      </c>
      <c r="Q519" t="s">
        <v>36</v>
      </c>
      <c r="R519">
        <v>22</v>
      </c>
      <c r="S519" t="s">
        <v>43</v>
      </c>
      <c r="T519" t="s">
        <v>29</v>
      </c>
      <c r="U519">
        <v>4</v>
      </c>
      <c r="V519" t="s">
        <v>44</v>
      </c>
      <c r="W519" t="str">
        <f>IF(HR_Data[[#This Row],[age]]&lt;25,"Under 25",IF(HR_Data[[#This Row],[age]]&lt;35,"25-34",IF(HR_Data[[#This Row],[age]]&lt;45,"35-44",IF(HR_Data[[#This Row],[age]]&lt;55,"45-54","55+"))))</f>
        <v>25-34</v>
      </c>
      <c r="X519" t="str">
        <f t="shared" si="8"/>
        <v>3,000-4,999</v>
      </c>
    </row>
    <row r="520" spans="1:24" x14ac:dyDescent="0.3">
      <c r="A520">
        <v>709</v>
      </c>
      <c r="B520">
        <v>38</v>
      </c>
      <c r="C520" t="s">
        <v>36</v>
      </c>
      <c r="D520" t="s">
        <v>23</v>
      </c>
      <c r="E520" t="s">
        <v>24</v>
      </c>
      <c r="F520">
        <v>7</v>
      </c>
      <c r="G520" t="s">
        <v>47</v>
      </c>
      <c r="H520" t="s">
        <v>58</v>
      </c>
      <c r="I520" t="s">
        <v>31</v>
      </c>
      <c r="J520" t="s">
        <v>28</v>
      </c>
      <c r="K520" t="s">
        <v>27</v>
      </c>
      <c r="L520" t="s">
        <v>30</v>
      </c>
      <c r="M520" t="s">
        <v>31</v>
      </c>
      <c r="N520" t="s">
        <v>32</v>
      </c>
      <c r="O520">
        <v>4028</v>
      </c>
      <c r="P520">
        <v>0</v>
      </c>
      <c r="Q520" t="s">
        <v>36</v>
      </c>
      <c r="R520">
        <v>20</v>
      </c>
      <c r="S520" t="s">
        <v>43</v>
      </c>
      <c r="T520" t="s">
        <v>34</v>
      </c>
      <c r="U520">
        <v>2</v>
      </c>
      <c r="V520" t="s">
        <v>44</v>
      </c>
      <c r="W520" t="str">
        <f>IF(HR_Data[[#This Row],[age]]&lt;25,"Under 25",IF(HR_Data[[#This Row],[age]]&lt;35,"25-34",IF(HR_Data[[#This Row],[age]]&lt;45,"35-44",IF(HR_Data[[#This Row],[age]]&lt;55,"45-54","55+"))))</f>
        <v>35-44</v>
      </c>
      <c r="X520" t="str">
        <f t="shared" si="8"/>
        <v>3,000-4,999</v>
      </c>
    </row>
    <row r="521" spans="1:24" x14ac:dyDescent="0.3">
      <c r="A521">
        <v>710</v>
      </c>
      <c r="B521">
        <v>29</v>
      </c>
      <c r="C521" t="s">
        <v>36</v>
      </c>
      <c r="D521" t="s">
        <v>37</v>
      </c>
      <c r="E521" t="s">
        <v>38</v>
      </c>
      <c r="F521">
        <v>1</v>
      </c>
      <c r="G521" t="s">
        <v>47</v>
      </c>
      <c r="H521" t="s">
        <v>26</v>
      </c>
      <c r="I521" t="s">
        <v>27</v>
      </c>
      <c r="J521" t="s">
        <v>40</v>
      </c>
      <c r="K521" t="s">
        <v>34</v>
      </c>
      <c r="L521" t="s">
        <v>41</v>
      </c>
      <c r="M521" t="s">
        <v>31</v>
      </c>
      <c r="N521" t="s">
        <v>51</v>
      </c>
      <c r="O521">
        <v>2720</v>
      </c>
      <c r="P521">
        <v>1</v>
      </c>
      <c r="Q521" t="s">
        <v>36</v>
      </c>
      <c r="R521">
        <v>18</v>
      </c>
      <c r="S521" t="s">
        <v>33</v>
      </c>
      <c r="T521" t="s">
        <v>31</v>
      </c>
      <c r="U521">
        <v>5</v>
      </c>
      <c r="V521" t="s">
        <v>44</v>
      </c>
      <c r="W521" t="str">
        <f>IF(HR_Data[[#This Row],[age]]&lt;25,"Under 25",IF(HR_Data[[#This Row],[age]]&lt;35,"25-34",IF(HR_Data[[#This Row],[age]]&lt;45,"35-44",IF(HR_Data[[#This Row],[age]]&lt;55,"45-54","55+"))))</f>
        <v>25-34</v>
      </c>
      <c r="X521" t="str">
        <f t="shared" si="8"/>
        <v>Below 3,000</v>
      </c>
    </row>
    <row r="522" spans="1:24" x14ac:dyDescent="0.3">
      <c r="A522">
        <v>712</v>
      </c>
      <c r="B522">
        <v>48</v>
      </c>
      <c r="C522" t="s">
        <v>36</v>
      </c>
      <c r="D522" t="s">
        <v>23</v>
      </c>
      <c r="E522" t="s">
        <v>24</v>
      </c>
      <c r="F522">
        <v>2</v>
      </c>
      <c r="G522" t="s">
        <v>39</v>
      </c>
      <c r="H522" t="s">
        <v>58</v>
      </c>
      <c r="I522" t="s">
        <v>27</v>
      </c>
      <c r="J522" t="s">
        <v>40</v>
      </c>
      <c r="K522" t="s">
        <v>31</v>
      </c>
      <c r="L522" t="s">
        <v>30</v>
      </c>
      <c r="M522" t="s">
        <v>27</v>
      </c>
      <c r="N522" t="s">
        <v>42</v>
      </c>
      <c r="O522">
        <v>8120</v>
      </c>
      <c r="P522">
        <v>3</v>
      </c>
      <c r="Q522" t="s">
        <v>36</v>
      </c>
      <c r="R522">
        <v>12</v>
      </c>
      <c r="S522" t="s">
        <v>33</v>
      </c>
      <c r="T522" t="s">
        <v>31</v>
      </c>
      <c r="U522">
        <v>3</v>
      </c>
      <c r="V522" t="s">
        <v>44</v>
      </c>
      <c r="W522" t="str">
        <f>IF(HR_Data[[#This Row],[age]]&lt;25,"Under 25",IF(HR_Data[[#This Row],[age]]&lt;35,"25-34",IF(HR_Data[[#This Row],[age]]&lt;45,"35-44",IF(HR_Data[[#This Row],[age]]&lt;55,"45-54","55+"))))</f>
        <v>45-54</v>
      </c>
      <c r="X522" t="str">
        <f t="shared" si="8"/>
        <v>8,000+</v>
      </c>
    </row>
    <row r="523" spans="1:24" x14ac:dyDescent="0.3">
      <c r="A523">
        <v>714</v>
      </c>
      <c r="B523">
        <v>27</v>
      </c>
      <c r="C523" t="s">
        <v>36</v>
      </c>
      <c r="D523" t="s">
        <v>37</v>
      </c>
      <c r="E523" t="s">
        <v>24</v>
      </c>
      <c r="F523">
        <v>3</v>
      </c>
      <c r="G523" t="s">
        <v>39</v>
      </c>
      <c r="H523" t="s">
        <v>48</v>
      </c>
      <c r="I523" t="s">
        <v>31</v>
      </c>
      <c r="J523" t="s">
        <v>28</v>
      </c>
      <c r="K523" t="s">
        <v>31</v>
      </c>
      <c r="L523" t="s">
        <v>30</v>
      </c>
      <c r="M523" t="s">
        <v>31</v>
      </c>
      <c r="N523" t="s">
        <v>51</v>
      </c>
      <c r="O523">
        <v>4647</v>
      </c>
      <c r="P523">
        <v>1</v>
      </c>
      <c r="Q523" t="s">
        <v>22</v>
      </c>
      <c r="R523">
        <v>20</v>
      </c>
      <c r="S523" t="s">
        <v>43</v>
      </c>
      <c r="T523" t="s">
        <v>27</v>
      </c>
      <c r="U523">
        <v>3</v>
      </c>
      <c r="V523" t="s">
        <v>44</v>
      </c>
      <c r="W523" t="str">
        <f>IF(HR_Data[[#This Row],[age]]&lt;25,"Under 25",IF(HR_Data[[#This Row],[age]]&lt;35,"25-34",IF(HR_Data[[#This Row],[age]]&lt;45,"35-44",IF(HR_Data[[#This Row],[age]]&lt;55,"45-54","55+"))))</f>
        <v>25-34</v>
      </c>
      <c r="X523" t="str">
        <f t="shared" si="8"/>
        <v>3,000-4,999</v>
      </c>
    </row>
    <row r="524" spans="1:24" x14ac:dyDescent="0.3">
      <c r="A524">
        <v>715</v>
      </c>
      <c r="B524">
        <v>37</v>
      </c>
      <c r="C524" t="s">
        <v>36</v>
      </c>
      <c r="D524" t="s">
        <v>23</v>
      </c>
      <c r="E524" t="s">
        <v>38</v>
      </c>
      <c r="F524">
        <v>10</v>
      </c>
      <c r="G524" t="s">
        <v>25</v>
      </c>
      <c r="H524" t="s">
        <v>26</v>
      </c>
      <c r="I524" t="s">
        <v>31</v>
      </c>
      <c r="J524" t="s">
        <v>40</v>
      </c>
      <c r="K524" t="s">
        <v>31</v>
      </c>
      <c r="L524" t="s">
        <v>41</v>
      </c>
      <c r="M524" t="s">
        <v>31</v>
      </c>
      <c r="N524" t="s">
        <v>32</v>
      </c>
      <c r="O524">
        <v>4680</v>
      </c>
      <c r="P524">
        <v>3</v>
      </c>
      <c r="Q524" t="s">
        <v>36</v>
      </c>
      <c r="R524">
        <v>17</v>
      </c>
      <c r="S524" t="s">
        <v>33</v>
      </c>
      <c r="T524" t="s">
        <v>34</v>
      </c>
      <c r="U524">
        <v>2</v>
      </c>
      <c r="V524" t="s">
        <v>44</v>
      </c>
      <c r="W524" t="str">
        <f>IF(HR_Data[[#This Row],[age]]&lt;25,"Under 25",IF(HR_Data[[#This Row],[age]]&lt;35,"25-34",IF(HR_Data[[#This Row],[age]]&lt;45,"35-44",IF(HR_Data[[#This Row],[age]]&lt;55,"45-54","55+"))))</f>
        <v>35-44</v>
      </c>
      <c r="X524" t="str">
        <f t="shared" si="8"/>
        <v>3,000-4,999</v>
      </c>
    </row>
    <row r="525" spans="1:24" x14ac:dyDescent="0.3">
      <c r="A525">
        <v>716</v>
      </c>
      <c r="B525">
        <v>50</v>
      </c>
      <c r="C525" t="s">
        <v>36</v>
      </c>
      <c r="D525" t="s">
        <v>23</v>
      </c>
      <c r="E525" t="s">
        <v>38</v>
      </c>
      <c r="F525">
        <v>28</v>
      </c>
      <c r="G525" t="s">
        <v>39</v>
      </c>
      <c r="H525" t="s">
        <v>48</v>
      </c>
      <c r="I525" t="s">
        <v>31</v>
      </c>
      <c r="J525" t="s">
        <v>40</v>
      </c>
      <c r="K525" t="s">
        <v>31</v>
      </c>
      <c r="L525" t="s">
        <v>46</v>
      </c>
      <c r="M525" t="s">
        <v>29</v>
      </c>
      <c r="N525" t="s">
        <v>42</v>
      </c>
      <c r="O525">
        <v>3221</v>
      </c>
      <c r="P525">
        <v>1</v>
      </c>
      <c r="Q525" t="s">
        <v>22</v>
      </c>
      <c r="R525">
        <v>11</v>
      </c>
      <c r="S525" t="s">
        <v>33</v>
      </c>
      <c r="T525" t="s">
        <v>29</v>
      </c>
      <c r="U525">
        <v>3</v>
      </c>
      <c r="V525" t="s">
        <v>44</v>
      </c>
      <c r="W525" t="str">
        <f>IF(HR_Data[[#This Row],[age]]&lt;25,"Under 25",IF(HR_Data[[#This Row],[age]]&lt;35,"25-34",IF(HR_Data[[#This Row],[age]]&lt;45,"35-44",IF(HR_Data[[#This Row],[age]]&lt;55,"45-54","55+"))))</f>
        <v>45-54</v>
      </c>
      <c r="X525" t="str">
        <f t="shared" si="8"/>
        <v>3,000-4,999</v>
      </c>
    </row>
    <row r="526" spans="1:24" x14ac:dyDescent="0.3">
      <c r="A526">
        <v>717</v>
      </c>
      <c r="B526">
        <v>34</v>
      </c>
      <c r="C526" t="s">
        <v>36</v>
      </c>
      <c r="D526" t="s">
        <v>23</v>
      </c>
      <c r="E526" t="s">
        <v>38</v>
      </c>
      <c r="F526">
        <v>9</v>
      </c>
      <c r="G526" t="s">
        <v>50</v>
      </c>
      <c r="H526" t="s">
        <v>48</v>
      </c>
      <c r="I526" t="s">
        <v>31</v>
      </c>
      <c r="J526" t="s">
        <v>28</v>
      </c>
      <c r="K526" t="s">
        <v>27</v>
      </c>
      <c r="L526" t="s">
        <v>53</v>
      </c>
      <c r="M526" t="s">
        <v>27</v>
      </c>
      <c r="N526" t="s">
        <v>32</v>
      </c>
      <c r="O526">
        <v>8621</v>
      </c>
      <c r="P526">
        <v>1</v>
      </c>
      <c r="Q526" t="s">
        <v>36</v>
      </c>
      <c r="R526">
        <v>14</v>
      </c>
      <c r="S526" t="s">
        <v>33</v>
      </c>
      <c r="T526" t="s">
        <v>27</v>
      </c>
      <c r="U526">
        <v>3</v>
      </c>
      <c r="V526" t="s">
        <v>59</v>
      </c>
      <c r="W526" t="str">
        <f>IF(HR_Data[[#This Row],[age]]&lt;25,"Under 25",IF(HR_Data[[#This Row],[age]]&lt;35,"25-34",IF(HR_Data[[#This Row],[age]]&lt;45,"35-44",IF(HR_Data[[#This Row],[age]]&lt;55,"45-54","55+"))))</f>
        <v>25-34</v>
      </c>
      <c r="X526" t="str">
        <f t="shared" si="8"/>
        <v>8,000+</v>
      </c>
    </row>
    <row r="527" spans="1:24" x14ac:dyDescent="0.3">
      <c r="A527">
        <v>720</v>
      </c>
      <c r="B527">
        <v>24</v>
      </c>
      <c r="C527" t="s">
        <v>22</v>
      </c>
      <c r="D527" t="s">
        <v>23</v>
      </c>
      <c r="E527" t="s">
        <v>24</v>
      </c>
      <c r="F527">
        <v>3</v>
      </c>
      <c r="G527" t="s">
        <v>25</v>
      </c>
      <c r="H527" t="s">
        <v>26</v>
      </c>
      <c r="I527" t="s">
        <v>34</v>
      </c>
      <c r="J527" t="s">
        <v>28</v>
      </c>
      <c r="K527" t="s">
        <v>29</v>
      </c>
      <c r="L527" t="s">
        <v>30</v>
      </c>
      <c r="M527" t="s">
        <v>29</v>
      </c>
      <c r="N527" t="s">
        <v>32</v>
      </c>
      <c r="O527">
        <v>4577</v>
      </c>
      <c r="P527">
        <v>9</v>
      </c>
      <c r="Q527" t="s">
        <v>36</v>
      </c>
      <c r="R527">
        <v>14</v>
      </c>
      <c r="S527" t="s">
        <v>33</v>
      </c>
      <c r="T527" t="s">
        <v>34</v>
      </c>
      <c r="U527">
        <v>3</v>
      </c>
      <c r="V527" t="s">
        <v>44</v>
      </c>
      <c r="W527" t="str">
        <f>IF(HR_Data[[#This Row],[age]]&lt;25,"Under 25",IF(HR_Data[[#This Row],[age]]&lt;35,"25-34",IF(HR_Data[[#This Row],[age]]&lt;45,"35-44",IF(HR_Data[[#This Row],[age]]&lt;55,"45-54","55+"))))</f>
        <v>Under 25</v>
      </c>
      <c r="X527" t="str">
        <f t="shared" si="8"/>
        <v>3,000-4,999</v>
      </c>
    </row>
    <row r="528" spans="1:24" x14ac:dyDescent="0.3">
      <c r="A528">
        <v>721</v>
      </c>
      <c r="B528">
        <v>39</v>
      </c>
      <c r="C528" t="s">
        <v>36</v>
      </c>
      <c r="D528" t="s">
        <v>23</v>
      </c>
      <c r="E528" t="s">
        <v>38</v>
      </c>
      <c r="F528">
        <v>2</v>
      </c>
      <c r="G528" t="s">
        <v>47</v>
      </c>
      <c r="H528" t="s">
        <v>60</v>
      </c>
      <c r="I528" t="s">
        <v>31</v>
      </c>
      <c r="J528" t="s">
        <v>28</v>
      </c>
      <c r="K528" t="s">
        <v>27</v>
      </c>
      <c r="L528" t="s">
        <v>53</v>
      </c>
      <c r="M528" t="s">
        <v>29</v>
      </c>
      <c r="N528" t="s">
        <v>32</v>
      </c>
      <c r="O528">
        <v>4553</v>
      </c>
      <c r="P528">
        <v>1</v>
      </c>
      <c r="Q528" t="s">
        <v>36</v>
      </c>
      <c r="R528">
        <v>11</v>
      </c>
      <c r="S528" t="s">
        <v>33</v>
      </c>
      <c r="T528" t="s">
        <v>34</v>
      </c>
      <c r="U528">
        <v>4</v>
      </c>
      <c r="V528" t="s">
        <v>44</v>
      </c>
      <c r="W528" t="str">
        <f>IF(HR_Data[[#This Row],[age]]&lt;25,"Under 25",IF(HR_Data[[#This Row],[age]]&lt;35,"25-34",IF(HR_Data[[#This Row],[age]]&lt;45,"35-44",IF(HR_Data[[#This Row],[age]]&lt;55,"45-54","55+"))))</f>
        <v>35-44</v>
      </c>
      <c r="X528" t="str">
        <f t="shared" si="8"/>
        <v>3,000-4,999</v>
      </c>
    </row>
    <row r="529" spans="1:24" x14ac:dyDescent="0.3">
      <c r="A529">
        <v>722</v>
      </c>
      <c r="B529">
        <v>32</v>
      </c>
      <c r="C529" t="s">
        <v>36</v>
      </c>
      <c r="D529" t="s">
        <v>23</v>
      </c>
      <c r="E529" t="s">
        <v>24</v>
      </c>
      <c r="F529">
        <v>10</v>
      </c>
      <c r="G529" t="s">
        <v>50</v>
      </c>
      <c r="H529" t="s">
        <v>58</v>
      </c>
      <c r="I529" t="s">
        <v>31</v>
      </c>
      <c r="J529" t="s">
        <v>40</v>
      </c>
      <c r="K529" t="s">
        <v>29</v>
      </c>
      <c r="L529" t="s">
        <v>30</v>
      </c>
      <c r="M529" t="s">
        <v>31</v>
      </c>
      <c r="N529" t="s">
        <v>32</v>
      </c>
      <c r="O529">
        <v>5396</v>
      </c>
      <c r="P529">
        <v>1</v>
      </c>
      <c r="Q529" t="s">
        <v>36</v>
      </c>
      <c r="R529">
        <v>12</v>
      </c>
      <c r="S529" t="s">
        <v>33</v>
      </c>
      <c r="T529" t="s">
        <v>31</v>
      </c>
      <c r="U529">
        <v>2</v>
      </c>
      <c r="V529" t="s">
        <v>49</v>
      </c>
      <c r="W529" t="str">
        <f>IF(HR_Data[[#This Row],[age]]&lt;25,"Under 25",IF(HR_Data[[#This Row],[age]]&lt;35,"25-34",IF(HR_Data[[#This Row],[age]]&lt;45,"35-44",IF(HR_Data[[#This Row],[age]]&lt;55,"45-54","55+"))))</f>
        <v>25-34</v>
      </c>
      <c r="X529" t="str">
        <f t="shared" si="8"/>
        <v>5,000-7,999</v>
      </c>
    </row>
    <row r="530" spans="1:24" x14ac:dyDescent="0.3">
      <c r="A530">
        <v>723</v>
      </c>
      <c r="B530">
        <v>50</v>
      </c>
      <c r="C530" t="s">
        <v>22</v>
      </c>
      <c r="D530" t="s">
        <v>37</v>
      </c>
      <c r="E530" t="s">
        <v>24</v>
      </c>
      <c r="F530">
        <v>8</v>
      </c>
      <c r="G530" t="s">
        <v>25</v>
      </c>
      <c r="H530" t="s">
        <v>60</v>
      </c>
      <c r="I530" t="s">
        <v>27</v>
      </c>
      <c r="J530" t="s">
        <v>40</v>
      </c>
      <c r="K530" t="s">
        <v>29</v>
      </c>
      <c r="L530" t="s">
        <v>30</v>
      </c>
      <c r="M530" t="s">
        <v>29</v>
      </c>
      <c r="N530" t="s">
        <v>42</v>
      </c>
      <c r="O530">
        <v>6796</v>
      </c>
      <c r="P530">
        <v>3</v>
      </c>
      <c r="Q530" t="s">
        <v>22</v>
      </c>
      <c r="R530">
        <v>14</v>
      </c>
      <c r="S530" t="s">
        <v>33</v>
      </c>
      <c r="T530" t="s">
        <v>34</v>
      </c>
      <c r="U530">
        <v>4</v>
      </c>
      <c r="V530" t="s">
        <v>44</v>
      </c>
      <c r="W530" t="str">
        <f>IF(HR_Data[[#This Row],[age]]&lt;25,"Under 25",IF(HR_Data[[#This Row],[age]]&lt;35,"25-34",IF(HR_Data[[#This Row],[age]]&lt;45,"35-44",IF(HR_Data[[#This Row],[age]]&lt;55,"45-54","55+"))))</f>
        <v>45-54</v>
      </c>
      <c r="X530" t="str">
        <f t="shared" si="8"/>
        <v>5,000-7,999</v>
      </c>
    </row>
    <row r="531" spans="1:24" x14ac:dyDescent="0.3">
      <c r="A531">
        <v>724</v>
      </c>
      <c r="B531">
        <v>38</v>
      </c>
      <c r="C531" t="s">
        <v>36</v>
      </c>
      <c r="D531" t="s">
        <v>23</v>
      </c>
      <c r="E531" t="s">
        <v>38</v>
      </c>
      <c r="F531">
        <v>1</v>
      </c>
      <c r="G531" t="s">
        <v>47</v>
      </c>
      <c r="H531" t="s">
        <v>26</v>
      </c>
      <c r="I531" t="s">
        <v>27</v>
      </c>
      <c r="J531" t="s">
        <v>28</v>
      </c>
      <c r="K531" t="s">
        <v>31</v>
      </c>
      <c r="L531" t="s">
        <v>53</v>
      </c>
      <c r="M531" t="s">
        <v>31</v>
      </c>
      <c r="N531" t="s">
        <v>32</v>
      </c>
      <c r="O531">
        <v>7625</v>
      </c>
      <c r="P531">
        <v>0</v>
      </c>
      <c r="Q531" t="s">
        <v>36</v>
      </c>
      <c r="R531">
        <v>13</v>
      </c>
      <c r="S531" t="s">
        <v>33</v>
      </c>
      <c r="T531" t="s">
        <v>29</v>
      </c>
      <c r="U531">
        <v>4</v>
      </c>
      <c r="V531" t="s">
        <v>49</v>
      </c>
      <c r="W531" t="str">
        <f>IF(HR_Data[[#This Row],[age]]&lt;25,"Under 25",IF(HR_Data[[#This Row],[age]]&lt;35,"25-34",IF(HR_Data[[#This Row],[age]]&lt;45,"35-44",IF(HR_Data[[#This Row],[age]]&lt;55,"45-54","55+"))))</f>
        <v>35-44</v>
      </c>
      <c r="X531" t="str">
        <f t="shared" si="8"/>
        <v>5,000-7,999</v>
      </c>
    </row>
    <row r="532" spans="1:24" x14ac:dyDescent="0.3">
      <c r="A532">
        <v>725</v>
      </c>
      <c r="B532">
        <v>27</v>
      </c>
      <c r="C532" t="s">
        <v>36</v>
      </c>
      <c r="D532" t="s">
        <v>23</v>
      </c>
      <c r="E532" t="s">
        <v>38</v>
      </c>
      <c r="F532">
        <v>1</v>
      </c>
      <c r="G532" t="s">
        <v>25</v>
      </c>
      <c r="H532" t="s">
        <v>26</v>
      </c>
      <c r="I532" t="s">
        <v>29</v>
      </c>
      <c r="J532" t="s">
        <v>28</v>
      </c>
      <c r="K532" t="s">
        <v>29</v>
      </c>
      <c r="L532" t="s">
        <v>52</v>
      </c>
      <c r="M532" t="s">
        <v>34</v>
      </c>
      <c r="N532" t="s">
        <v>42</v>
      </c>
      <c r="O532">
        <v>7412</v>
      </c>
      <c r="P532">
        <v>1</v>
      </c>
      <c r="Q532" t="s">
        <v>36</v>
      </c>
      <c r="R532">
        <v>11</v>
      </c>
      <c r="S532" t="s">
        <v>33</v>
      </c>
      <c r="T532" t="s">
        <v>31</v>
      </c>
      <c r="U532">
        <v>3</v>
      </c>
      <c r="V532" t="s">
        <v>44</v>
      </c>
      <c r="W532" t="str">
        <f>IF(HR_Data[[#This Row],[age]]&lt;25,"Under 25",IF(HR_Data[[#This Row],[age]]&lt;35,"25-34",IF(HR_Data[[#This Row],[age]]&lt;45,"35-44",IF(HR_Data[[#This Row],[age]]&lt;55,"45-54","55+"))))</f>
        <v>25-34</v>
      </c>
      <c r="X532" t="str">
        <f t="shared" si="8"/>
        <v>5,000-7,999</v>
      </c>
    </row>
    <row r="533" spans="1:24" x14ac:dyDescent="0.3">
      <c r="A533">
        <v>727</v>
      </c>
      <c r="B533">
        <v>32</v>
      </c>
      <c r="C533" t="s">
        <v>36</v>
      </c>
      <c r="D533" t="s">
        <v>23</v>
      </c>
      <c r="E533" t="s">
        <v>38</v>
      </c>
      <c r="F533">
        <v>3</v>
      </c>
      <c r="G533" t="s">
        <v>25</v>
      </c>
      <c r="H533" t="s">
        <v>26</v>
      </c>
      <c r="I533" t="s">
        <v>29</v>
      </c>
      <c r="J533" t="s">
        <v>28</v>
      </c>
      <c r="K533" t="s">
        <v>29</v>
      </c>
      <c r="L533" t="s">
        <v>57</v>
      </c>
      <c r="M533" t="s">
        <v>31</v>
      </c>
      <c r="N533" t="s">
        <v>32</v>
      </c>
      <c r="O533">
        <v>11159</v>
      </c>
      <c r="P533">
        <v>3</v>
      </c>
      <c r="Q533" t="s">
        <v>36</v>
      </c>
      <c r="R533">
        <v>15</v>
      </c>
      <c r="S533" t="s">
        <v>33</v>
      </c>
      <c r="T533" t="s">
        <v>31</v>
      </c>
      <c r="U533">
        <v>6</v>
      </c>
      <c r="V533" t="s">
        <v>44</v>
      </c>
      <c r="W533" t="str">
        <f>IF(HR_Data[[#This Row],[age]]&lt;25,"Under 25",IF(HR_Data[[#This Row],[age]]&lt;35,"25-34",IF(HR_Data[[#This Row],[age]]&lt;45,"35-44",IF(HR_Data[[#This Row],[age]]&lt;55,"45-54","55+"))))</f>
        <v>25-34</v>
      </c>
      <c r="X533" t="str">
        <f t="shared" si="8"/>
        <v>8,000+</v>
      </c>
    </row>
    <row r="534" spans="1:24" x14ac:dyDescent="0.3">
      <c r="A534">
        <v>728</v>
      </c>
      <c r="B534">
        <v>47</v>
      </c>
      <c r="C534" t="s">
        <v>36</v>
      </c>
      <c r="D534" t="s">
        <v>23</v>
      </c>
      <c r="E534" t="s">
        <v>24</v>
      </c>
      <c r="F534">
        <v>14</v>
      </c>
      <c r="G534" t="s">
        <v>47</v>
      </c>
      <c r="H534" t="s">
        <v>58</v>
      </c>
      <c r="I534" t="s">
        <v>31</v>
      </c>
      <c r="J534" t="s">
        <v>40</v>
      </c>
      <c r="K534" t="s">
        <v>29</v>
      </c>
      <c r="L534" t="s">
        <v>30</v>
      </c>
      <c r="M534" t="s">
        <v>34</v>
      </c>
      <c r="N534" t="s">
        <v>32</v>
      </c>
      <c r="O534">
        <v>4960</v>
      </c>
      <c r="P534">
        <v>2</v>
      </c>
      <c r="Q534" t="s">
        <v>36</v>
      </c>
      <c r="R534">
        <v>12</v>
      </c>
      <c r="S534" t="s">
        <v>33</v>
      </c>
      <c r="T534" t="s">
        <v>31</v>
      </c>
      <c r="U534">
        <v>2</v>
      </c>
      <c r="V534" t="s">
        <v>44</v>
      </c>
      <c r="W534" t="str">
        <f>IF(HR_Data[[#This Row],[age]]&lt;25,"Under 25",IF(HR_Data[[#This Row],[age]]&lt;35,"25-34",IF(HR_Data[[#This Row],[age]]&lt;45,"35-44",IF(HR_Data[[#This Row],[age]]&lt;55,"45-54","55+"))))</f>
        <v>45-54</v>
      </c>
      <c r="X534" t="str">
        <f t="shared" si="8"/>
        <v>3,000-4,999</v>
      </c>
    </row>
    <row r="535" spans="1:24" x14ac:dyDescent="0.3">
      <c r="A535">
        <v>729</v>
      </c>
      <c r="B535">
        <v>40</v>
      </c>
      <c r="C535" t="s">
        <v>36</v>
      </c>
      <c r="D535" t="s">
        <v>37</v>
      </c>
      <c r="E535" t="s">
        <v>24</v>
      </c>
      <c r="F535">
        <v>5</v>
      </c>
      <c r="G535" t="s">
        <v>47</v>
      </c>
      <c r="H535" t="s">
        <v>26</v>
      </c>
      <c r="I535" t="s">
        <v>31</v>
      </c>
      <c r="J535" t="s">
        <v>40</v>
      </c>
      <c r="K535" t="s">
        <v>27</v>
      </c>
      <c r="L535" t="s">
        <v>30</v>
      </c>
      <c r="M535" t="s">
        <v>34</v>
      </c>
      <c r="N535" t="s">
        <v>42</v>
      </c>
      <c r="O535">
        <v>10475</v>
      </c>
      <c r="P535">
        <v>5</v>
      </c>
      <c r="Q535" t="s">
        <v>22</v>
      </c>
      <c r="R535">
        <v>21</v>
      </c>
      <c r="S535" t="s">
        <v>43</v>
      </c>
      <c r="T535" t="s">
        <v>29</v>
      </c>
      <c r="U535">
        <v>2</v>
      </c>
      <c r="V535" t="s">
        <v>44</v>
      </c>
      <c r="W535" t="str">
        <f>IF(HR_Data[[#This Row],[age]]&lt;25,"Under 25",IF(HR_Data[[#This Row],[age]]&lt;35,"25-34",IF(HR_Data[[#This Row],[age]]&lt;45,"35-44",IF(HR_Data[[#This Row],[age]]&lt;55,"45-54","55+"))))</f>
        <v>35-44</v>
      </c>
      <c r="X535" t="str">
        <f t="shared" si="8"/>
        <v>8,000+</v>
      </c>
    </row>
    <row r="536" spans="1:24" x14ac:dyDescent="0.3">
      <c r="A536">
        <v>730</v>
      </c>
      <c r="B536">
        <v>53</v>
      </c>
      <c r="C536" t="s">
        <v>36</v>
      </c>
      <c r="D536" t="s">
        <v>23</v>
      </c>
      <c r="E536" t="s">
        <v>38</v>
      </c>
      <c r="F536">
        <v>7</v>
      </c>
      <c r="G536" t="s">
        <v>50</v>
      </c>
      <c r="H536" t="s">
        <v>26</v>
      </c>
      <c r="I536" t="s">
        <v>29</v>
      </c>
      <c r="J536" t="s">
        <v>40</v>
      </c>
      <c r="K536" t="s">
        <v>31</v>
      </c>
      <c r="L536" t="s">
        <v>57</v>
      </c>
      <c r="M536" t="s">
        <v>29</v>
      </c>
      <c r="N536" t="s">
        <v>42</v>
      </c>
      <c r="O536">
        <v>14814</v>
      </c>
      <c r="P536">
        <v>3</v>
      </c>
      <c r="Q536" t="s">
        <v>36</v>
      </c>
      <c r="R536">
        <v>19</v>
      </c>
      <c r="S536" t="s">
        <v>33</v>
      </c>
      <c r="T536" t="s">
        <v>29</v>
      </c>
      <c r="U536">
        <v>3</v>
      </c>
      <c r="V536" t="s">
        <v>44</v>
      </c>
      <c r="W536" t="str">
        <f>IF(HR_Data[[#This Row],[age]]&lt;25,"Under 25",IF(HR_Data[[#This Row],[age]]&lt;35,"25-34",IF(HR_Data[[#This Row],[age]]&lt;45,"35-44",IF(HR_Data[[#This Row],[age]]&lt;55,"45-54","55+"))))</f>
        <v>45-54</v>
      </c>
      <c r="X536" t="str">
        <f t="shared" si="8"/>
        <v>8,000+</v>
      </c>
    </row>
    <row r="537" spans="1:24" x14ac:dyDescent="0.3">
      <c r="A537">
        <v>731</v>
      </c>
      <c r="B537">
        <v>41</v>
      </c>
      <c r="C537" t="s">
        <v>36</v>
      </c>
      <c r="D537" t="s">
        <v>23</v>
      </c>
      <c r="E537" t="s">
        <v>62</v>
      </c>
      <c r="F537">
        <v>10</v>
      </c>
      <c r="G537" t="s">
        <v>47</v>
      </c>
      <c r="H537" t="s">
        <v>62</v>
      </c>
      <c r="I537" t="s">
        <v>27</v>
      </c>
      <c r="J537" t="s">
        <v>40</v>
      </c>
      <c r="K537" t="s">
        <v>27</v>
      </c>
      <c r="L537" t="s">
        <v>55</v>
      </c>
      <c r="M537" t="s">
        <v>31</v>
      </c>
      <c r="N537" t="s">
        <v>51</v>
      </c>
      <c r="O537">
        <v>19141</v>
      </c>
      <c r="P537">
        <v>3</v>
      </c>
      <c r="Q537" t="s">
        <v>36</v>
      </c>
      <c r="R537">
        <v>15</v>
      </c>
      <c r="S537" t="s">
        <v>33</v>
      </c>
      <c r="T537" t="s">
        <v>27</v>
      </c>
      <c r="U537">
        <v>2</v>
      </c>
      <c r="V537" t="s">
        <v>49</v>
      </c>
      <c r="W537" t="str">
        <f>IF(HR_Data[[#This Row],[age]]&lt;25,"Under 25",IF(HR_Data[[#This Row],[age]]&lt;35,"25-34",IF(HR_Data[[#This Row],[age]]&lt;45,"35-44",IF(HR_Data[[#This Row],[age]]&lt;55,"45-54","55+"))))</f>
        <v>35-44</v>
      </c>
      <c r="X537" t="str">
        <f t="shared" si="8"/>
        <v>8,000+</v>
      </c>
    </row>
    <row r="538" spans="1:24" x14ac:dyDescent="0.3">
      <c r="A538">
        <v>732</v>
      </c>
      <c r="B538">
        <v>60</v>
      </c>
      <c r="C538" t="s">
        <v>36</v>
      </c>
      <c r="D538" t="s">
        <v>23</v>
      </c>
      <c r="E538" t="s">
        <v>24</v>
      </c>
      <c r="F538">
        <v>16</v>
      </c>
      <c r="G538" t="s">
        <v>47</v>
      </c>
      <c r="H538" t="s">
        <v>58</v>
      </c>
      <c r="I538" t="s">
        <v>34</v>
      </c>
      <c r="J538" t="s">
        <v>40</v>
      </c>
      <c r="K538" t="s">
        <v>29</v>
      </c>
      <c r="L538" t="s">
        <v>30</v>
      </c>
      <c r="M538" t="s">
        <v>34</v>
      </c>
      <c r="N538" t="s">
        <v>32</v>
      </c>
      <c r="O538">
        <v>5405</v>
      </c>
      <c r="P538">
        <v>8</v>
      </c>
      <c r="Q538" t="s">
        <v>36</v>
      </c>
      <c r="R538">
        <v>14</v>
      </c>
      <c r="S538" t="s">
        <v>33</v>
      </c>
      <c r="T538" t="s">
        <v>31</v>
      </c>
      <c r="U538">
        <v>1</v>
      </c>
      <c r="V538" t="s">
        <v>44</v>
      </c>
      <c r="W538" t="str">
        <f>IF(HR_Data[[#This Row],[age]]&lt;25,"Under 25",IF(HR_Data[[#This Row],[age]]&lt;35,"25-34",IF(HR_Data[[#This Row],[age]]&lt;45,"35-44",IF(HR_Data[[#This Row],[age]]&lt;55,"45-54","55+"))))</f>
        <v>55+</v>
      </c>
      <c r="X538" t="str">
        <f t="shared" si="8"/>
        <v>5,000-7,999</v>
      </c>
    </row>
    <row r="539" spans="1:24" x14ac:dyDescent="0.3">
      <c r="A539">
        <v>733</v>
      </c>
      <c r="B539">
        <v>27</v>
      </c>
      <c r="C539" t="s">
        <v>36</v>
      </c>
      <c r="D539" t="s">
        <v>37</v>
      </c>
      <c r="E539" t="s">
        <v>38</v>
      </c>
      <c r="F539">
        <v>10</v>
      </c>
      <c r="G539" t="s">
        <v>25</v>
      </c>
      <c r="H539" t="s">
        <v>26</v>
      </c>
      <c r="I539" t="s">
        <v>31</v>
      </c>
      <c r="J539" t="s">
        <v>40</v>
      </c>
      <c r="K539" t="s">
        <v>29</v>
      </c>
      <c r="L539" t="s">
        <v>52</v>
      </c>
      <c r="M539" t="s">
        <v>34</v>
      </c>
      <c r="N539" t="s">
        <v>51</v>
      </c>
      <c r="O539">
        <v>8793</v>
      </c>
      <c r="P539">
        <v>1</v>
      </c>
      <c r="Q539" t="s">
        <v>36</v>
      </c>
      <c r="R539">
        <v>21</v>
      </c>
      <c r="S539" t="s">
        <v>43</v>
      </c>
      <c r="T539" t="s">
        <v>29</v>
      </c>
      <c r="U539">
        <v>4</v>
      </c>
      <c r="V539" t="s">
        <v>49</v>
      </c>
      <c r="W539" t="str">
        <f>IF(HR_Data[[#This Row],[age]]&lt;25,"Under 25",IF(HR_Data[[#This Row],[age]]&lt;35,"25-34",IF(HR_Data[[#This Row],[age]]&lt;45,"35-44",IF(HR_Data[[#This Row],[age]]&lt;55,"45-54","55+"))))</f>
        <v>25-34</v>
      </c>
      <c r="X539" t="str">
        <f t="shared" si="8"/>
        <v>8,000+</v>
      </c>
    </row>
    <row r="540" spans="1:24" x14ac:dyDescent="0.3">
      <c r="A540">
        <v>734</v>
      </c>
      <c r="B540">
        <v>41</v>
      </c>
      <c r="C540" t="s">
        <v>36</v>
      </c>
      <c r="D540" t="s">
        <v>23</v>
      </c>
      <c r="E540" t="s">
        <v>62</v>
      </c>
      <c r="F540">
        <v>1</v>
      </c>
      <c r="G540" t="s">
        <v>50</v>
      </c>
      <c r="H540" t="s">
        <v>62</v>
      </c>
      <c r="I540" t="s">
        <v>31</v>
      </c>
      <c r="J540" t="s">
        <v>40</v>
      </c>
      <c r="K540" t="s">
        <v>27</v>
      </c>
      <c r="L540" t="s">
        <v>55</v>
      </c>
      <c r="M540" t="s">
        <v>29</v>
      </c>
      <c r="N540" t="s">
        <v>42</v>
      </c>
      <c r="O540">
        <v>19189</v>
      </c>
      <c r="P540">
        <v>1</v>
      </c>
      <c r="Q540" t="s">
        <v>36</v>
      </c>
      <c r="R540">
        <v>12</v>
      </c>
      <c r="S540" t="s">
        <v>33</v>
      </c>
      <c r="T540" t="s">
        <v>27</v>
      </c>
      <c r="U540">
        <v>3</v>
      </c>
      <c r="V540" t="s">
        <v>44</v>
      </c>
      <c r="W540" t="str">
        <f>IF(HR_Data[[#This Row],[age]]&lt;25,"Under 25",IF(HR_Data[[#This Row],[age]]&lt;35,"25-34",IF(HR_Data[[#This Row],[age]]&lt;45,"35-44",IF(HR_Data[[#This Row],[age]]&lt;55,"45-54","55+"))))</f>
        <v>35-44</v>
      </c>
      <c r="X540" t="str">
        <f t="shared" si="8"/>
        <v>8,000+</v>
      </c>
    </row>
    <row r="541" spans="1:24" x14ac:dyDescent="0.3">
      <c r="A541">
        <v>738</v>
      </c>
      <c r="B541">
        <v>50</v>
      </c>
      <c r="C541" t="s">
        <v>36</v>
      </c>
      <c r="D541" t="s">
        <v>23</v>
      </c>
      <c r="E541" t="s">
        <v>24</v>
      </c>
      <c r="F541">
        <v>8</v>
      </c>
      <c r="G541" t="s">
        <v>47</v>
      </c>
      <c r="H541" t="s">
        <v>58</v>
      </c>
      <c r="I541" t="s">
        <v>31</v>
      </c>
      <c r="J541" t="s">
        <v>40</v>
      </c>
      <c r="K541" t="s">
        <v>29</v>
      </c>
      <c r="L541" t="s">
        <v>56</v>
      </c>
      <c r="M541" t="s">
        <v>27</v>
      </c>
      <c r="N541" t="s">
        <v>42</v>
      </c>
      <c r="O541">
        <v>3875</v>
      </c>
      <c r="P541">
        <v>7</v>
      </c>
      <c r="Q541" t="s">
        <v>36</v>
      </c>
      <c r="R541">
        <v>15</v>
      </c>
      <c r="S541" t="s">
        <v>33</v>
      </c>
      <c r="T541" t="s">
        <v>31</v>
      </c>
      <c r="U541">
        <v>2</v>
      </c>
      <c r="V541" t="s">
        <v>44</v>
      </c>
      <c r="W541" t="str">
        <f>IF(HR_Data[[#This Row],[age]]&lt;25,"Under 25",IF(HR_Data[[#This Row],[age]]&lt;35,"25-34",IF(HR_Data[[#This Row],[age]]&lt;45,"35-44",IF(HR_Data[[#This Row],[age]]&lt;55,"45-54","55+"))))</f>
        <v>45-54</v>
      </c>
      <c r="X541" t="str">
        <f t="shared" si="8"/>
        <v>3,000-4,999</v>
      </c>
    </row>
    <row r="542" spans="1:24" x14ac:dyDescent="0.3">
      <c r="A542">
        <v>741</v>
      </c>
      <c r="B542">
        <v>28</v>
      </c>
      <c r="C542" t="s">
        <v>22</v>
      </c>
      <c r="D542" t="s">
        <v>23</v>
      </c>
      <c r="E542" t="s">
        <v>38</v>
      </c>
      <c r="F542">
        <v>1</v>
      </c>
      <c r="G542" t="s">
        <v>25</v>
      </c>
      <c r="H542" t="s">
        <v>26</v>
      </c>
      <c r="I542" t="s">
        <v>34</v>
      </c>
      <c r="J542" t="s">
        <v>28</v>
      </c>
      <c r="K542" t="s">
        <v>34</v>
      </c>
      <c r="L542" t="s">
        <v>41</v>
      </c>
      <c r="M542" t="s">
        <v>27</v>
      </c>
      <c r="N542" t="s">
        <v>32</v>
      </c>
      <c r="O542">
        <v>2216</v>
      </c>
      <c r="P542">
        <v>7</v>
      </c>
      <c r="Q542" t="s">
        <v>22</v>
      </c>
      <c r="R542">
        <v>13</v>
      </c>
      <c r="S542" t="s">
        <v>33</v>
      </c>
      <c r="T542" t="s">
        <v>31</v>
      </c>
      <c r="U542">
        <v>4</v>
      </c>
      <c r="V542" t="s">
        <v>44</v>
      </c>
      <c r="W542" t="str">
        <f>IF(HR_Data[[#This Row],[age]]&lt;25,"Under 25",IF(HR_Data[[#This Row],[age]]&lt;35,"25-34",IF(HR_Data[[#This Row],[age]]&lt;45,"35-44",IF(HR_Data[[#This Row],[age]]&lt;55,"45-54","55+"))))</f>
        <v>25-34</v>
      </c>
      <c r="X542" t="str">
        <f t="shared" si="8"/>
        <v>Below 3,000</v>
      </c>
    </row>
    <row r="543" spans="1:24" x14ac:dyDescent="0.3">
      <c r="A543">
        <v>742</v>
      </c>
      <c r="B543">
        <v>36</v>
      </c>
      <c r="C543" t="s">
        <v>36</v>
      </c>
      <c r="D543" t="s">
        <v>54</v>
      </c>
      <c r="E543" t="s">
        <v>38</v>
      </c>
      <c r="F543">
        <v>8</v>
      </c>
      <c r="G543" t="s">
        <v>50</v>
      </c>
      <c r="H543" t="s">
        <v>26</v>
      </c>
      <c r="I543" t="s">
        <v>34</v>
      </c>
      <c r="J543" t="s">
        <v>28</v>
      </c>
      <c r="K543" t="s">
        <v>31</v>
      </c>
      <c r="L543" t="s">
        <v>57</v>
      </c>
      <c r="M543" t="s">
        <v>34</v>
      </c>
      <c r="N543" t="s">
        <v>42</v>
      </c>
      <c r="O543">
        <v>11713</v>
      </c>
      <c r="P543">
        <v>9</v>
      </c>
      <c r="Q543" t="s">
        <v>36</v>
      </c>
      <c r="R543">
        <v>14</v>
      </c>
      <c r="S543" t="s">
        <v>33</v>
      </c>
      <c r="T543" t="s">
        <v>34</v>
      </c>
      <c r="U543">
        <v>2</v>
      </c>
      <c r="V543" t="s">
        <v>44</v>
      </c>
      <c r="W543" t="str">
        <f>IF(HR_Data[[#This Row],[age]]&lt;25,"Under 25",IF(HR_Data[[#This Row],[age]]&lt;35,"25-34",IF(HR_Data[[#This Row],[age]]&lt;45,"35-44",IF(HR_Data[[#This Row],[age]]&lt;55,"45-54","55+"))))</f>
        <v>35-44</v>
      </c>
      <c r="X543" t="str">
        <f t="shared" si="8"/>
        <v>8,000+</v>
      </c>
    </row>
    <row r="544" spans="1:24" x14ac:dyDescent="0.3">
      <c r="A544">
        <v>743</v>
      </c>
      <c r="B544">
        <v>38</v>
      </c>
      <c r="C544" t="s">
        <v>36</v>
      </c>
      <c r="D544" t="s">
        <v>23</v>
      </c>
      <c r="E544" t="s">
        <v>38</v>
      </c>
      <c r="F544">
        <v>1</v>
      </c>
      <c r="G544" t="s">
        <v>50</v>
      </c>
      <c r="H544" t="s">
        <v>26</v>
      </c>
      <c r="I544" t="s">
        <v>29</v>
      </c>
      <c r="J544" t="s">
        <v>28</v>
      </c>
      <c r="K544" t="s">
        <v>29</v>
      </c>
      <c r="L544" t="s">
        <v>52</v>
      </c>
      <c r="M544" t="s">
        <v>29</v>
      </c>
      <c r="N544" t="s">
        <v>32</v>
      </c>
      <c r="O544">
        <v>7861</v>
      </c>
      <c r="P544">
        <v>4</v>
      </c>
      <c r="Q544" t="s">
        <v>22</v>
      </c>
      <c r="R544">
        <v>14</v>
      </c>
      <c r="S544" t="s">
        <v>33</v>
      </c>
      <c r="T544" t="s">
        <v>31</v>
      </c>
      <c r="U544">
        <v>4</v>
      </c>
      <c r="V544" t="s">
        <v>59</v>
      </c>
      <c r="W544" t="str">
        <f>IF(HR_Data[[#This Row],[age]]&lt;25,"Under 25",IF(HR_Data[[#This Row],[age]]&lt;35,"25-34",IF(HR_Data[[#This Row],[age]]&lt;45,"35-44",IF(HR_Data[[#This Row],[age]]&lt;55,"45-54","55+"))))</f>
        <v>35-44</v>
      </c>
      <c r="X544" t="str">
        <f t="shared" si="8"/>
        <v>5,000-7,999</v>
      </c>
    </row>
    <row r="545" spans="1:24" x14ac:dyDescent="0.3">
      <c r="A545">
        <v>744</v>
      </c>
      <c r="B545">
        <v>44</v>
      </c>
      <c r="C545" t="s">
        <v>36</v>
      </c>
      <c r="D545" t="s">
        <v>54</v>
      </c>
      <c r="E545" t="s">
        <v>38</v>
      </c>
      <c r="F545">
        <v>24</v>
      </c>
      <c r="G545" t="s">
        <v>50</v>
      </c>
      <c r="H545" t="s">
        <v>48</v>
      </c>
      <c r="I545" t="s">
        <v>34</v>
      </c>
      <c r="J545" t="s">
        <v>40</v>
      </c>
      <c r="K545" t="s">
        <v>34</v>
      </c>
      <c r="L545" t="s">
        <v>46</v>
      </c>
      <c r="M545" t="s">
        <v>29</v>
      </c>
      <c r="N545" t="s">
        <v>32</v>
      </c>
      <c r="O545">
        <v>3708</v>
      </c>
      <c r="P545">
        <v>2</v>
      </c>
      <c r="Q545" t="s">
        <v>36</v>
      </c>
      <c r="R545">
        <v>14</v>
      </c>
      <c r="S545" t="s">
        <v>33</v>
      </c>
      <c r="T545" t="s">
        <v>29</v>
      </c>
      <c r="U545">
        <v>5</v>
      </c>
      <c r="V545" t="s">
        <v>44</v>
      </c>
      <c r="W545" t="str">
        <f>IF(HR_Data[[#This Row],[age]]&lt;25,"Under 25",IF(HR_Data[[#This Row],[age]]&lt;35,"25-34",IF(HR_Data[[#This Row],[age]]&lt;45,"35-44",IF(HR_Data[[#This Row],[age]]&lt;55,"45-54","55+"))))</f>
        <v>35-44</v>
      </c>
      <c r="X545" t="str">
        <f t="shared" si="8"/>
        <v>3,000-4,999</v>
      </c>
    </row>
    <row r="546" spans="1:24" x14ac:dyDescent="0.3">
      <c r="A546">
        <v>746</v>
      </c>
      <c r="B546">
        <v>47</v>
      </c>
      <c r="C546" t="s">
        <v>36</v>
      </c>
      <c r="D546" t="s">
        <v>37</v>
      </c>
      <c r="E546" t="s">
        <v>24</v>
      </c>
      <c r="F546">
        <v>3</v>
      </c>
      <c r="G546" t="s">
        <v>50</v>
      </c>
      <c r="H546" t="s">
        <v>48</v>
      </c>
      <c r="I546" t="s">
        <v>31</v>
      </c>
      <c r="J546" t="s">
        <v>28</v>
      </c>
      <c r="K546" t="s">
        <v>29</v>
      </c>
      <c r="L546" t="s">
        <v>30</v>
      </c>
      <c r="M546" t="s">
        <v>29</v>
      </c>
      <c r="N546" t="s">
        <v>51</v>
      </c>
      <c r="O546">
        <v>13770</v>
      </c>
      <c r="P546">
        <v>9</v>
      </c>
      <c r="Q546" t="s">
        <v>22</v>
      </c>
      <c r="R546">
        <v>12</v>
      </c>
      <c r="S546" t="s">
        <v>33</v>
      </c>
      <c r="T546" t="s">
        <v>31</v>
      </c>
      <c r="U546">
        <v>2</v>
      </c>
      <c r="V546" t="s">
        <v>49</v>
      </c>
      <c r="W546" t="str">
        <f>IF(HR_Data[[#This Row],[age]]&lt;25,"Under 25",IF(HR_Data[[#This Row],[age]]&lt;35,"25-34",IF(HR_Data[[#This Row],[age]]&lt;45,"35-44",IF(HR_Data[[#This Row],[age]]&lt;55,"45-54","55+"))))</f>
        <v>45-54</v>
      </c>
      <c r="X546" t="str">
        <f t="shared" si="8"/>
        <v>8,000+</v>
      </c>
    </row>
    <row r="547" spans="1:24" x14ac:dyDescent="0.3">
      <c r="A547">
        <v>747</v>
      </c>
      <c r="B547">
        <v>30</v>
      </c>
      <c r="C547" t="s">
        <v>36</v>
      </c>
      <c r="D547" t="s">
        <v>23</v>
      </c>
      <c r="E547" t="s">
        <v>24</v>
      </c>
      <c r="F547">
        <v>27</v>
      </c>
      <c r="G547" t="s">
        <v>61</v>
      </c>
      <c r="H547" t="s">
        <v>58</v>
      </c>
      <c r="I547" t="s">
        <v>29</v>
      </c>
      <c r="J547" t="s">
        <v>40</v>
      </c>
      <c r="K547" t="s">
        <v>29</v>
      </c>
      <c r="L547" t="s">
        <v>30</v>
      </c>
      <c r="M547" t="s">
        <v>31</v>
      </c>
      <c r="N547" t="s">
        <v>51</v>
      </c>
      <c r="O547">
        <v>5304</v>
      </c>
      <c r="P547">
        <v>7</v>
      </c>
      <c r="Q547" t="s">
        <v>36</v>
      </c>
      <c r="R547">
        <v>23</v>
      </c>
      <c r="S547" t="s">
        <v>43</v>
      </c>
      <c r="T547" t="s">
        <v>31</v>
      </c>
      <c r="U547">
        <v>2</v>
      </c>
      <c r="V547" t="s">
        <v>49</v>
      </c>
      <c r="W547" t="str">
        <f>IF(HR_Data[[#This Row],[age]]&lt;25,"Under 25",IF(HR_Data[[#This Row],[age]]&lt;35,"25-34",IF(HR_Data[[#This Row],[age]]&lt;45,"35-44",IF(HR_Data[[#This Row],[age]]&lt;55,"45-54","55+"))))</f>
        <v>25-34</v>
      </c>
      <c r="X547" t="str">
        <f t="shared" si="8"/>
        <v>5,000-7,999</v>
      </c>
    </row>
    <row r="548" spans="1:24" x14ac:dyDescent="0.3">
      <c r="A548">
        <v>749</v>
      </c>
      <c r="B548">
        <v>29</v>
      </c>
      <c r="C548" t="s">
        <v>36</v>
      </c>
      <c r="D548" t="s">
        <v>23</v>
      </c>
      <c r="E548" t="s">
        <v>24</v>
      </c>
      <c r="F548">
        <v>10</v>
      </c>
      <c r="G548" t="s">
        <v>50</v>
      </c>
      <c r="H548" t="s">
        <v>26</v>
      </c>
      <c r="I548" t="s">
        <v>29</v>
      </c>
      <c r="J548" t="s">
        <v>40</v>
      </c>
      <c r="K548" t="s">
        <v>29</v>
      </c>
      <c r="L548" t="s">
        <v>56</v>
      </c>
      <c r="M548" t="s">
        <v>29</v>
      </c>
      <c r="N548" t="s">
        <v>32</v>
      </c>
      <c r="O548">
        <v>2642</v>
      </c>
      <c r="P548">
        <v>1</v>
      </c>
      <c r="Q548" t="s">
        <v>36</v>
      </c>
      <c r="R548">
        <v>11</v>
      </c>
      <c r="S548" t="s">
        <v>33</v>
      </c>
      <c r="T548" t="s">
        <v>29</v>
      </c>
      <c r="U548">
        <v>6</v>
      </c>
      <c r="V548" t="s">
        <v>44</v>
      </c>
      <c r="W548" t="str">
        <f>IF(HR_Data[[#This Row],[age]]&lt;25,"Under 25",IF(HR_Data[[#This Row],[age]]&lt;35,"25-34",IF(HR_Data[[#This Row],[age]]&lt;45,"35-44",IF(HR_Data[[#This Row],[age]]&lt;55,"45-54","55+"))))</f>
        <v>25-34</v>
      </c>
      <c r="X548" t="str">
        <f t="shared" si="8"/>
        <v>Below 3,000</v>
      </c>
    </row>
    <row r="549" spans="1:24" x14ac:dyDescent="0.3">
      <c r="A549">
        <v>752</v>
      </c>
      <c r="B549">
        <v>42</v>
      </c>
      <c r="C549" t="s">
        <v>22</v>
      </c>
      <c r="D549" t="s">
        <v>37</v>
      </c>
      <c r="E549" t="s">
        <v>38</v>
      </c>
      <c r="F549">
        <v>19</v>
      </c>
      <c r="G549" t="s">
        <v>50</v>
      </c>
      <c r="H549" t="s">
        <v>48</v>
      </c>
      <c r="I549" t="s">
        <v>29</v>
      </c>
      <c r="J549" t="s">
        <v>40</v>
      </c>
      <c r="K549" t="s">
        <v>31</v>
      </c>
      <c r="L549" t="s">
        <v>41</v>
      </c>
      <c r="M549" t="s">
        <v>29</v>
      </c>
      <c r="N549" t="s">
        <v>51</v>
      </c>
      <c r="O549">
        <v>2759</v>
      </c>
      <c r="P549">
        <v>6</v>
      </c>
      <c r="Q549" t="s">
        <v>22</v>
      </c>
      <c r="R549">
        <v>12</v>
      </c>
      <c r="S549" t="s">
        <v>33</v>
      </c>
      <c r="T549" t="s">
        <v>31</v>
      </c>
      <c r="U549">
        <v>2</v>
      </c>
      <c r="V549" t="s">
        <v>44</v>
      </c>
      <c r="W549" t="str">
        <f>IF(HR_Data[[#This Row],[age]]&lt;25,"Under 25",IF(HR_Data[[#This Row],[age]]&lt;35,"25-34",IF(HR_Data[[#This Row],[age]]&lt;45,"35-44",IF(HR_Data[[#This Row],[age]]&lt;55,"45-54","55+"))))</f>
        <v>35-44</v>
      </c>
      <c r="X549" t="str">
        <f t="shared" si="8"/>
        <v>Below 3,000</v>
      </c>
    </row>
    <row r="550" spans="1:24" x14ac:dyDescent="0.3">
      <c r="A550">
        <v>754</v>
      </c>
      <c r="B550">
        <v>43</v>
      </c>
      <c r="C550" t="s">
        <v>36</v>
      </c>
      <c r="D550" t="s">
        <v>37</v>
      </c>
      <c r="E550" t="s">
        <v>24</v>
      </c>
      <c r="F550">
        <v>15</v>
      </c>
      <c r="G550" t="s">
        <v>50</v>
      </c>
      <c r="H550" t="s">
        <v>26</v>
      </c>
      <c r="I550" t="s">
        <v>31</v>
      </c>
      <c r="J550" t="s">
        <v>40</v>
      </c>
      <c r="K550" t="s">
        <v>27</v>
      </c>
      <c r="L550" t="s">
        <v>30</v>
      </c>
      <c r="M550" t="s">
        <v>31</v>
      </c>
      <c r="N550" t="s">
        <v>42</v>
      </c>
      <c r="O550">
        <v>6804</v>
      </c>
      <c r="P550">
        <v>3</v>
      </c>
      <c r="Q550" t="s">
        <v>36</v>
      </c>
      <c r="R550">
        <v>18</v>
      </c>
      <c r="S550" t="s">
        <v>33</v>
      </c>
      <c r="T550" t="s">
        <v>29</v>
      </c>
      <c r="U550">
        <v>5</v>
      </c>
      <c r="V550" t="s">
        <v>44</v>
      </c>
      <c r="W550" t="str">
        <f>IF(HR_Data[[#This Row],[age]]&lt;25,"Under 25",IF(HR_Data[[#This Row],[age]]&lt;35,"25-34",IF(HR_Data[[#This Row],[age]]&lt;45,"35-44",IF(HR_Data[[#This Row],[age]]&lt;55,"45-54","55+"))))</f>
        <v>35-44</v>
      </c>
      <c r="X550" t="str">
        <f t="shared" si="8"/>
        <v>5,000-7,999</v>
      </c>
    </row>
    <row r="551" spans="1:24" x14ac:dyDescent="0.3">
      <c r="A551">
        <v>757</v>
      </c>
      <c r="B551">
        <v>34</v>
      </c>
      <c r="C551" t="s">
        <v>36</v>
      </c>
      <c r="D551" t="s">
        <v>23</v>
      </c>
      <c r="E551" t="s">
        <v>38</v>
      </c>
      <c r="F551">
        <v>8</v>
      </c>
      <c r="G551" t="s">
        <v>25</v>
      </c>
      <c r="H551" t="s">
        <v>48</v>
      </c>
      <c r="I551" t="s">
        <v>27</v>
      </c>
      <c r="J551" t="s">
        <v>28</v>
      </c>
      <c r="K551" t="s">
        <v>29</v>
      </c>
      <c r="L551" t="s">
        <v>53</v>
      </c>
      <c r="M551" t="s">
        <v>29</v>
      </c>
      <c r="N551" t="s">
        <v>32</v>
      </c>
      <c r="O551">
        <v>6142</v>
      </c>
      <c r="P551">
        <v>3</v>
      </c>
      <c r="Q551" t="s">
        <v>36</v>
      </c>
      <c r="R551">
        <v>11</v>
      </c>
      <c r="S551" t="s">
        <v>33</v>
      </c>
      <c r="T551" t="s">
        <v>31</v>
      </c>
      <c r="U551">
        <v>2</v>
      </c>
      <c r="V551" t="s">
        <v>44</v>
      </c>
      <c r="W551" t="str">
        <f>IF(HR_Data[[#This Row],[age]]&lt;25,"Under 25",IF(HR_Data[[#This Row],[age]]&lt;35,"25-34",IF(HR_Data[[#This Row],[age]]&lt;45,"35-44",IF(HR_Data[[#This Row],[age]]&lt;55,"45-54","55+"))))</f>
        <v>25-34</v>
      </c>
      <c r="X551" t="str">
        <f t="shared" si="8"/>
        <v>5,000-7,999</v>
      </c>
    </row>
    <row r="552" spans="1:24" x14ac:dyDescent="0.3">
      <c r="A552">
        <v>758</v>
      </c>
      <c r="B552">
        <v>23</v>
      </c>
      <c r="C552" t="s">
        <v>36</v>
      </c>
      <c r="D552" t="s">
        <v>23</v>
      </c>
      <c r="E552" t="s">
        <v>38</v>
      </c>
      <c r="F552">
        <v>9</v>
      </c>
      <c r="G552" t="s">
        <v>39</v>
      </c>
      <c r="H552" t="s">
        <v>48</v>
      </c>
      <c r="I552" t="s">
        <v>27</v>
      </c>
      <c r="J552" t="s">
        <v>40</v>
      </c>
      <c r="K552" t="s">
        <v>29</v>
      </c>
      <c r="L552" t="s">
        <v>46</v>
      </c>
      <c r="M552" t="s">
        <v>34</v>
      </c>
      <c r="N552" t="s">
        <v>42</v>
      </c>
      <c r="O552">
        <v>2500</v>
      </c>
      <c r="P552">
        <v>1</v>
      </c>
      <c r="Q552" t="s">
        <v>36</v>
      </c>
      <c r="R552">
        <v>14</v>
      </c>
      <c r="S552" t="s">
        <v>33</v>
      </c>
      <c r="T552" t="s">
        <v>31</v>
      </c>
      <c r="U552">
        <v>2</v>
      </c>
      <c r="V552" t="s">
        <v>59</v>
      </c>
      <c r="W552" t="str">
        <f>IF(HR_Data[[#This Row],[age]]&lt;25,"Under 25",IF(HR_Data[[#This Row],[age]]&lt;35,"25-34",IF(HR_Data[[#This Row],[age]]&lt;45,"35-44",IF(HR_Data[[#This Row],[age]]&lt;55,"45-54","55+"))))</f>
        <v>Under 25</v>
      </c>
      <c r="X552" t="str">
        <f t="shared" si="8"/>
        <v>Below 3,000</v>
      </c>
    </row>
    <row r="553" spans="1:24" x14ac:dyDescent="0.3">
      <c r="A553">
        <v>760</v>
      </c>
      <c r="B553">
        <v>39</v>
      </c>
      <c r="C553" t="s">
        <v>36</v>
      </c>
      <c r="D553" t="s">
        <v>23</v>
      </c>
      <c r="E553" t="s">
        <v>62</v>
      </c>
      <c r="F553">
        <v>3</v>
      </c>
      <c r="G553" t="s">
        <v>50</v>
      </c>
      <c r="H553" t="s">
        <v>62</v>
      </c>
      <c r="I553" t="s">
        <v>29</v>
      </c>
      <c r="J553" t="s">
        <v>28</v>
      </c>
      <c r="K553" t="s">
        <v>31</v>
      </c>
      <c r="L553" t="s">
        <v>62</v>
      </c>
      <c r="M553" t="s">
        <v>27</v>
      </c>
      <c r="N553" t="s">
        <v>42</v>
      </c>
      <c r="O553">
        <v>6389</v>
      </c>
      <c r="P553">
        <v>9</v>
      </c>
      <c r="Q553" t="s">
        <v>36</v>
      </c>
      <c r="R553">
        <v>15</v>
      </c>
      <c r="S553" t="s">
        <v>33</v>
      </c>
      <c r="T553" t="s">
        <v>29</v>
      </c>
      <c r="U553">
        <v>3</v>
      </c>
      <c r="V553" t="s">
        <v>35</v>
      </c>
      <c r="W553" t="str">
        <f>IF(HR_Data[[#This Row],[age]]&lt;25,"Under 25",IF(HR_Data[[#This Row],[age]]&lt;35,"25-34",IF(HR_Data[[#This Row],[age]]&lt;45,"35-44",IF(HR_Data[[#This Row],[age]]&lt;55,"45-54","55+"))))</f>
        <v>35-44</v>
      </c>
      <c r="X553" t="str">
        <f t="shared" si="8"/>
        <v>5,000-7,999</v>
      </c>
    </row>
    <row r="554" spans="1:24" x14ac:dyDescent="0.3">
      <c r="A554">
        <v>762</v>
      </c>
      <c r="B554">
        <v>56</v>
      </c>
      <c r="C554" t="s">
        <v>36</v>
      </c>
      <c r="D554" t="s">
        <v>23</v>
      </c>
      <c r="E554" t="s">
        <v>38</v>
      </c>
      <c r="F554">
        <v>9</v>
      </c>
      <c r="G554" t="s">
        <v>50</v>
      </c>
      <c r="H554" t="s">
        <v>48</v>
      </c>
      <c r="I554" t="s">
        <v>29</v>
      </c>
      <c r="J554" t="s">
        <v>40</v>
      </c>
      <c r="K554" t="s">
        <v>29</v>
      </c>
      <c r="L554" t="s">
        <v>53</v>
      </c>
      <c r="M554" t="s">
        <v>31</v>
      </c>
      <c r="N554" t="s">
        <v>42</v>
      </c>
      <c r="O554">
        <v>11103</v>
      </c>
      <c r="P554">
        <v>7</v>
      </c>
      <c r="Q554" t="s">
        <v>36</v>
      </c>
      <c r="R554">
        <v>11</v>
      </c>
      <c r="S554" t="s">
        <v>33</v>
      </c>
      <c r="T554" t="s">
        <v>29</v>
      </c>
      <c r="U554">
        <v>1</v>
      </c>
      <c r="V554" t="s">
        <v>49</v>
      </c>
      <c r="W554" t="str">
        <f>IF(HR_Data[[#This Row],[age]]&lt;25,"Under 25",IF(HR_Data[[#This Row],[age]]&lt;35,"25-34",IF(HR_Data[[#This Row],[age]]&lt;45,"35-44",IF(HR_Data[[#This Row],[age]]&lt;55,"45-54","55+"))))</f>
        <v>55+</v>
      </c>
      <c r="X554" t="str">
        <f t="shared" si="8"/>
        <v>8,000+</v>
      </c>
    </row>
    <row r="555" spans="1:24" x14ac:dyDescent="0.3">
      <c r="A555">
        <v>763</v>
      </c>
      <c r="B555">
        <v>40</v>
      </c>
      <c r="C555" t="s">
        <v>36</v>
      </c>
      <c r="D555" t="s">
        <v>23</v>
      </c>
      <c r="E555" t="s">
        <v>38</v>
      </c>
      <c r="F555">
        <v>2</v>
      </c>
      <c r="G555" t="s">
        <v>39</v>
      </c>
      <c r="H555" t="s">
        <v>48</v>
      </c>
      <c r="I555" t="s">
        <v>31</v>
      </c>
      <c r="J555" t="s">
        <v>28</v>
      </c>
      <c r="K555" t="s">
        <v>27</v>
      </c>
      <c r="L555" t="s">
        <v>41</v>
      </c>
      <c r="M555" t="s">
        <v>31</v>
      </c>
      <c r="N555" t="s">
        <v>32</v>
      </c>
      <c r="O555">
        <v>2342</v>
      </c>
      <c r="P555">
        <v>0</v>
      </c>
      <c r="Q555" t="s">
        <v>22</v>
      </c>
      <c r="R555">
        <v>20</v>
      </c>
      <c r="S555" t="s">
        <v>43</v>
      </c>
      <c r="T555" t="s">
        <v>31</v>
      </c>
      <c r="U555">
        <v>2</v>
      </c>
      <c r="V555" t="s">
        <v>49</v>
      </c>
      <c r="W555" t="str">
        <f>IF(HR_Data[[#This Row],[age]]&lt;25,"Under 25",IF(HR_Data[[#This Row],[age]]&lt;35,"25-34",IF(HR_Data[[#This Row],[age]]&lt;45,"35-44",IF(HR_Data[[#This Row],[age]]&lt;55,"45-54","55+"))))</f>
        <v>35-44</v>
      </c>
      <c r="X555" t="str">
        <f t="shared" si="8"/>
        <v>Below 3,000</v>
      </c>
    </row>
    <row r="556" spans="1:24" x14ac:dyDescent="0.3">
      <c r="A556">
        <v>764</v>
      </c>
      <c r="B556">
        <v>27</v>
      </c>
      <c r="C556" t="s">
        <v>36</v>
      </c>
      <c r="D556" t="s">
        <v>23</v>
      </c>
      <c r="E556" t="s">
        <v>38</v>
      </c>
      <c r="F556">
        <v>7</v>
      </c>
      <c r="G556" t="s">
        <v>50</v>
      </c>
      <c r="H556" t="s">
        <v>48</v>
      </c>
      <c r="I556" t="s">
        <v>31</v>
      </c>
      <c r="J556" t="s">
        <v>28</v>
      </c>
      <c r="K556" t="s">
        <v>27</v>
      </c>
      <c r="L556" t="s">
        <v>53</v>
      </c>
      <c r="M556" t="s">
        <v>34</v>
      </c>
      <c r="N556" t="s">
        <v>32</v>
      </c>
      <c r="O556">
        <v>6811</v>
      </c>
      <c r="P556">
        <v>8</v>
      </c>
      <c r="Q556" t="s">
        <v>36</v>
      </c>
      <c r="R556">
        <v>19</v>
      </c>
      <c r="S556" t="s">
        <v>33</v>
      </c>
      <c r="T556" t="s">
        <v>34</v>
      </c>
      <c r="U556">
        <v>2</v>
      </c>
      <c r="V556" t="s">
        <v>35</v>
      </c>
      <c r="W556" t="str">
        <f>IF(HR_Data[[#This Row],[age]]&lt;25,"Under 25",IF(HR_Data[[#This Row],[age]]&lt;35,"25-34",IF(HR_Data[[#This Row],[age]]&lt;45,"35-44",IF(HR_Data[[#This Row],[age]]&lt;55,"45-54","55+"))))</f>
        <v>25-34</v>
      </c>
      <c r="X556" t="str">
        <f t="shared" si="8"/>
        <v>5,000-7,999</v>
      </c>
    </row>
    <row r="557" spans="1:24" x14ac:dyDescent="0.3">
      <c r="A557">
        <v>766</v>
      </c>
      <c r="B557">
        <v>29</v>
      </c>
      <c r="C557" t="s">
        <v>36</v>
      </c>
      <c r="D557" t="s">
        <v>23</v>
      </c>
      <c r="E557" t="s">
        <v>24</v>
      </c>
      <c r="F557">
        <v>10</v>
      </c>
      <c r="G557" t="s">
        <v>50</v>
      </c>
      <c r="H557" t="s">
        <v>58</v>
      </c>
      <c r="I557" t="s">
        <v>31</v>
      </c>
      <c r="J557" t="s">
        <v>40</v>
      </c>
      <c r="K557" t="s">
        <v>29</v>
      </c>
      <c r="L557" t="s">
        <v>56</v>
      </c>
      <c r="M557" t="s">
        <v>27</v>
      </c>
      <c r="N557" t="s">
        <v>51</v>
      </c>
      <c r="O557">
        <v>2297</v>
      </c>
      <c r="P557">
        <v>1</v>
      </c>
      <c r="Q557" t="s">
        <v>36</v>
      </c>
      <c r="R557">
        <v>14</v>
      </c>
      <c r="S557" t="s">
        <v>33</v>
      </c>
      <c r="T557" t="s">
        <v>31</v>
      </c>
      <c r="U557">
        <v>2</v>
      </c>
      <c r="V557" t="s">
        <v>44</v>
      </c>
      <c r="W557" t="str">
        <f>IF(HR_Data[[#This Row],[age]]&lt;25,"Under 25",IF(HR_Data[[#This Row],[age]]&lt;35,"25-34",IF(HR_Data[[#This Row],[age]]&lt;45,"35-44",IF(HR_Data[[#This Row],[age]]&lt;55,"45-54","55+"))))</f>
        <v>25-34</v>
      </c>
      <c r="X557" t="str">
        <f t="shared" si="8"/>
        <v>Below 3,000</v>
      </c>
    </row>
    <row r="558" spans="1:24" x14ac:dyDescent="0.3">
      <c r="A558">
        <v>769</v>
      </c>
      <c r="B558">
        <v>53</v>
      </c>
      <c r="C558" t="s">
        <v>36</v>
      </c>
      <c r="D558" t="s">
        <v>23</v>
      </c>
      <c r="E558" t="s">
        <v>38</v>
      </c>
      <c r="F558">
        <v>6</v>
      </c>
      <c r="G558" t="s">
        <v>50</v>
      </c>
      <c r="H558" t="s">
        <v>26</v>
      </c>
      <c r="I558" t="s">
        <v>31</v>
      </c>
      <c r="J558" t="s">
        <v>40</v>
      </c>
      <c r="K558" t="s">
        <v>29</v>
      </c>
      <c r="L558" t="s">
        <v>46</v>
      </c>
      <c r="M558" t="s">
        <v>31</v>
      </c>
      <c r="N558" t="s">
        <v>32</v>
      </c>
      <c r="O558">
        <v>2450</v>
      </c>
      <c r="P558">
        <v>2</v>
      </c>
      <c r="Q558" t="s">
        <v>36</v>
      </c>
      <c r="R558">
        <v>17</v>
      </c>
      <c r="S558" t="s">
        <v>33</v>
      </c>
      <c r="T558" t="s">
        <v>31</v>
      </c>
      <c r="U558">
        <v>4</v>
      </c>
      <c r="V558" t="s">
        <v>44</v>
      </c>
      <c r="W558" t="str">
        <f>IF(HR_Data[[#This Row],[age]]&lt;25,"Under 25",IF(HR_Data[[#This Row],[age]]&lt;35,"25-34",IF(HR_Data[[#This Row],[age]]&lt;45,"35-44",IF(HR_Data[[#This Row],[age]]&lt;55,"45-54","55+"))))</f>
        <v>45-54</v>
      </c>
      <c r="X558" t="str">
        <f t="shared" si="8"/>
        <v>Below 3,000</v>
      </c>
    </row>
    <row r="559" spans="1:24" x14ac:dyDescent="0.3">
      <c r="A559">
        <v>771</v>
      </c>
      <c r="B559">
        <v>35</v>
      </c>
      <c r="C559" t="s">
        <v>36</v>
      </c>
      <c r="D559" t="s">
        <v>54</v>
      </c>
      <c r="E559" t="s">
        <v>38</v>
      </c>
      <c r="F559">
        <v>2</v>
      </c>
      <c r="G559" t="s">
        <v>47</v>
      </c>
      <c r="H559" t="s">
        <v>26</v>
      </c>
      <c r="I559" t="s">
        <v>31</v>
      </c>
      <c r="J559" t="s">
        <v>28</v>
      </c>
      <c r="K559" t="s">
        <v>29</v>
      </c>
      <c r="L559" t="s">
        <v>53</v>
      </c>
      <c r="M559" t="s">
        <v>34</v>
      </c>
      <c r="N559" t="s">
        <v>51</v>
      </c>
      <c r="O559">
        <v>5093</v>
      </c>
      <c r="P559">
        <v>2</v>
      </c>
      <c r="Q559" t="s">
        <v>36</v>
      </c>
      <c r="R559">
        <v>11</v>
      </c>
      <c r="S559" t="s">
        <v>33</v>
      </c>
      <c r="T559" t="s">
        <v>34</v>
      </c>
      <c r="U559">
        <v>2</v>
      </c>
      <c r="V559" t="s">
        <v>59</v>
      </c>
      <c r="W559" t="str">
        <f>IF(HR_Data[[#This Row],[age]]&lt;25,"Under 25",IF(HR_Data[[#This Row],[age]]&lt;35,"25-34",IF(HR_Data[[#This Row],[age]]&lt;45,"35-44",IF(HR_Data[[#This Row],[age]]&lt;55,"45-54","55+"))))</f>
        <v>35-44</v>
      </c>
      <c r="X559" t="str">
        <f t="shared" si="8"/>
        <v>5,000-7,999</v>
      </c>
    </row>
    <row r="560" spans="1:24" x14ac:dyDescent="0.3">
      <c r="A560">
        <v>772</v>
      </c>
      <c r="B560">
        <v>32</v>
      </c>
      <c r="C560" t="s">
        <v>36</v>
      </c>
      <c r="D560" t="s">
        <v>37</v>
      </c>
      <c r="E560" t="s">
        <v>38</v>
      </c>
      <c r="F560">
        <v>24</v>
      </c>
      <c r="G560" t="s">
        <v>47</v>
      </c>
      <c r="H560" t="s">
        <v>26</v>
      </c>
      <c r="I560" t="s">
        <v>34</v>
      </c>
      <c r="J560" t="s">
        <v>40</v>
      </c>
      <c r="K560" t="s">
        <v>29</v>
      </c>
      <c r="L560" t="s">
        <v>46</v>
      </c>
      <c r="M560" t="s">
        <v>31</v>
      </c>
      <c r="N560" t="s">
        <v>42</v>
      </c>
      <c r="O560">
        <v>5309</v>
      </c>
      <c r="P560">
        <v>1</v>
      </c>
      <c r="Q560" t="s">
        <v>36</v>
      </c>
      <c r="R560">
        <v>15</v>
      </c>
      <c r="S560" t="s">
        <v>33</v>
      </c>
      <c r="T560" t="s">
        <v>31</v>
      </c>
      <c r="U560">
        <v>2</v>
      </c>
      <c r="V560" t="s">
        <v>44</v>
      </c>
      <c r="W560" t="str">
        <f>IF(HR_Data[[#This Row],[age]]&lt;25,"Under 25",IF(HR_Data[[#This Row],[age]]&lt;35,"25-34",IF(HR_Data[[#This Row],[age]]&lt;45,"35-44",IF(HR_Data[[#This Row],[age]]&lt;55,"45-54","55+"))))</f>
        <v>25-34</v>
      </c>
      <c r="X560" t="str">
        <f t="shared" si="8"/>
        <v>5,000-7,999</v>
      </c>
    </row>
    <row r="561" spans="1:24" x14ac:dyDescent="0.3">
      <c r="A561">
        <v>773</v>
      </c>
      <c r="B561">
        <v>38</v>
      </c>
      <c r="C561" t="s">
        <v>36</v>
      </c>
      <c r="D561" t="s">
        <v>23</v>
      </c>
      <c r="E561" t="s">
        <v>38</v>
      </c>
      <c r="F561">
        <v>2</v>
      </c>
      <c r="G561" t="s">
        <v>61</v>
      </c>
      <c r="H561" t="s">
        <v>48</v>
      </c>
      <c r="I561" t="s">
        <v>31</v>
      </c>
      <c r="J561" t="s">
        <v>40</v>
      </c>
      <c r="K561" t="s">
        <v>29</v>
      </c>
      <c r="L561" t="s">
        <v>41</v>
      </c>
      <c r="M561" t="s">
        <v>29</v>
      </c>
      <c r="N561" t="s">
        <v>42</v>
      </c>
      <c r="O561">
        <v>3057</v>
      </c>
      <c r="P561">
        <v>6</v>
      </c>
      <c r="Q561" t="s">
        <v>22</v>
      </c>
      <c r="R561">
        <v>13</v>
      </c>
      <c r="S561" t="s">
        <v>33</v>
      </c>
      <c r="T561" t="s">
        <v>27</v>
      </c>
      <c r="U561">
        <v>0</v>
      </c>
      <c r="V561" t="s">
        <v>35</v>
      </c>
      <c r="W561" t="str">
        <f>IF(HR_Data[[#This Row],[age]]&lt;25,"Under 25",IF(HR_Data[[#This Row],[age]]&lt;35,"25-34",IF(HR_Data[[#This Row],[age]]&lt;45,"35-44",IF(HR_Data[[#This Row],[age]]&lt;55,"45-54","55+"))))</f>
        <v>35-44</v>
      </c>
      <c r="X561" t="str">
        <f t="shared" si="8"/>
        <v>3,000-4,999</v>
      </c>
    </row>
    <row r="562" spans="1:24" x14ac:dyDescent="0.3">
      <c r="A562">
        <v>775</v>
      </c>
      <c r="B562">
        <v>34</v>
      </c>
      <c r="C562" t="s">
        <v>36</v>
      </c>
      <c r="D562" t="s">
        <v>23</v>
      </c>
      <c r="E562" t="s">
        <v>38</v>
      </c>
      <c r="F562">
        <v>8</v>
      </c>
      <c r="G562" t="s">
        <v>61</v>
      </c>
      <c r="H562" t="s">
        <v>26</v>
      </c>
      <c r="I562" t="s">
        <v>27</v>
      </c>
      <c r="J562" t="s">
        <v>28</v>
      </c>
      <c r="K562" t="s">
        <v>29</v>
      </c>
      <c r="L562" t="s">
        <v>52</v>
      </c>
      <c r="M562" t="s">
        <v>34</v>
      </c>
      <c r="N562" t="s">
        <v>51</v>
      </c>
      <c r="O562">
        <v>5121</v>
      </c>
      <c r="P562">
        <v>3</v>
      </c>
      <c r="Q562" t="s">
        <v>36</v>
      </c>
      <c r="R562">
        <v>14</v>
      </c>
      <c r="S562" t="s">
        <v>33</v>
      </c>
      <c r="T562" t="s">
        <v>29</v>
      </c>
      <c r="U562">
        <v>3</v>
      </c>
      <c r="V562" t="s">
        <v>44</v>
      </c>
      <c r="W562" t="str">
        <f>IF(HR_Data[[#This Row],[age]]&lt;25,"Under 25",IF(HR_Data[[#This Row],[age]]&lt;35,"25-34",IF(HR_Data[[#This Row],[age]]&lt;45,"35-44",IF(HR_Data[[#This Row],[age]]&lt;55,"45-54","55+"))))</f>
        <v>25-34</v>
      </c>
      <c r="X562" t="str">
        <f t="shared" si="8"/>
        <v>5,000-7,999</v>
      </c>
    </row>
    <row r="563" spans="1:24" x14ac:dyDescent="0.3">
      <c r="A563">
        <v>776</v>
      </c>
      <c r="B563">
        <v>52</v>
      </c>
      <c r="C563" t="s">
        <v>36</v>
      </c>
      <c r="D563" t="s">
        <v>23</v>
      </c>
      <c r="E563" t="s">
        <v>24</v>
      </c>
      <c r="F563">
        <v>3</v>
      </c>
      <c r="G563" t="s">
        <v>47</v>
      </c>
      <c r="H563" t="s">
        <v>58</v>
      </c>
      <c r="I563" t="s">
        <v>29</v>
      </c>
      <c r="J563" t="s">
        <v>40</v>
      </c>
      <c r="K563" t="s">
        <v>27</v>
      </c>
      <c r="L563" t="s">
        <v>55</v>
      </c>
      <c r="M563" t="s">
        <v>34</v>
      </c>
      <c r="N563" t="s">
        <v>42</v>
      </c>
      <c r="O563">
        <v>16856</v>
      </c>
      <c r="P563">
        <v>1</v>
      </c>
      <c r="Q563" t="s">
        <v>36</v>
      </c>
      <c r="R563">
        <v>11</v>
      </c>
      <c r="S563" t="s">
        <v>33</v>
      </c>
      <c r="T563" t="s">
        <v>34</v>
      </c>
      <c r="U563">
        <v>3</v>
      </c>
      <c r="V563" t="s">
        <v>59</v>
      </c>
      <c r="W563" t="str">
        <f>IF(HR_Data[[#This Row],[age]]&lt;25,"Under 25",IF(HR_Data[[#This Row],[age]]&lt;35,"25-34",IF(HR_Data[[#This Row],[age]]&lt;45,"35-44",IF(HR_Data[[#This Row],[age]]&lt;55,"45-54","55+"))))</f>
        <v>45-54</v>
      </c>
      <c r="X563" t="str">
        <f t="shared" si="8"/>
        <v>8,000+</v>
      </c>
    </row>
    <row r="564" spans="1:24" x14ac:dyDescent="0.3">
      <c r="A564">
        <v>780</v>
      </c>
      <c r="B564">
        <v>33</v>
      </c>
      <c r="C564" t="s">
        <v>22</v>
      </c>
      <c r="D564" t="s">
        <v>23</v>
      </c>
      <c r="E564" t="s">
        <v>38</v>
      </c>
      <c r="F564">
        <v>1</v>
      </c>
      <c r="G564" t="s">
        <v>47</v>
      </c>
      <c r="H564" t="s">
        <v>45</v>
      </c>
      <c r="I564" t="s">
        <v>31</v>
      </c>
      <c r="J564" t="s">
        <v>40</v>
      </c>
      <c r="K564" t="s">
        <v>29</v>
      </c>
      <c r="L564" t="s">
        <v>41</v>
      </c>
      <c r="M564" t="s">
        <v>31</v>
      </c>
      <c r="N564" t="s">
        <v>32</v>
      </c>
      <c r="O564">
        <v>2686</v>
      </c>
      <c r="P564">
        <v>1</v>
      </c>
      <c r="Q564" t="s">
        <v>22</v>
      </c>
      <c r="R564">
        <v>13</v>
      </c>
      <c r="S564" t="s">
        <v>33</v>
      </c>
      <c r="T564" t="s">
        <v>29</v>
      </c>
      <c r="U564">
        <v>2</v>
      </c>
      <c r="V564" t="s">
        <v>49</v>
      </c>
      <c r="W564" t="str">
        <f>IF(HR_Data[[#This Row],[age]]&lt;25,"Under 25",IF(HR_Data[[#This Row],[age]]&lt;35,"25-34",IF(HR_Data[[#This Row],[age]]&lt;45,"35-44",IF(HR_Data[[#This Row],[age]]&lt;55,"45-54","55+"))))</f>
        <v>25-34</v>
      </c>
      <c r="X564" t="str">
        <f t="shared" si="8"/>
        <v>Below 3,000</v>
      </c>
    </row>
    <row r="565" spans="1:24" x14ac:dyDescent="0.3">
      <c r="A565">
        <v>781</v>
      </c>
      <c r="B565">
        <v>25</v>
      </c>
      <c r="C565" t="s">
        <v>36</v>
      </c>
      <c r="D565" t="s">
        <v>23</v>
      </c>
      <c r="E565" t="s">
        <v>24</v>
      </c>
      <c r="F565">
        <v>26</v>
      </c>
      <c r="G565" t="s">
        <v>39</v>
      </c>
      <c r="H565" t="s">
        <v>48</v>
      </c>
      <c r="I565" t="s">
        <v>29</v>
      </c>
      <c r="J565" t="s">
        <v>28</v>
      </c>
      <c r="K565" t="s">
        <v>29</v>
      </c>
      <c r="L565" t="s">
        <v>30</v>
      </c>
      <c r="M565" t="s">
        <v>31</v>
      </c>
      <c r="N565" t="s">
        <v>32</v>
      </c>
      <c r="O565">
        <v>6180</v>
      </c>
      <c r="P565">
        <v>1</v>
      </c>
      <c r="Q565" t="s">
        <v>36</v>
      </c>
      <c r="R565">
        <v>23</v>
      </c>
      <c r="S565" t="s">
        <v>43</v>
      </c>
      <c r="T565" t="s">
        <v>27</v>
      </c>
      <c r="U565">
        <v>5</v>
      </c>
      <c r="V565" t="s">
        <v>49</v>
      </c>
      <c r="W565" t="str">
        <f>IF(HR_Data[[#This Row],[age]]&lt;25,"Under 25",IF(HR_Data[[#This Row],[age]]&lt;35,"25-34",IF(HR_Data[[#This Row],[age]]&lt;45,"35-44",IF(HR_Data[[#This Row],[age]]&lt;55,"45-54","55+"))))</f>
        <v>25-34</v>
      </c>
      <c r="X565" t="str">
        <f t="shared" si="8"/>
        <v>5,000-7,999</v>
      </c>
    </row>
    <row r="566" spans="1:24" x14ac:dyDescent="0.3">
      <c r="A566">
        <v>783</v>
      </c>
      <c r="B566">
        <v>45</v>
      </c>
      <c r="C566" t="s">
        <v>36</v>
      </c>
      <c r="D566" t="s">
        <v>23</v>
      </c>
      <c r="E566" t="s">
        <v>24</v>
      </c>
      <c r="F566">
        <v>2</v>
      </c>
      <c r="G566" t="s">
        <v>25</v>
      </c>
      <c r="H566" t="s">
        <v>60</v>
      </c>
      <c r="I566" t="s">
        <v>27</v>
      </c>
      <c r="J566" t="s">
        <v>40</v>
      </c>
      <c r="K566" t="s">
        <v>34</v>
      </c>
      <c r="L566" t="s">
        <v>56</v>
      </c>
      <c r="M566" t="s">
        <v>29</v>
      </c>
      <c r="N566" t="s">
        <v>32</v>
      </c>
      <c r="O566">
        <v>6632</v>
      </c>
      <c r="P566">
        <v>0</v>
      </c>
      <c r="Q566" t="s">
        <v>36</v>
      </c>
      <c r="R566">
        <v>13</v>
      </c>
      <c r="S566" t="s">
        <v>33</v>
      </c>
      <c r="T566" t="s">
        <v>34</v>
      </c>
      <c r="U566">
        <v>3</v>
      </c>
      <c r="V566" t="s">
        <v>44</v>
      </c>
      <c r="W566" t="str">
        <f>IF(HR_Data[[#This Row],[age]]&lt;25,"Under 25",IF(HR_Data[[#This Row],[age]]&lt;35,"25-34",IF(HR_Data[[#This Row],[age]]&lt;45,"35-44",IF(HR_Data[[#This Row],[age]]&lt;55,"45-54","55+"))))</f>
        <v>45-54</v>
      </c>
      <c r="X566" t="str">
        <f t="shared" si="8"/>
        <v>5,000-7,999</v>
      </c>
    </row>
    <row r="567" spans="1:24" x14ac:dyDescent="0.3">
      <c r="A567">
        <v>784</v>
      </c>
      <c r="B567">
        <v>23</v>
      </c>
      <c r="C567" t="s">
        <v>36</v>
      </c>
      <c r="D567" t="s">
        <v>23</v>
      </c>
      <c r="E567" t="s">
        <v>38</v>
      </c>
      <c r="F567">
        <v>10</v>
      </c>
      <c r="G567" t="s">
        <v>39</v>
      </c>
      <c r="H567" t="s">
        <v>48</v>
      </c>
      <c r="I567" t="s">
        <v>34</v>
      </c>
      <c r="J567" t="s">
        <v>40</v>
      </c>
      <c r="K567" t="s">
        <v>31</v>
      </c>
      <c r="L567" t="s">
        <v>41</v>
      </c>
      <c r="M567" t="s">
        <v>29</v>
      </c>
      <c r="N567" t="s">
        <v>32</v>
      </c>
      <c r="O567">
        <v>3505</v>
      </c>
      <c r="P567">
        <v>1</v>
      </c>
      <c r="Q567" t="s">
        <v>36</v>
      </c>
      <c r="R567">
        <v>18</v>
      </c>
      <c r="S567" t="s">
        <v>33</v>
      </c>
      <c r="T567" t="s">
        <v>31</v>
      </c>
      <c r="U567">
        <v>3</v>
      </c>
      <c r="V567" t="s">
        <v>44</v>
      </c>
      <c r="W567" t="str">
        <f>IF(HR_Data[[#This Row],[age]]&lt;25,"Under 25",IF(HR_Data[[#This Row],[age]]&lt;35,"25-34",IF(HR_Data[[#This Row],[age]]&lt;45,"35-44",IF(HR_Data[[#This Row],[age]]&lt;55,"45-54","55+"))))</f>
        <v>Under 25</v>
      </c>
      <c r="X567" t="str">
        <f t="shared" si="8"/>
        <v>3,000-4,999</v>
      </c>
    </row>
    <row r="568" spans="1:24" x14ac:dyDescent="0.3">
      <c r="A568">
        <v>785</v>
      </c>
      <c r="B568">
        <v>47</v>
      </c>
      <c r="C568" t="s">
        <v>22</v>
      </c>
      <c r="D568" t="s">
        <v>37</v>
      </c>
      <c r="E568" t="s">
        <v>24</v>
      </c>
      <c r="F568">
        <v>27</v>
      </c>
      <c r="G568" t="s">
        <v>25</v>
      </c>
      <c r="H568" t="s">
        <v>26</v>
      </c>
      <c r="I568" t="s">
        <v>27</v>
      </c>
      <c r="J568" t="s">
        <v>28</v>
      </c>
      <c r="K568" t="s">
        <v>31</v>
      </c>
      <c r="L568" t="s">
        <v>30</v>
      </c>
      <c r="M568" t="s">
        <v>29</v>
      </c>
      <c r="N568" t="s">
        <v>32</v>
      </c>
      <c r="O568">
        <v>6397</v>
      </c>
      <c r="P568">
        <v>4</v>
      </c>
      <c r="Q568" t="s">
        <v>22</v>
      </c>
      <c r="R568">
        <v>12</v>
      </c>
      <c r="S568" t="s">
        <v>33</v>
      </c>
      <c r="T568" t="s">
        <v>31</v>
      </c>
      <c r="U568">
        <v>2</v>
      </c>
      <c r="V568" t="s">
        <v>44</v>
      </c>
      <c r="W568" t="str">
        <f>IF(HR_Data[[#This Row],[age]]&lt;25,"Under 25",IF(HR_Data[[#This Row],[age]]&lt;35,"25-34",IF(HR_Data[[#This Row],[age]]&lt;45,"35-44",IF(HR_Data[[#This Row],[age]]&lt;55,"45-54","55+"))))</f>
        <v>45-54</v>
      </c>
      <c r="X568" t="str">
        <f t="shared" si="8"/>
        <v>5,000-7,999</v>
      </c>
    </row>
    <row r="569" spans="1:24" x14ac:dyDescent="0.3">
      <c r="A569">
        <v>786</v>
      </c>
      <c r="B569">
        <v>34</v>
      </c>
      <c r="C569" t="s">
        <v>36</v>
      </c>
      <c r="D569" t="s">
        <v>23</v>
      </c>
      <c r="E569" t="s">
        <v>24</v>
      </c>
      <c r="F569">
        <v>2</v>
      </c>
      <c r="G569" t="s">
        <v>50</v>
      </c>
      <c r="H569" t="s">
        <v>45</v>
      </c>
      <c r="I569" t="s">
        <v>31</v>
      </c>
      <c r="J569" t="s">
        <v>40</v>
      </c>
      <c r="K569" t="s">
        <v>29</v>
      </c>
      <c r="L569" t="s">
        <v>30</v>
      </c>
      <c r="M569" t="s">
        <v>31</v>
      </c>
      <c r="N569" t="s">
        <v>32</v>
      </c>
      <c r="O569">
        <v>6274</v>
      </c>
      <c r="P569">
        <v>1</v>
      </c>
      <c r="Q569" t="s">
        <v>36</v>
      </c>
      <c r="R569">
        <v>22</v>
      </c>
      <c r="S569" t="s">
        <v>43</v>
      </c>
      <c r="T569" t="s">
        <v>29</v>
      </c>
      <c r="U569">
        <v>5</v>
      </c>
      <c r="V569" t="s">
        <v>44</v>
      </c>
      <c r="W569" t="str">
        <f>IF(HR_Data[[#This Row],[age]]&lt;25,"Under 25",IF(HR_Data[[#This Row],[age]]&lt;35,"25-34",IF(HR_Data[[#This Row],[age]]&lt;45,"35-44",IF(HR_Data[[#This Row],[age]]&lt;55,"45-54","55+"))))</f>
        <v>25-34</v>
      </c>
      <c r="X569" t="str">
        <f t="shared" si="8"/>
        <v>5,000-7,999</v>
      </c>
    </row>
    <row r="570" spans="1:24" x14ac:dyDescent="0.3">
      <c r="A570">
        <v>787</v>
      </c>
      <c r="B570">
        <v>55</v>
      </c>
      <c r="C570" t="s">
        <v>22</v>
      </c>
      <c r="D570" t="s">
        <v>23</v>
      </c>
      <c r="E570" t="s">
        <v>38</v>
      </c>
      <c r="F570">
        <v>2</v>
      </c>
      <c r="G570" t="s">
        <v>50</v>
      </c>
      <c r="H570" t="s">
        <v>48</v>
      </c>
      <c r="I570" t="s">
        <v>31</v>
      </c>
      <c r="J570" t="s">
        <v>40</v>
      </c>
      <c r="K570" t="s">
        <v>29</v>
      </c>
      <c r="L570" t="s">
        <v>55</v>
      </c>
      <c r="M570" t="s">
        <v>34</v>
      </c>
      <c r="N570" t="s">
        <v>42</v>
      </c>
      <c r="O570">
        <v>19859</v>
      </c>
      <c r="P570">
        <v>5</v>
      </c>
      <c r="Q570" t="s">
        <v>22</v>
      </c>
      <c r="R570">
        <v>13</v>
      </c>
      <c r="S570" t="s">
        <v>33</v>
      </c>
      <c r="T570" t="s">
        <v>31</v>
      </c>
      <c r="U570">
        <v>2</v>
      </c>
      <c r="V570" t="s">
        <v>44</v>
      </c>
      <c r="W570" t="str">
        <f>IF(HR_Data[[#This Row],[age]]&lt;25,"Under 25",IF(HR_Data[[#This Row],[age]]&lt;35,"25-34",IF(HR_Data[[#This Row],[age]]&lt;45,"35-44",IF(HR_Data[[#This Row],[age]]&lt;55,"45-54","55+"))))</f>
        <v>55+</v>
      </c>
      <c r="X570" t="str">
        <f t="shared" si="8"/>
        <v>8,000+</v>
      </c>
    </row>
    <row r="571" spans="1:24" x14ac:dyDescent="0.3">
      <c r="A571">
        <v>789</v>
      </c>
      <c r="B571">
        <v>36</v>
      </c>
      <c r="C571" t="s">
        <v>36</v>
      </c>
      <c r="D571" t="s">
        <v>54</v>
      </c>
      <c r="E571" t="s">
        <v>24</v>
      </c>
      <c r="F571">
        <v>8</v>
      </c>
      <c r="G571" t="s">
        <v>47</v>
      </c>
      <c r="H571" t="s">
        <v>26</v>
      </c>
      <c r="I571" t="s">
        <v>34</v>
      </c>
      <c r="J571" t="s">
        <v>40</v>
      </c>
      <c r="K571" t="s">
        <v>27</v>
      </c>
      <c r="L571" t="s">
        <v>30</v>
      </c>
      <c r="M571" t="s">
        <v>34</v>
      </c>
      <c r="N571" t="s">
        <v>32</v>
      </c>
      <c r="O571">
        <v>7587</v>
      </c>
      <c r="P571">
        <v>1</v>
      </c>
      <c r="Q571" t="s">
        <v>36</v>
      </c>
      <c r="R571">
        <v>15</v>
      </c>
      <c r="S571" t="s">
        <v>33</v>
      </c>
      <c r="T571" t="s">
        <v>27</v>
      </c>
      <c r="U571">
        <v>1</v>
      </c>
      <c r="V571" t="s">
        <v>44</v>
      </c>
      <c r="W571" t="str">
        <f>IF(HR_Data[[#This Row],[age]]&lt;25,"Under 25",IF(HR_Data[[#This Row],[age]]&lt;35,"25-34",IF(HR_Data[[#This Row],[age]]&lt;45,"35-44",IF(HR_Data[[#This Row],[age]]&lt;55,"45-54","55+"))))</f>
        <v>35-44</v>
      </c>
      <c r="X571" t="str">
        <f t="shared" si="8"/>
        <v>5,000-7,999</v>
      </c>
    </row>
    <row r="572" spans="1:24" x14ac:dyDescent="0.3">
      <c r="A572">
        <v>791</v>
      </c>
      <c r="B572">
        <v>52</v>
      </c>
      <c r="C572" t="s">
        <v>36</v>
      </c>
      <c r="D572" t="s">
        <v>54</v>
      </c>
      <c r="E572" t="s">
        <v>38</v>
      </c>
      <c r="F572">
        <v>19</v>
      </c>
      <c r="G572" t="s">
        <v>47</v>
      </c>
      <c r="H572" t="s">
        <v>48</v>
      </c>
      <c r="I572" t="s">
        <v>31</v>
      </c>
      <c r="J572" t="s">
        <v>40</v>
      </c>
      <c r="K572" t="s">
        <v>29</v>
      </c>
      <c r="L572" t="s">
        <v>41</v>
      </c>
      <c r="M572" t="s">
        <v>31</v>
      </c>
      <c r="N572" t="s">
        <v>42</v>
      </c>
      <c r="O572">
        <v>4258</v>
      </c>
      <c r="P572">
        <v>0</v>
      </c>
      <c r="Q572" t="s">
        <v>36</v>
      </c>
      <c r="R572">
        <v>18</v>
      </c>
      <c r="S572" t="s">
        <v>33</v>
      </c>
      <c r="T572" t="s">
        <v>34</v>
      </c>
      <c r="U572">
        <v>3</v>
      </c>
      <c r="V572" t="s">
        <v>44</v>
      </c>
      <c r="W572" t="str">
        <f>IF(HR_Data[[#This Row],[age]]&lt;25,"Under 25",IF(HR_Data[[#This Row],[age]]&lt;35,"25-34",IF(HR_Data[[#This Row],[age]]&lt;45,"35-44",IF(HR_Data[[#This Row],[age]]&lt;55,"45-54","55+"))))</f>
        <v>45-54</v>
      </c>
      <c r="X572" t="str">
        <f t="shared" si="8"/>
        <v>3,000-4,999</v>
      </c>
    </row>
    <row r="573" spans="1:24" x14ac:dyDescent="0.3">
      <c r="A573">
        <v>792</v>
      </c>
      <c r="B573">
        <v>26</v>
      </c>
      <c r="C573" t="s">
        <v>36</v>
      </c>
      <c r="D573" t="s">
        <v>37</v>
      </c>
      <c r="E573" t="s">
        <v>38</v>
      </c>
      <c r="F573">
        <v>1</v>
      </c>
      <c r="G573" t="s">
        <v>25</v>
      </c>
      <c r="H573" t="s">
        <v>26</v>
      </c>
      <c r="I573" t="s">
        <v>34</v>
      </c>
      <c r="J573" t="s">
        <v>28</v>
      </c>
      <c r="K573" t="s">
        <v>34</v>
      </c>
      <c r="L573" t="s">
        <v>46</v>
      </c>
      <c r="M573" t="s">
        <v>31</v>
      </c>
      <c r="N573" t="s">
        <v>51</v>
      </c>
      <c r="O573">
        <v>4364</v>
      </c>
      <c r="P573">
        <v>3</v>
      </c>
      <c r="Q573" t="s">
        <v>36</v>
      </c>
      <c r="R573">
        <v>14</v>
      </c>
      <c r="S573" t="s">
        <v>33</v>
      </c>
      <c r="T573" t="s">
        <v>34</v>
      </c>
      <c r="U573">
        <v>2</v>
      </c>
      <c r="V573" t="s">
        <v>44</v>
      </c>
      <c r="W573" t="str">
        <f>IF(HR_Data[[#This Row],[age]]&lt;25,"Under 25",IF(HR_Data[[#This Row],[age]]&lt;35,"25-34",IF(HR_Data[[#This Row],[age]]&lt;45,"35-44",IF(HR_Data[[#This Row],[age]]&lt;55,"45-54","55+"))))</f>
        <v>25-34</v>
      </c>
      <c r="X573" t="str">
        <f t="shared" si="8"/>
        <v>3,000-4,999</v>
      </c>
    </row>
    <row r="574" spans="1:24" x14ac:dyDescent="0.3">
      <c r="A574">
        <v>793</v>
      </c>
      <c r="B574">
        <v>29</v>
      </c>
      <c r="C574" t="s">
        <v>36</v>
      </c>
      <c r="D574" t="s">
        <v>23</v>
      </c>
      <c r="E574" t="s">
        <v>38</v>
      </c>
      <c r="F574">
        <v>27</v>
      </c>
      <c r="G574" t="s">
        <v>50</v>
      </c>
      <c r="H574" t="s">
        <v>48</v>
      </c>
      <c r="I574" t="s">
        <v>27</v>
      </c>
      <c r="J574" t="s">
        <v>28</v>
      </c>
      <c r="K574" t="s">
        <v>29</v>
      </c>
      <c r="L574" t="s">
        <v>53</v>
      </c>
      <c r="M574" t="s">
        <v>29</v>
      </c>
      <c r="N574" t="s">
        <v>42</v>
      </c>
      <c r="O574">
        <v>4335</v>
      </c>
      <c r="P574">
        <v>4</v>
      </c>
      <c r="Q574" t="s">
        <v>36</v>
      </c>
      <c r="R574">
        <v>12</v>
      </c>
      <c r="S574" t="s">
        <v>33</v>
      </c>
      <c r="T574" t="s">
        <v>34</v>
      </c>
      <c r="U574">
        <v>3</v>
      </c>
      <c r="V574" t="s">
        <v>49</v>
      </c>
      <c r="W574" t="str">
        <f>IF(HR_Data[[#This Row],[age]]&lt;25,"Under 25",IF(HR_Data[[#This Row],[age]]&lt;35,"25-34",IF(HR_Data[[#This Row],[age]]&lt;45,"35-44",IF(HR_Data[[#This Row],[age]]&lt;55,"45-54","55+"))))</f>
        <v>25-34</v>
      </c>
      <c r="X574" t="str">
        <f t="shared" si="8"/>
        <v>3,000-4,999</v>
      </c>
    </row>
    <row r="575" spans="1:24" x14ac:dyDescent="0.3">
      <c r="A575">
        <v>796</v>
      </c>
      <c r="B575">
        <v>26</v>
      </c>
      <c r="C575" t="s">
        <v>22</v>
      </c>
      <c r="D575" t="s">
        <v>23</v>
      </c>
      <c r="E575" t="s">
        <v>24</v>
      </c>
      <c r="F575">
        <v>8</v>
      </c>
      <c r="G575" t="s">
        <v>50</v>
      </c>
      <c r="H575" t="s">
        <v>60</v>
      </c>
      <c r="I575" t="s">
        <v>31</v>
      </c>
      <c r="J575" t="s">
        <v>40</v>
      </c>
      <c r="K575" t="s">
        <v>27</v>
      </c>
      <c r="L575" t="s">
        <v>30</v>
      </c>
      <c r="M575" t="s">
        <v>34</v>
      </c>
      <c r="N575" t="s">
        <v>32</v>
      </c>
      <c r="O575">
        <v>5326</v>
      </c>
      <c r="P575">
        <v>6</v>
      </c>
      <c r="Q575" t="s">
        <v>36</v>
      </c>
      <c r="R575">
        <v>17</v>
      </c>
      <c r="S575" t="s">
        <v>33</v>
      </c>
      <c r="T575" t="s">
        <v>29</v>
      </c>
      <c r="U575">
        <v>2</v>
      </c>
      <c r="V575" t="s">
        <v>49</v>
      </c>
      <c r="W575" t="str">
        <f>IF(HR_Data[[#This Row],[age]]&lt;25,"Under 25",IF(HR_Data[[#This Row],[age]]&lt;35,"25-34",IF(HR_Data[[#This Row],[age]]&lt;45,"35-44",IF(HR_Data[[#This Row],[age]]&lt;55,"45-54","55+"))))</f>
        <v>25-34</v>
      </c>
      <c r="X575" t="str">
        <f t="shared" si="8"/>
        <v>5,000-7,999</v>
      </c>
    </row>
    <row r="576" spans="1:24" x14ac:dyDescent="0.3">
      <c r="A576">
        <v>797</v>
      </c>
      <c r="B576">
        <v>34</v>
      </c>
      <c r="C576" t="s">
        <v>36</v>
      </c>
      <c r="D576" t="s">
        <v>23</v>
      </c>
      <c r="E576" t="s">
        <v>38</v>
      </c>
      <c r="F576">
        <v>1</v>
      </c>
      <c r="G576" t="s">
        <v>47</v>
      </c>
      <c r="H576" t="s">
        <v>26</v>
      </c>
      <c r="I576" t="s">
        <v>27</v>
      </c>
      <c r="J576" t="s">
        <v>28</v>
      </c>
      <c r="K576" t="s">
        <v>31</v>
      </c>
      <c r="L576" t="s">
        <v>41</v>
      </c>
      <c r="M576" t="s">
        <v>31</v>
      </c>
      <c r="N576" t="s">
        <v>32</v>
      </c>
      <c r="O576">
        <v>3280</v>
      </c>
      <c r="P576">
        <v>2</v>
      </c>
      <c r="Q576" t="s">
        <v>36</v>
      </c>
      <c r="R576">
        <v>16</v>
      </c>
      <c r="S576" t="s">
        <v>33</v>
      </c>
      <c r="T576" t="s">
        <v>29</v>
      </c>
      <c r="U576">
        <v>2</v>
      </c>
      <c r="V576" t="s">
        <v>44</v>
      </c>
      <c r="W576" t="str">
        <f>IF(HR_Data[[#This Row],[age]]&lt;25,"Under 25",IF(HR_Data[[#This Row],[age]]&lt;35,"25-34",IF(HR_Data[[#This Row],[age]]&lt;45,"35-44",IF(HR_Data[[#This Row],[age]]&lt;55,"45-54","55+"))))</f>
        <v>25-34</v>
      </c>
      <c r="X576" t="str">
        <f t="shared" si="8"/>
        <v>3,000-4,999</v>
      </c>
    </row>
    <row r="577" spans="1:24" x14ac:dyDescent="0.3">
      <c r="A577">
        <v>799</v>
      </c>
      <c r="B577">
        <v>54</v>
      </c>
      <c r="C577" t="s">
        <v>36</v>
      </c>
      <c r="D577" t="s">
        <v>23</v>
      </c>
      <c r="E577" t="s">
        <v>38</v>
      </c>
      <c r="F577">
        <v>19</v>
      </c>
      <c r="G577" t="s">
        <v>47</v>
      </c>
      <c r="H577" t="s">
        <v>48</v>
      </c>
      <c r="I577" t="s">
        <v>31</v>
      </c>
      <c r="J577" t="s">
        <v>28</v>
      </c>
      <c r="K577" t="s">
        <v>29</v>
      </c>
      <c r="L577" t="s">
        <v>52</v>
      </c>
      <c r="M577" t="s">
        <v>34</v>
      </c>
      <c r="N577" t="s">
        <v>51</v>
      </c>
      <c r="O577">
        <v>5485</v>
      </c>
      <c r="P577">
        <v>9</v>
      </c>
      <c r="Q577" t="s">
        <v>22</v>
      </c>
      <c r="R577">
        <v>11</v>
      </c>
      <c r="S577" t="s">
        <v>33</v>
      </c>
      <c r="T577" t="s">
        <v>27</v>
      </c>
      <c r="U577">
        <v>4</v>
      </c>
      <c r="V577" t="s">
        <v>44</v>
      </c>
      <c r="W577" t="str">
        <f>IF(HR_Data[[#This Row],[age]]&lt;25,"Under 25",IF(HR_Data[[#This Row],[age]]&lt;35,"25-34",IF(HR_Data[[#This Row],[age]]&lt;45,"35-44",IF(HR_Data[[#This Row],[age]]&lt;55,"45-54","55+"))))</f>
        <v>45-54</v>
      </c>
      <c r="X577" t="str">
        <f t="shared" si="8"/>
        <v>5,000-7,999</v>
      </c>
    </row>
    <row r="578" spans="1:24" x14ac:dyDescent="0.3">
      <c r="A578">
        <v>800</v>
      </c>
      <c r="B578">
        <v>27</v>
      </c>
      <c r="C578" t="s">
        <v>36</v>
      </c>
      <c r="D578" t="s">
        <v>37</v>
      </c>
      <c r="E578" t="s">
        <v>24</v>
      </c>
      <c r="F578">
        <v>8</v>
      </c>
      <c r="G578" t="s">
        <v>39</v>
      </c>
      <c r="H578" t="s">
        <v>58</v>
      </c>
      <c r="I578" t="s">
        <v>29</v>
      </c>
      <c r="J578" t="s">
        <v>40</v>
      </c>
      <c r="K578" t="s">
        <v>29</v>
      </c>
      <c r="L578" t="s">
        <v>30</v>
      </c>
      <c r="M578" t="s">
        <v>31</v>
      </c>
      <c r="N578" t="s">
        <v>42</v>
      </c>
      <c r="O578">
        <v>4342</v>
      </c>
      <c r="P578">
        <v>0</v>
      </c>
      <c r="Q578" t="s">
        <v>36</v>
      </c>
      <c r="R578">
        <v>19</v>
      </c>
      <c r="S578" t="s">
        <v>33</v>
      </c>
      <c r="T578" t="s">
        <v>27</v>
      </c>
      <c r="U578">
        <v>3</v>
      </c>
      <c r="V578" t="s">
        <v>44</v>
      </c>
      <c r="W578" t="str">
        <f>IF(HR_Data[[#This Row],[age]]&lt;25,"Under 25",IF(HR_Data[[#This Row],[age]]&lt;35,"25-34",IF(HR_Data[[#This Row],[age]]&lt;45,"35-44",IF(HR_Data[[#This Row],[age]]&lt;55,"45-54","55+"))))</f>
        <v>25-34</v>
      </c>
      <c r="X578" t="str">
        <f t="shared" si="8"/>
        <v>3,000-4,999</v>
      </c>
    </row>
    <row r="579" spans="1:24" x14ac:dyDescent="0.3">
      <c r="A579">
        <v>802</v>
      </c>
      <c r="B579">
        <v>37</v>
      </c>
      <c r="C579" t="s">
        <v>36</v>
      </c>
      <c r="D579" t="s">
        <v>23</v>
      </c>
      <c r="E579" t="s">
        <v>38</v>
      </c>
      <c r="F579">
        <v>10</v>
      </c>
      <c r="G579" t="s">
        <v>39</v>
      </c>
      <c r="H579" t="s">
        <v>26</v>
      </c>
      <c r="I579" t="s">
        <v>31</v>
      </c>
      <c r="J579" t="s">
        <v>28</v>
      </c>
      <c r="K579" t="s">
        <v>29</v>
      </c>
      <c r="L579" t="s">
        <v>41</v>
      </c>
      <c r="M579" t="s">
        <v>34</v>
      </c>
      <c r="N579" t="s">
        <v>51</v>
      </c>
      <c r="O579">
        <v>2782</v>
      </c>
      <c r="P579">
        <v>0</v>
      </c>
      <c r="Q579" t="s">
        <v>22</v>
      </c>
      <c r="R579">
        <v>13</v>
      </c>
      <c r="S579" t="s">
        <v>33</v>
      </c>
      <c r="T579" t="s">
        <v>27</v>
      </c>
      <c r="U579">
        <v>3</v>
      </c>
      <c r="V579" t="s">
        <v>49</v>
      </c>
      <c r="W579" t="str">
        <f>IF(HR_Data[[#This Row],[age]]&lt;25,"Under 25",IF(HR_Data[[#This Row],[age]]&lt;35,"25-34",IF(HR_Data[[#This Row],[age]]&lt;45,"35-44",IF(HR_Data[[#This Row],[age]]&lt;55,"45-54","55+"))))</f>
        <v>35-44</v>
      </c>
      <c r="X579" t="str">
        <f t="shared" ref="X579:X642" si="9">IF(O579&lt;3000,"Below 3,000",IF(O579&lt;5000,"3,000-4,999",IF(O579&lt;8000,"5,000-7,999","8,000+")))</f>
        <v>Below 3,000</v>
      </c>
    </row>
    <row r="580" spans="1:24" x14ac:dyDescent="0.3">
      <c r="A580">
        <v>803</v>
      </c>
      <c r="B580">
        <v>38</v>
      </c>
      <c r="C580" t="s">
        <v>36</v>
      </c>
      <c r="D580" t="s">
        <v>37</v>
      </c>
      <c r="E580" t="s">
        <v>38</v>
      </c>
      <c r="F580">
        <v>2</v>
      </c>
      <c r="G580" t="s">
        <v>47</v>
      </c>
      <c r="H580" t="s">
        <v>26</v>
      </c>
      <c r="I580" t="s">
        <v>34</v>
      </c>
      <c r="J580" t="s">
        <v>28</v>
      </c>
      <c r="K580" t="s">
        <v>31</v>
      </c>
      <c r="L580" t="s">
        <v>52</v>
      </c>
      <c r="M580" t="s">
        <v>34</v>
      </c>
      <c r="N580" t="s">
        <v>32</v>
      </c>
      <c r="O580">
        <v>5980</v>
      </c>
      <c r="P580">
        <v>6</v>
      </c>
      <c r="Q580" t="s">
        <v>22</v>
      </c>
      <c r="R580">
        <v>12</v>
      </c>
      <c r="S580" t="s">
        <v>33</v>
      </c>
      <c r="T580" t="s">
        <v>31</v>
      </c>
      <c r="U580">
        <v>2</v>
      </c>
      <c r="V580" t="s">
        <v>44</v>
      </c>
      <c r="W580" t="str">
        <f>IF(HR_Data[[#This Row],[age]]&lt;25,"Under 25",IF(HR_Data[[#This Row],[age]]&lt;35,"25-34",IF(HR_Data[[#This Row],[age]]&lt;45,"35-44",IF(HR_Data[[#This Row],[age]]&lt;55,"45-54","55+"))))</f>
        <v>35-44</v>
      </c>
      <c r="X580" t="str">
        <f t="shared" si="9"/>
        <v>5,000-7,999</v>
      </c>
    </row>
    <row r="581" spans="1:24" x14ac:dyDescent="0.3">
      <c r="A581">
        <v>804</v>
      </c>
      <c r="B581">
        <v>34</v>
      </c>
      <c r="C581" t="s">
        <v>36</v>
      </c>
      <c r="D581" t="s">
        <v>23</v>
      </c>
      <c r="E581" t="s">
        <v>38</v>
      </c>
      <c r="F581">
        <v>2</v>
      </c>
      <c r="G581" t="s">
        <v>47</v>
      </c>
      <c r="H581" t="s">
        <v>48</v>
      </c>
      <c r="I581" t="s">
        <v>29</v>
      </c>
      <c r="J581" t="s">
        <v>28</v>
      </c>
      <c r="K581" t="s">
        <v>27</v>
      </c>
      <c r="L581" t="s">
        <v>41</v>
      </c>
      <c r="M581" t="s">
        <v>34</v>
      </c>
      <c r="N581" t="s">
        <v>32</v>
      </c>
      <c r="O581">
        <v>4381</v>
      </c>
      <c r="P581">
        <v>1</v>
      </c>
      <c r="Q581" t="s">
        <v>36</v>
      </c>
      <c r="R581">
        <v>11</v>
      </c>
      <c r="S581" t="s">
        <v>33</v>
      </c>
      <c r="T581" t="s">
        <v>29</v>
      </c>
      <c r="U581">
        <v>3</v>
      </c>
      <c r="V581" t="s">
        <v>44</v>
      </c>
      <c r="W581" t="str">
        <f>IF(HR_Data[[#This Row],[age]]&lt;25,"Under 25",IF(HR_Data[[#This Row],[age]]&lt;35,"25-34",IF(HR_Data[[#This Row],[age]]&lt;45,"35-44",IF(HR_Data[[#This Row],[age]]&lt;55,"45-54","55+"))))</f>
        <v>25-34</v>
      </c>
      <c r="X581" t="str">
        <f t="shared" si="9"/>
        <v>3,000-4,999</v>
      </c>
    </row>
    <row r="582" spans="1:24" x14ac:dyDescent="0.3">
      <c r="A582">
        <v>805</v>
      </c>
      <c r="B582">
        <v>35</v>
      </c>
      <c r="C582" t="s">
        <v>36</v>
      </c>
      <c r="D582" t="s">
        <v>23</v>
      </c>
      <c r="E582" t="s">
        <v>24</v>
      </c>
      <c r="F582">
        <v>8</v>
      </c>
      <c r="G582" t="s">
        <v>47</v>
      </c>
      <c r="H582" t="s">
        <v>26</v>
      </c>
      <c r="I582" t="s">
        <v>34</v>
      </c>
      <c r="J582" t="s">
        <v>28</v>
      </c>
      <c r="K582" t="s">
        <v>29</v>
      </c>
      <c r="L582" t="s">
        <v>56</v>
      </c>
      <c r="M582" t="s">
        <v>31</v>
      </c>
      <c r="N582" t="s">
        <v>42</v>
      </c>
      <c r="O582">
        <v>2572</v>
      </c>
      <c r="P582">
        <v>1</v>
      </c>
      <c r="Q582" t="s">
        <v>36</v>
      </c>
      <c r="R582">
        <v>16</v>
      </c>
      <c r="S582" t="s">
        <v>33</v>
      </c>
      <c r="T582" t="s">
        <v>27</v>
      </c>
      <c r="U582">
        <v>1</v>
      </c>
      <c r="V582" t="s">
        <v>49</v>
      </c>
      <c r="W582" t="str">
        <f>IF(HR_Data[[#This Row],[age]]&lt;25,"Under 25",IF(HR_Data[[#This Row],[age]]&lt;35,"25-34",IF(HR_Data[[#This Row],[age]]&lt;45,"35-44",IF(HR_Data[[#This Row],[age]]&lt;55,"45-54","55+"))))</f>
        <v>35-44</v>
      </c>
      <c r="X582" t="str">
        <f t="shared" si="9"/>
        <v>Below 3,000</v>
      </c>
    </row>
    <row r="583" spans="1:24" x14ac:dyDescent="0.3">
      <c r="A583">
        <v>806</v>
      </c>
      <c r="B583">
        <v>30</v>
      </c>
      <c r="C583" t="s">
        <v>36</v>
      </c>
      <c r="D583" t="s">
        <v>23</v>
      </c>
      <c r="E583" t="s">
        <v>38</v>
      </c>
      <c r="F583">
        <v>1</v>
      </c>
      <c r="G583" t="s">
        <v>50</v>
      </c>
      <c r="H583" t="s">
        <v>26</v>
      </c>
      <c r="I583" t="s">
        <v>31</v>
      </c>
      <c r="J583" t="s">
        <v>40</v>
      </c>
      <c r="K583" t="s">
        <v>34</v>
      </c>
      <c r="L583" t="s">
        <v>46</v>
      </c>
      <c r="M583" t="s">
        <v>29</v>
      </c>
      <c r="N583" t="s">
        <v>42</v>
      </c>
      <c r="O583">
        <v>3833</v>
      </c>
      <c r="P583">
        <v>3</v>
      </c>
      <c r="Q583" t="s">
        <v>36</v>
      </c>
      <c r="R583">
        <v>21</v>
      </c>
      <c r="S583" t="s">
        <v>43</v>
      </c>
      <c r="T583" t="s">
        <v>29</v>
      </c>
      <c r="U583">
        <v>2</v>
      </c>
      <c r="V583" t="s">
        <v>44</v>
      </c>
      <c r="W583" t="str">
        <f>IF(HR_Data[[#This Row],[age]]&lt;25,"Under 25",IF(HR_Data[[#This Row],[age]]&lt;35,"25-34",IF(HR_Data[[#This Row],[age]]&lt;45,"35-44",IF(HR_Data[[#This Row],[age]]&lt;55,"45-54","55+"))))</f>
        <v>25-34</v>
      </c>
      <c r="X583" t="str">
        <f t="shared" si="9"/>
        <v>3,000-4,999</v>
      </c>
    </row>
    <row r="584" spans="1:24" x14ac:dyDescent="0.3">
      <c r="A584">
        <v>807</v>
      </c>
      <c r="B584">
        <v>40</v>
      </c>
      <c r="C584" t="s">
        <v>36</v>
      </c>
      <c r="D584" t="s">
        <v>37</v>
      </c>
      <c r="E584" t="s">
        <v>38</v>
      </c>
      <c r="F584">
        <v>2</v>
      </c>
      <c r="G584" t="s">
        <v>25</v>
      </c>
      <c r="H584" t="s">
        <v>48</v>
      </c>
      <c r="I584" t="s">
        <v>29</v>
      </c>
      <c r="J584" t="s">
        <v>28</v>
      </c>
      <c r="K584" t="s">
        <v>31</v>
      </c>
      <c r="L584" t="s">
        <v>53</v>
      </c>
      <c r="M584" t="s">
        <v>27</v>
      </c>
      <c r="N584" t="s">
        <v>42</v>
      </c>
      <c r="O584">
        <v>4244</v>
      </c>
      <c r="P584">
        <v>1</v>
      </c>
      <c r="Q584" t="s">
        <v>36</v>
      </c>
      <c r="R584">
        <v>24</v>
      </c>
      <c r="S584" t="s">
        <v>43</v>
      </c>
      <c r="T584" t="s">
        <v>31</v>
      </c>
      <c r="U584">
        <v>2</v>
      </c>
      <c r="V584" t="s">
        <v>44</v>
      </c>
      <c r="W584" t="str">
        <f>IF(HR_Data[[#This Row],[age]]&lt;25,"Under 25",IF(HR_Data[[#This Row],[age]]&lt;35,"25-34",IF(HR_Data[[#This Row],[age]]&lt;45,"35-44",IF(HR_Data[[#This Row],[age]]&lt;55,"45-54","55+"))))</f>
        <v>35-44</v>
      </c>
      <c r="X584" t="str">
        <f t="shared" si="9"/>
        <v>3,000-4,999</v>
      </c>
    </row>
    <row r="585" spans="1:24" x14ac:dyDescent="0.3">
      <c r="A585">
        <v>808</v>
      </c>
      <c r="B585">
        <v>34</v>
      </c>
      <c r="C585" t="s">
        <v>36</v>
      </c>
      <c r="D585" t="s">
        <v>23</v>
      </c>
      <c r="E585" t="s">
        <v>24</v>
      </c>
      <c r="F585">
        <v>8</v>
      </c>
      <c r="G585" t="s">
        <v>25</v>
      </c>
      <c r="H585" t="s">
        <v>26</v>
      </c>
      <c r="I585" t="s">
        <v>29</v>
      </c>
      <c r="J585" t="s">
        <v>28</v>
      </c>
      <c r="K585" t="s">
        <v>29</v>
      </c>
      <c r="L585" t="s">
        <v>30</v>
      </c>
      <c r="M585" t="s">
        <v>34</v>
      </c>
      <c r="N585" t="s">
        <v>42</v>
      </c>
      <c r="O585">
        <v>6500</v>
      </c>
      <c r="P585">
        <v>5</v>
      </c>
      <c r="Q585" t="s">
        <v>36</v>
      </c>
      <c r="R585">
        <v>17</v>
      </c>
      <c r="S585" t="s">
        <v>33</v>
      </c>
      <c r="T585" t="s">
        <v>27</v>
      </c>
      <c r="U585">
        <v>1</v>
      </c>
      <c r="V585" t="s">
        <v>44</v>
      </c>
      <c r="W585" t="str">
        <f>IF(HR_Data[[#This Row],[age]]&lt;25,"Under 25",IF(HR_Data[[#This Row],[age]]&lt;35,"25-34",IF(HR_Data[[#This Row],[age]]&lt;45,"35-44",IF(HR_Data[[#This Row],[age]]&lt;55,"45-54","55+"))))</f>
        <v>25-34</v>
      </c>
      <c r="X585" t="str">
        <f t="shared" si="9"/>
        <v>5,000-7,999</v>
      </c>
    </row>
    <row r="586" spans="1:24" x14ac:dyDescent="0.3">
      <c r="A586">
        <v>809</v>
      </c>
      <c r="B586">
        <v>42</v>
      </c>
      <c r="C586" t="s">
        <v>36</v>
      </c>
      <c r="D586" t="s">
        <v>37</v>
      </c>
      <c r="E586" t="s">
        <v>38</v>
      </c>
      <c r="F586">
        <v>8</v>
      </c>
      <c r="G586" t="s">
        <v>50</v>
      </c>
      <c r="H586" t="s">
        <v>26</v>
      </c>
      <c r="I586" t="s">
        <v>27</v>
      </c>
      <c r="J586" t="s">
        <v>40</v>
      </c>
      <c r="K586" t="s">
        <v>29</v>
      </c>
      <c r="L586" t="s">
        <v>55</v>
      </c>
      <c r="M586" t="s">
        <v>31</v>
      </c>
      <c r="N586" t="s">
        <v>51</v>
      </c>
      <c r="O586">
        <v>18430</v>
      </c>
      <c r="P586">
        <v>1</v>
      </c>
      <c r="Q586" t="s">
        <v>36</v>
      </c>
      <c r="R586">
        <v>13</v>
      </c>
      <c r="S586" t="s">
        <v>33</v>
      </c>
      <c r="T586" t="s">
        <v>27</v>
      </c>
      <c r="U586">
        <v>4</v>
      </c>
      <c r="V586" t="s">
        <v>49</v>
      </c>
      <c r="W586" t="str">
        <f>IF(HR_Data[[#This Row],[age]]&lt;25,"Under 25",IF(HR_Data[[#This Row],[age]]&lt;35,"25-34",IF(HR_Data[[#This Row],[age]]&lt;45,"35-44",IF(HR_Data[[#This Row],[age]]&lt;55,"45-54","55+"))))</f>
        <v>35-44</v>
      </c>
      <c r="X586" t="str">
        <f t="shared" si="9"/>
        <v>8,000+</v>
      </c>
    </row>
    <row r="587" spans="1:24" x14ac:dyDescent="0.3">
      <c r="A587">
        <v>811</v>
      </c>
      <c r="B587">
        <v>23</v>
      </c>
      <c r="C587" t="s">
        <v>22</v>
      </c>
      <c r="D587" t="s">
        <v>23</v>
      </c>
      <c r="E587" t="s">
        <v>38</v>
      </c>
      <c r="F587">
        <v>6</v>
      </c>
      <c r="G587" t="s">
        <v>50</v>
      </c>
      <c r="H587" t="s">
        <v>26</v>
      </c>
      <c r="I587" t="s">
        <v>29</v>
      </c>
      <c r="J587" t="s">
        <v>40</v>
      </c>
      <c r="K587" t="s">
        <v>31</v>
      </c>
      <c r="L587" t="s">
        <v>46</v>
      </c>
      <c r="M587" t="s">
        <v>34</v>
      </c>
      <c r="N587" t="s">
        <v>42</v>
      </c>
      <c r="O587">
        <v>1601</v>
      </c>
      <c r="P587">
        <v>1</v>
      </c>
      <c r="Q587" t="s">
        <v>22</v>
      </c>
      <c r="R587">
        <v>21</v>
      </c>
      <c r="S587" t="s">
        <v>43</v>
      </c>
      <c r="T587" t="s">
        <v>29</v>
      </c>
      <c r="U587">
        <v>2</v>
      </c>
      <c r="V587" t="s">
        <v>44</v>
      </c>
      <c r="W587" t="str">
        <f>IF(HR_Data[[#This Row],[age]]&lt;25,"Under 25",IF(HR_Data[[#This Row],[age]]&lt;35,"25-34",IF(HR_Data[[#This Row],[age]]&lt;45,"35-44",IF(HR_Data[[#This Row],[age]]&lt;55,"45-54","55+"))))</f>
        <v>Under 25</v>
      </c>
      <c r="X587" t="str">
        <f t="shared" si="9"/>
        <v>Below 3,000</v>
      </c>
    </row>
    <row r="588" spans="1:24" x14ac:dyDescent="0.3">
      <c r="A588">
        <v>812</v>
      </c>
      <c r="B588">
        <v>24</v>
      </c>
      <c r="C588" t="s">
        <v>36</v>
      </c>
      <c r="D588" t="s">
        <v>54</v>
      </c>
      <c r="E588" t="s">
        <v>38</v>
      </c>
      <c r="F588">
        <v>9</v>
      </c>
      <c r="G588" t="s">
        <v>50</v>
      </c>
      <c r="H588" t="s">
        <v>26</v>
      </c>
      <c r="I588" t="s">
        <v>29</v>
      </c>
      <c r="J588" t="s">
        <v>40</v>
      </c>
      <c r="K588" t="s">
        <v>27</v>
      </c>
      <c r="L588" t="s">
        <v>46</v>
      </c>
      <c r="M588" t="s">
        <v>27</v>
      </c>
      <c r="N588" t="s">
        <v>51</v>
      </c>
      <c r="O588">
        <v>2694</v>
      </c>
      <c r="P588">
        <v>1</v>
      </c>
      <c r="Q588" t="s">
        <v>36</v>
      </c>
      <c r="R588">
        <v>11</v>
      </c>
      <c r="S588" t="s">
        <v>33</v>
      </c>
      <c r="T588" t="s">
        <v>29</v>
      </c>
      <c r="U588">
        <v>4</v>
      </c>
      <c r="V588" t="s">
        <v>44</v>
      </c>
      <c r="W588" t="str">
        <f>IF(HR_Data[[#This Row],[age]]&lt;25,"Under 25",IF(HR_Data[[#This Row],[age]]&lt;35,"25-34",IF(HR_Data[[#This Row],[age]]&lt;45,"35-44",IF(HR_Data[[#This Row],[age]]&lt;55,"45-54","55+"))))</f>
        <v>Under 25</v>
      </c>
      <c r="X588" t="str">
        <f t="shared" si="9"/>
        <v>Below 3,000</v>
      </c>
    </row>
    <row r="589" spans="1:24" x14ac:dyDescent="0.3">
      <c r="A589">
        <v>813</v>
      </c>
      <c r="B589">
        <v>52</v>
      </c>
      <c r="C589" t="s">
        <v>36</v>
      </c>
      <c r="D589" t="s">
        <v>23</v>
      </c>
      <c r="E589" t="s">
        <v>38</v>
      </c>
      <c r="F589">
        <v>11</v>
      </c>
      <c r="G589" t="s">
        <v>47</v>
      </c>
      <c r="H589" t="s">
        <v>26</v>
      </c>
      <c r="I589" t="s">
        <v>31</v>
      </c>
      <c r="J589" t="s">
        <v>28</v>
      </c>
      <c r="K589" t="s">
        <v>29</v>
      </c>
      <c r="L589" t="s">
        <v>46</v>
      </c>
      <c r="M589" t="s">
        <v>29</v>
      </c>
      <c r="N589" t="s">
        <v>42</v>
      </c>
      <c r="O589">
        <v>3149</v>
      </c>
      <c r="P589">
        <v>8</v>
      </c>
      <c r="Q589" t="s">
        <v>36</v>
      </c>
      <c r="R589">
        <v>20</v>
      </c>
      <c r="S589" t="s">
        <v>43</v>
      </c>
      <c r="T589" t="s">
        <v>27</v>
      </c>
      <c r="U589">
        <v>3</v>
      </c>
      <c r="V589" t="s">
        <v>44</v>
      </c>
      <c r="W589" t="str">
        <f>IF(HR_Data[[#This Row],[age]]&lt;25,"Under 25",IF(HR_Data[[#This Row],[age]]&lt;35,"25-34",IF(HR_Data[[#This Row],[age]]&lt;45,"35-44",IF(HR_Data[[#This Row],[age]]&lt;55,"45-54","55+"))))</f>
        <v>45-54</v>
      </c>
      <c r="X589" t="str">
        <f t="shared" si="9"/>
        <v>3,000-4,999</v>
      </c>
    </row>
    <row r="590" spans="1:24" x14ac:dyDescent="0.3">
      <c r="A590">
        <v>815</v>
      </c>
      <c r="B590">
        <v>50</v>
      </c>
      <c r="C590" t="s">
        <v>36</v>
      </c>
      <c r="D590" t="s">
        <v>23</v>
      </c>
      <c r="E590" t="s">
        <v>38</v>
      </c>
      <c r="F590">
        <v>2</v>
      </c>
      <c r="G590" t="s">
        <v>50</v>
      </c>
      <c r="H590" t="s">
        <v>48</v>
      </c>
      <c r="I590" t="s">
        <v>29</v>
      </c>
      <c r="J590" t="s">
        <v>40</v>
      </c>
      <c r="K590" t="s">
        <v>29</v>
      </c>
      <c r="L590" t="s">
        <v>57</v>
      </c>
      <c r="M590" t="s">
        <v>29</v>
      </c>
      <c r="N590" t="s">
        <v>42</v>
      </c>
      <c r="O590">
        <v>17639</v>
      </c>
      <c r="P590">
        <v>5</v>
      </c>
      <c r="Q590" t="s">
        <v>36</v>
      </c>
      <c r="R590">
        <v>16</v>
      </c>
      <c r="S590" t="s">
        <v>33</v>
      </c>
      <c r="T590" t="s">
        <v>31</v>
      </c>
      <c r="U590">
        <v>3</v>
      </c>
      <c r="V590" t="s">
        <v>44</v>
      </c>
      <c r="W590" t="str">
        <f>IF(HR_Data[[#This Row],[age]]&lt;25,"Under 25",IF(HR_Data[[#This Row],[age]]&lt;35,"25-34",IF(HR_Data[[#This Row],[age]]&lt;45,"35-44",IF(HR_Data[[#This Row],[age]]&lt;55,"45-54","55+"))))</f>
        <v>45-54</v>
      </c>
      <c r="X590" t="str">
        <f t="shared" si="9"/>
        <v>8,000+</v>
      </c>
    </row>
    <row r="591" spans="1:24" x14ac:dyDescent="0.3">
      <c r="A591">
        <v>816</v>
      </c>
      <c r="B591">
        <v>29</v>
      </c>
      <c r="C591" t="s">
        <v>22</v>
      </c>
      <c r="D591" t="s">
        <v>23</v>
      </c>
      <c r="E591" t="s">
        <v>38</v>
      </c>
      <c r="F591">
        <v>1</v>
      </c>
      <c r="G591" t="s">
        <v>25</v>
      </c>
      <c r="H591" t="s">
        <v>26</v>
      </c>
      <c r="I591" t="s">
        <v>27</v>
      </c>
      <c r="J591" t="s">
        <v>28</v>
      </c>
      <c r="K591" t="s">
        <v>27</v>
      </c>
      <c r="L591" t="s">
        <v>46</v>
      </c>
      <c r="M591" t="s">
        <v>34</v>
      </c>
      <c r="N591" t="s">
        <v>42</v>
      </c>
      <c r="O591">
        <v>2319</v>
      </c>
      <c r="P591">
        <v>1</v>
      </c>
      <c r="Q591" t="s">
        <v>22</v>
      </c>
      <c r="R591">
        <v>11</v>
      </c>
      <c r="S591" t="s">
        <v>33</v>
      </c>
      <c r="T591" t="s">
        <v>31</v>
      </c>
      <c r="U591">
        <v>1</v>
      </c>
      <c r="V591" t="s">
        <v>44</v>
      </c>
      <c r="W591" t="str">
        <f>IF(HR_Data[[#This Row],[age]]&lt;25,"Under 25",IF(HR_Data[[#This Row],[age]]&lt;35,"25-34",IF(HR_Data[[#This Row],[age]]&lt;45,"35-44",IF(HR_Data[[#This Row],[age]]&lt;55,"45-54","55+"))))</f>
        <v>25-34</v>
      </c>
      <c r="X591" t="str">
        <f t="shared" si="9"/>
        <v>Below 3,000</v>
      </c>
    </row>
    <row r="592" spans="1:24" x14ac:dyDescent="0.3">
      <c r="A592">
        <v>817</v>
      </c>
      <c r="B592">
        <v>33</v>
      </c>
      <c r="C592" t="s">
        <v>36</v>
      </c>
      <c r="D592" t="s">
        <v>23</v>
      </c>
      <c r="E592" t="s">
        <v>38</v>
      </c>
      <c r="F592">
        <v>7</v>
      </c>
      <c r="G592" t="s">
        <v>50</v>
      </c>
      <c r="H592" t="s">
        <v>48</v>
      </c>
      <c r="I592" t="s">
        <v>29</v>
      </c>
      <c r="J592" t="s">
        <v>40</v>
      </c>
      <c r="K592" t="s">
        <v>29</v>
      </c>
      <c r="L592" t="s">
        <v>57</v>
      </c>
      <c r="M592" t="s">
        <v>29</v>
      </c>
      <c r="N592" t="s">
        <v>42</v>
      </c>
      <c r="O592">
        <v>11691</v>
      </c>
      <c r="P592">
        <v>0</v>
      </c>
      <c r="Q592" t="s">
        <v>36</v>
      </c>
      <c r="R592">
        <v>11</v>
      </c>
      <c r="S592" t="s">
        <v>33</v>
      </c>
      <c r="T592" t="s">
        <v>31</v>
      </c>
      <c r="U592">
        <v>3</v>
      </c>
      <c r="V592" t="s">
        <v>59</v>
      </c>
      <c r="W592" t="str">
        <f>IF(HR_Data[[#This Row],[age]]&lt;25,"Under 25",IF(HR_Data[[#This Row],[age]]&lt;35,"25-34",IF(HR_Data[[#This Row],[age]]&lt;45,"35-44",IF(HR_Data[[#This Row],[age]]&lt;55,"45-54","55+"))))</f>
        <v>25-34</v>
      </c>
      <c r="X592" t="str">
        <f t="shared" si="9"/>
        <v>8,000+</v>
      </c>
    </row>
    <row r="593" spans="1:24" x14ac:dyDescent="0.3">
      <c r="A593">
        <v>819</v>
      </c>
      <c r="B593">
        <v>33</v>
      </c>
      <c r="C593" t="s">
        <v>22</v>
      </c>
      <c r="D593" t="s">
        <v>23</v>
      </c>
      <c r="E593" t="s">
        <v>24</v>
      </c>
      <c r="F593">
        <v>16</v>
      </c>
      <c r="G593" t="s">
        <v>50</v>
      </c>
      <c r="H593" t="s">
        <v>58</v>
      </c>
      <c r="I593" t="s">
        <v>34</v>
      </c>
      <c r="J593" t="s">
        <v>28</v>
      </c>
      <c r="K593" t="s">
        <v>29</v>
      </c>
      <c r="L593" t="s">
        <v>30</v>
      </c>
      <c r="M593" t="s">
        <v>34</v>
      </c>
      <c r="N593" t="s">
        <v>32</v>
      </c>
      <c r="O593">
        <v>5324</v>
      </c>
      <c r="P593">
        <v>5</v>
      </c>
      <c r="Q593" t="s">
        <v>36</v>
      </c>
      <c r="R593">
        <v>15</v>
      </c>
      <c r="S593" t="s">
        <v>33</v>
      </c>
      <c r="T593" t="s">
        <v>29</v>
      </c>
      <c r="U593">
        <v>3</v>
      </c>
      <c r="V593" t="s">
        <v>44</v>
      </c>
      <c r="W593" t="str">
        <f>IF(HR_Data[[#This Row],[age]]&lt;25,"Under 25",IF(HR_Data[[#This Row],[age]]&lt;35,"25-34",IF(HR_Data[[#This Row],[age]]&lt;45,"35-44",IF(HR_Data[[#This Row],[age]]&lt;55,"45-54","55+"))))</f>
        <v>25-34</v>
      </c>
      <c r="X593" t="str">
        <f t="shared" si="9"/>
        <v>5,000-7,999</v>
      </c>
    </row>
    <row r="594" spans="1:24" x14ac:dyDescent="0.3">
      <c r="A594">
        <v>820</v>
      </c>
      <c r="B594">
        <v>47</v>
      </c>
      <c r="C594" t="s">
        <v>36</v>
      </c>
      <c r="D594" t="s">
        <v>23</v>
      </c>
      <c r="E594" t="s">
        <v>38</v>
      </c>
      <c r="F594">
        <v>2</v>
      </c>
      <c r="G594" t="s">
        <v>25</v>
      </c>
      <c r="H594" t="s">
        <v>45</v>
      </c>
      <c r="I594" t="s">
        <v>29</v>
      </c>
      <c r="J594" t="s">
        <v>28</v>
      </c>
      <c r="K594" t="s">
        <v>29</v>
      </c>
      <c r="L594" t="s">
        <v>55</v>
      </c>
      <c r="M594" t="s">
        <v>31</v>
      </c>
      <c r="N594" t="s">
        <v>42</v>
      </c>
      <c r="O594">
        <v>16752</v>
      </c>
      <c r="P594">
        <v>1</v>
      </c>
      <c r="Q594" t="s">
        <v>22</v>
      </c>
      <c r="R594">
        <v>11</v>
      </c>
      <c r="S594" t="s">
        <v>33</v>
      </c>
      <c r="T594" t="s">
        <v>29</v>
      </c>
      <c r="U594">
        <v>3</v>
      </c>
      <c r="V594" t="s">
        <v>49</v>
      </c>
      <c r="W594" t="str">
        <f>IF(HR_Data[[#This Row],[age]]&lt;25,"Under 25",IF(HR_Data[[#This Row],[age]]&lt;35,"25-34",IF(HR_Data[[#This Row],[age]]&lt;45,"35-44",IF(HR_Data[[#This Row],[age]]&lt;55,"45-54","55+"))))</f>
        <v>45-54</v>
      </c>
      <c r="X594" t="str">
        <f t="shared" si="9"/>
        <v>8,000+</v>
      </c>
    </row>
    <row r="595" spans="1:24" x14ac:dyDescent="0.3">
      <c r="A595">
        <v>823</v>
      </c>
      <c r="B595">
        <v>36</v>
      </c>
      <c r="C595" t="s">
        <v>36</v>
      </c>
      <c r="D595" t="s">
        <v>23</v>
      </c>
      <c r="E595" t="s">
        <v>38</v>
      </c>
      <c r="F595">
        <v>1</v>
      </c>
      <c r="G595" t="s">
        <v>50</v>
      </c>
      <c r="H595" t="s">
        <v>45</v>
      </c>
      <c r="I595" t="s">
        <v>29</v>
      </c>
      <c r="J595" t="s">
        <v>28</v>
      </c>
      <c r="K595" t="s">
        <v>29</v>
      </c>
      <c r="L595" t="s">
        <v>52</v>
      </c>
      <c r="M595" t="s">
        <v>27</v>
      </c>
      <c r="N595" t="s">
        <v>42</v>
      </c>
      <c r="O595">
        <v>5228</v>
      </c>
      <c r="P595">
        <v>0</v>
      </c>
      <c r="Q595" t="s">
        <v>36</v>
      </c>
      <c r="R595">
        <v>15</v>
      </c>
      <c r="S595" t="s">
        <v>33</v>
      </c>
      <c r="T595" t="s">
        <v>34</v>
      </c>
      <c r="U595">
        <v>2</v>
      </c>
      <c r="V595" t="s">
        <v>44</v>
      </c>
      <c r="W595" t="str">
        <f>IF(HR_Data[[#This Row],[age]]&lt;25,"Under 25",IF(HR_Data[[#This Row],[age]]&lt;35,"25-34",IF(HR_Data[[#This Row],[age]]&lt;45,"35-44",IF(HR_Data[[#This Row],[age]]&lt;55,"45-54","55+"))))</f>
        <v>35-44</v>
      </c>
      <c r="X595" t="str">
        <f t="shared" si="9"/>
        <v>5,000-7,999</v>
      </c>
    </row>
    <row r="596" spans="1:24" x14ac:dyDescent="0.3">
      <c r="A596">
        <v>824</v>
      </c>
      <c r="B596">
        <v>29</v>
      </c>
      <c r="C596" t="s">
        <v>36</v>
      </c>
      <c r="D596" t="s">
        <v>23</v>
      </c>
      <c r="E596" t="s">
        <v>38</v>
      </c>
      <c r="F596">
        <v>23</v>
      </c>
      <c r="G596" t="s">
        <v>25</v>
      </c>
      <c r="H596" t="s">
        <v>26</v>
      </c>
      <c r="I596" t="s">
        <v>29</v>
      </c>
      <c r="J596" t="s">
        <v>40</v>
      </c>
      <c r="K596" t="s">
        <v>31</v>
      </c>
      <c r="L596" t="s">
        <v>41</v>
      </c>
      <c r="M596" t="s">
        <v>29</v>
      </c>
      <c r="N596" t="s">
        <v>42</v>
      </c>
      <c r="O596">
        <v>2700</v>
      </c>
      <c r="P596">
        <v>1</v>
      </c>
      <c r="Q596" t="s">
        <v>36</v>
      </c>
      <c r="R596">
        <v>24</v>
      </c>
      <c r="S596" t="s">
        <v>43</v>
      </c>
      <c r="T596" t="s">
        <v>29</v>
      </c>
      <c r="U596">
        <v>3</v>
      </c>
      <c r="V596" t="s">
        <v>44</v>
      </c>
      <c r="W596" t="str">
        <f>IF(HR_Data[[#This Row],[age]]&lt;25,"Under 25",IF(HR_Data[[#This Row],[age]]&lt;35,"25-34",IF(HR_Data[[#This Row],[age]]&lt;45,"35-44",IF(HR_Data[[#This Row],[age]]&lt;55,"45-54","55+"))))</f>
        <v>25-34</v>
      </c>
      <c r="X596" t="str">
        <f t="shared" si="9"/>
        <v>Below 3,000</v>
      </c>
    </row>
    <row r="597" spans="1:24" x14ac:dyDescent="0.3">
      <c r="A597">
        <v>825</v>
      </c>
      <c r="B597">
        <v>58</v>
      </c>
      <c r="C597" t="s">
        <v>22</v>
      </c>
      <c r="D597" t="s">
        <v>23</v>
      </c>
      <c r="E597" t="s">
        <v>38</v>
      </c>
      <c r="F597">
        <v>2</v>
      </c>
      <c r="G597" t="s">
        <v>47</v>
      </c>
      <c r="H597" t="s">
        <v>26</v>
      </c>
      <c r="I597" t="s">
        <v>31</v>
      </c>
      <c r="J597" t="s">
        <v>40</v>
      </c>
      <c r="K597" t="s">
        <v>29</v>
      </c>
      <c r="L597" t="s">
        <v>57</v>
      </c>
      <c r="M597" t="s">
        <v>27</v>
      </c>
      <c r="N597" t="s">
        <v>32</v>
      </c>
      <c r="O597">
        <v>19246</v>
      </c>
      <c r="P597">
        <v>7</v>
      </c>
      <c r="Q597" t="s">
        <v>22</v>
      </c>
      <c r="R597">
        <v>12</v>
      </c>
      <c r="S597" t="s">
        <v>33</v>
      </c>
      <c r="T597" t="s">
        <v>31</v>
      </c>
      <c r="U597">
        <v>2</v>
      </c>
      <c r="V597" t="s">
        <v>44</v>
      </c>
      <c r="W597" t="str">
        <f>IF(HR_Data[[#This Row],[age]]&lt;25,"Under 25",IF(HR_Data[[#This Row],[age]]&lt;35,"25-34",IF(HR_Data[[#This Row],[age]]&lt;45,"35-44",IF(HR_Data[[#This Row],[age]]&lt;55,"45-54","55+"))))</f>
        <v>55+</v>
      </c>
      <c r="X597" t="str">
        <f t="shared" si="9"/>
        <v>8,000+</v>
      </c>
    </row>
    <row r="598" spans="1:24" x14ac:dyDescent="0.3">
      <c r="A598">
        <v>826</v>
      </c>
      <c r="B598">
        <v>35</v>
      </c>
      <c r="C598" t="s">
        <v>36</v>
      </c>
      <c r="D598" t="s">
        <v>23</v>
      </c>
      <c r="E598" t="s">
        <v>38</v>
      </c>
      <c r="F598">
        <v>1</v>
      </c>
      <c r="G598" t="s">
        <v>47</v>
      </c>
      <c r="H598" t="s">
        <v>26</v>
      </c>
      <c r="I598" t="s">
        <v>31</v>
      </c>
      <c r="J598" t="s">
        <v>28</v>
      </c>
      <c r="K598" t="s">
        <v>31</v>
      </c>
      <c r="L598" t="s">
        <v>41</v>
      </c>
      <c r="M598" t="s">
        <v>29</v>
      </c>
      <c r="N598" t="s">
        <v>32</v>
      </c>
      <c r="O598">
        <v>2506</v>
      </c>
      <c r="P598">
        <v>3</v>
      </c>
      <c r="Q598" t="s">
        <v>36</v>
      </c>
      <c r="R598">
        <v>13</v>
      </c>
      <c r="S598" t="s">
        <v>33</v>
      </c>
      <c r="T598" t="s">
        <v>29</v>
      </c>
      <c r="U598">
        <v>0</v>
      </c>
      <c r="V598" t="s">
        <v>44</v>
      </c>
      <c r="W598" t="str">
        <f>IF(HR_Data[[#This Row],[age]]&lt;25,"Under 25",IF(HR_Data[[#This Row],[age]]&lt;35,"25-34",IF(HR_Data[[#This Row],[age]]&lt;45,"35-44",IF(HR_Data[[#This Row],[age]]&lt;55,"45-54","55+"))))</f>
        <v>35-44</v>
      </c>
      <c r="X598" t="str">
        <f t="shared" si="9"/>
        <v>Below 3,000</v>
      </c>
    </row>
    <row r="599" spans="1:24" x14ac:dyDescent="0.3">
      <c r="A599">
        <v>827</v>
      </c>
      <c r="B599">
        <v>42</v>
      </c>
      <c r="C599" t="s">
        <v>36</v>
      </c>
      <c r="D599" t="s">
        <v>23</v>
      </c>
      <c r="E599" t="s">
        <v>38</v>
      </c>
      <c r="F599">
        <v>1</v>
      </c>
      <c r="G599" t="s">
        <v>25</v>
      </c>
      <c r="H599" t="s">
        <v>26</v>
      </c>
      <c r="I599" t="s">
        <v>31</v>
      </c>
      <c r="J599" t="s">
        <v>28</v>
      </c>
      <c r="K599" t="s">
        <v>27</v>
      </c>
      <c r="L599" t="s">
        <v>52</v>
      </c>
      <c r="M599" t="s">
        <v>31</v>
      </c>
      <c r="N599" t="s">
        <v>42</v>
      </c>
      <c r="O599">
        <v>6062</v>
      </c>
      <c r="P599">
        <v>9</v>
      </c>
      <c r="Q599" t="s">
        <v>22</v>
      </c>
      <c r="R599">
        <v>13</v>
      </c>
      <c r="S599" t="s">
        <v>33</v>
      </c>
      <c r="T599" t="s">
        <v>31</v>
      </c>
      <c r="U599">
        <v>4</v>
      </c>
      <c r="V599" t="s">
        <v>44</v>
      </c>
      <c r="W599" t="str">
        <f>IF(HR_Data[[#This Row],[age]]&lt;25,"Under 25",IF(HR_Data[[#This Row],[age]]&lt;35,"25-34",IF(HR_Data[[#This Row],[age]]&lt;45,"35-44",IF(HR_Data[[#This Row],[age]]&lt;55,"45-54","55+"))))</f>
        <v>35-44</v>
      </c>
      <c r="X599" t="str">
        <f t="shared" si="9"/>
        <v>5,000-7,999</v>
      </c>
    </row>
    <row r="600" spans="1:24" x14ac:dyDescent="0.3">
      <c r="A600">
        <v>828</v>
      </c>
      <c r="B600">
        <v>28</v>
      </c>
      <c r="C600" t="s">
        <v>22</v>
      </c>
      <c r="D600" t="s">
        <v>23</v>
      </c>
      <c r="E600" t="s">
        <v>38</v>
      </c>
      <c r="F600">
        <v>2</v>
      </c>
      <c r="G600" t="s">
        <v>47</v>
      </c>
      <c r="H600" t="s">
        <v>48</v>
      </c>
      <c r="I600" t="s">
        <v>29</v>
      </c>
      <c r="J600" t="s">
        <v>40</v>
      </c>
      <c r="K600" t="s">
        <v>29</v>
      </c>
      <c r="L600" t="s">
        <v>41</v>
      </c>
      <c r="M600" t="s">
        <v>29</v>
      </c>
      <c r="N600" t="s">
        <v>32</v>
      </c>
      <c r="O600">
        <v>4382</v>
      </c>
      <c r="P600">
        <v>6</v>
      </c>
      <c r="Q600" t="s">
        <v>36</v>
      </c>
      <c r="R600">
        <v>17</v>
      </c>
      <c r="S600" t="s">
        <v>33</v>
      </c>
      <c r="T600" t="s">
        <v>31</v>
      </c>
      <c r="U600">
        <v>3</v>
      </c>
      <c r="V600" t="s">
        <v>49</v>
      </c>
      <c r="W600" t="str">
        <f>IF(HR_Data[[#This Row],[age]]&lt;25,"Under 25",IF(HR_Data[[#This Row],[age]]&lt;35,"25-34",IF(HR_Data[[#This Row],[age]]&lt;45,"35-44",IF(HR_Data[[#This Row],[age]]&lt;55,"45-54","55+"))))</f>
        <v>25-34</v>
      </c>
      <c r="X600" t="str">
        <f t="shared" si="9"/>
        <v>3,000-4,999</v>
      </c>
    </row>
    <row r="601" spans="1:24" x14ac:dyDescent="0.3">
      <c r="A601">
        <v>829</v>
      </c>
      <c r="B601">
        <v>36</v>
      </c>
      <c r="C601" t="s">
        <v>36</v>
      </c>
      <c r="D601" t="s">
        <v>23</v>
      </c>
      <c r="E601" t="s">
        <v>62</v>
      </c>
      <c r="F601">
        <v>13</v>
      </c>
      <c r="G601" t="s">
        <v>50</v>
      </c>
      <c r="H601" t="s">
        <v>62</v>
      </c>
      <c r="I601" t="s">
        <v>29</v>
      </c>
      <c r="J601" t="s">
        <v>40</v>
      </c>
      <c r="K601" t="s">
        <v>29</v>
      </c>
      <c r="L601" t="s">
        <v>62</v>
      </c>
      <c r="M601" t="s">
        <v>27</v>
      </c>
      <c r="N601" t="s">
        <v>42</v>
      </c>
      <c r="O601">
        <v>2143</v>
      </c>
      <c r="P601">
        <v>4</v>
      </c>
      <c r="Q601" t="s">
        <v>36</v>
      </c>
      <c r="R601">
        <v>13</v>
      </c>
      <c r="S601" t="s">
        <v>33</v>
      </c>
      <c r="T601" t="s">
        <v>27</v>
      </c>
      <c r="U601">
        <v>2</v>
      </c>
      <c r="V601" t="s">
        <v>44</v>
      </c>
      <c r="W601" t="str">
        <f>IF(HR_Data[[#This Row],[age]]&lt;25,"Under 25",IF(HR_Data[[#This Row],[age]]&lt;35,"25-34",IF(HR_Data[[#This Row],[age]]&lt;45,"35-44",IF(HR_Data[[#This Row],[age]]&lt;55,"45-54","55+"))))</f>
        <v>35-44</v>
      </c>
      <c r="X601" t="str">
        <f t="shared" si="9"/>
        <v>Below 3,000</v>
      </c>
    </row>
    <row r="602" spans="1:24" x14ac:dyDescent="0.3">
      <c r="A602">
        <v>830</v>
      </c>
      <c r="B602">
        <v>32</v>
      </c>
      <c r="C602" t="s">
        <v>36</v>
      </c>
      <c r="D602" t="s">
        <v>23</v>
      </c>
      <c r="E602" t="s">
        <v>38</v>
      </c>
      <c r="F602">
        <v>4</v>
      </c>
      <c r="G602" t="s">
        <v>50</v>
      </c>
      <c r="H602" t="s">
        <v>26</v>
      </c>
      <c r="I602" t="s">
        <v>29</v>
      </c>
      <c r="J602" t="s">
        <v>28</v>
      </c>
      <c r="K602" t="s">
        <v>27</v>
      </c>
      <c r="L602" t="s">
        <v>52</v>
      </c>
      <c r="M602" t="s">
        <v>29</v>
      </c>
      <c r="N602" t="s">
        <v>42</v>
      </c>
      <c r="O602">
        <v>6162</v>
      </c>
      <c r="P602">
        <v>1</v>
      </c>
      <c r="Q602" t="s">
        <v>36</v>
      </c>
      <c r="R602">
        <v>12</v>
      </c>
      <c r="S602" t="s">
        <v>33</v>
      </c>
      <c r="T602" t="s">
        <v>29</v>
      </c>
      <c r="U602">
        <v>3</v>
      </c>
      <c r="V602" t="s">
        <v>44</v>
      </c>
      <c r="W602" t="str">
        <f>IF(HR_Data[[#This Row],[age]]&lt;25,"Under 25",IF(HR_Data[[#This Row],[age]]&lt;35,"25-34",IF(HR_Data[[#This Row],[age]]&lt;45,"35-44",IF(HR_Data[[#This Row],[age]]&lt;55,"45-54","55+"))))</f>
        <v>25-34</v>
      </c>
      <c r="X602" t="str">
        <f t="shared" si="9"/>
        <v>5,000-7,999</v>
      </c>
    </row>
    <row r="603" spans="1:24" x14ac:dyDescent="0.3">
      <c r="A603">
        <v>832</v>
      </c>
      <c r="B603">
        <v>40</v>
      </c>
      <c r="C603" t="s">
        <v>36</v>
      </c>
      <c r="D603" t="s">
        <v>37</v>
      </c>
      <c r="E603" t="s">
        <v>38</v>
      </c>
      <c r="F603">
        <v>16</v>
      </c>
      <c r="G603" t="s">
        <v>47</v>
      </c>
      <c r="H603" t="s">
        <v>48</v>
      </c>
      <c r="I603" t="s">
        <v>34</v>
      </c>
      <c r="J603" t="s">
        <v>40</v>
      </c>
      <c r="K603" t="s">
        <v>27</v>
      </c>
      <c r="L603" t="s">
        <v>46</v>
      </c>
      <c r="M603" t="s">
        <v>29</v>
      </c>
      <c r="N603" t="s">
        <v>32</v>
      </c>
      <c r="O603">
        <v>5094</v>
      </c>
      <c r="P603">
        <v>6</v>
      </c>
      <c r="Q603" t="s">
        <v>36</v>
      </c>
      <c r="R603">
        <v>14</v>
      </c>
      <c r="S603" t="s">
        <v>33</v>
      </c>
      <c r="T603" t="s">
        <v>31</v>
      </c>
      <c r="U603">
        <v>6</v>
      </c>
      <c r="V603" t="s">
        <v>44</v>
      </c>
      <c r="W603" t="str">
        <f>IF(HR_Data[[#This Row],[age]]&lt;25,"Under 25",IF(HR_Data[[#This Row],[age]]&lt;35,"25-34",IF(HR_Data[[#This Row],[age]]&lt;45,"35-44",IF(HR_Data[[#This Row],[age]]&lt;55,"45-54","55+"))))</f>
        <v>35-44</v>
      </c>
      <c r="X603" t="str">
        <f t="shared" si="9"/>
        <v>5,000-7,999</v>
      </c>
    </row>
    <row r="604" spans="1:24" x14ac:dyDescent="0.3">
      <c r="A604">
        <v>833</v>
      </c>
      <c r="B604">
        <v>30</v>
      </c>
      <c r="C604" t="s">
        <v>36</v>
      </c>
      <c r="D604" t="s">
        <v>23</v>
      </c>
      <c r="E604" t="s">
        <v>38</v>
      </c>
      <c r="F604">
        <v>2</v>
      </c>
      <c r="G604" t="s">
        <v>50</v>
      </c>
      <c r="H604" t="s">
        <v>48</v>
      </c>
      <c r="I604" t="s">
        <v>29</v>
      </c>
      <c r="J604" t="s">
        <v>28</v>
      </c>
      <c r="K604" t="s">
        <v>27</v>
      </c>
      <c r="L604" t="s">
        <v>52</v>
      </c>
      <c r="M604" t="s">
        <v>31</v>
      </c>
      <c r="N604" t="s">
        <v>32</v>
      </c>
      <c r="O604">
        <v>6877</v>
      </c>
      <c r="P604">
        <v>5</v>
      </c>
      <c r="Q604" t="s">
        <v>22</v>
      </c>
      <c r="R604">
        <v>24</v>
      </c>
      <c r="S604" t="s">
        <v>43</v>
      </c>
      <c r="T604" t="s">
        <v>27</v>
      </c>
      <c r="U604">
        <v>4</v>
      </c>
      <c r="V604" t="s">
        <v>49</v>
      </c>
      <c r="W604" t="str">
        <f>IF(HR_Data[[#This Row],[age]]&lt;25,"Under 25",IF(HR_Data[[#This Row],[age]]&lt;35,"25-34",IF(HR_Data[[#This Row],[age]]&lt;45,"35-44",IF(HR_Data[[#This Row],[age]]&lt;55,"45-54","55+"))))</f>
        <v>25-34</v>
      </c>
      <c r="X604" t="str">
        <f t="shared" si="9"/>
        <v>5,000-7,999</v>
      </c>
    </row>
    <row r="605" spans="1:24" x14ac:dyDescent="0.3">
      <c r="A605">
        <v>834</v>
      </c>
      <c r="B605">
        <v>45</v>
      </c>
      <c r="C605" t="s">
        <v>36</v>
      </c>
      <c r="D605" t="s">
        <v>23</v>
      </c>
      <c r="E605" t="s">
        <v>38</v>
      </c>
      <c r="F605">
        <v>2</v>
      </c>
      <c r="G605" t="s">
        <v>50</v>
      </c>
      <c r="H605" t="s">
        <v>26</v>
      </c>
      <c r="I605" t="s">
        <v>27</v>
      </c>
      <c r="J605" t="s">
        <v>28</v>
      </c>
      <c r="K605" t="s">
        <v>27</v>
      </c>
      <c r="L605" t="s">
        <v>41</v>
      </c>
      <c r="M605" t="s">
        <v>29</v>
      </c>
      <c r="N605" t="s">
        <v>32</v>
      </c>
      <c r="O605">
        <v>2274</v>
      </c>
      <c r="P605">
        <v>1</v>
      </c>
      <c r="Q605" t="s">
        <v>36</v>
      </c>
      <c r="R605">
        <v>14</v>
      </c>
      <c r="S605" t="s">
        <v>33</v>
      </c>
      <c r="T605" t="s">
        <v>31</v>
      </c>
      <c r="U605">
        <v>3</v>
      </c>
      <c r="V605" t="s">
        <v>44</v>
      </c>
      <c r="W605" t="str">
        <f>IF(HR_Data[[#This Row],[age]]&lt;25,"Under 25",IF(HR_Data[[#This Row],[age]]&lt;35,"25-34",IF(HR_Data[[#This Row],[age]]&lt;45,"35-44",IF(HR_Data[[#This Row],[age]]&lt;55,"45-54","55+"))))</f>
        <v>45-54</v>
      </c>
      <c r="X605" t="str">
        <f t="shared" si="9"/>
        <v>Below 3,000</v>
      </c>
    </row>
    <row r="606" spans="1:24" x14ac:dyDescent="0.3">
      <c r="A606">
        <v>836</v>
      </c>
      <c r="B606">
        <v>42</v>
      </c>
      <c r="C606" t="s">
        <v>36</v>
      </c>
      <c r="D606" t="s">
        <v>23</v>
      </c>
      <c r="E606" t="s">
        <v>38</v>
      </c>
      <c r="F606">
        <v>29</v>
      </c>
      <c r="G606" t="s">
        <v>50</v>
      </c>
      <c r="H606" t="s">
        <v>26</v>
      </c>
      <c r="I606" t="s">
        <v>27</v>
      </c>
      <c r="J606" t="s">
        <v>40</v>
      </c>
      <c r="K606" t="s">
        <v>29</v>
      </c>
      <c r="L606" t="s">
        <v>52</v>
      </c>
      <c r="M606" t="s">
        <v>27</v>
      </c>
      <c r="N606" t="s">
        <v>42</v>
      </c>
      <c r="O606">
        <v>4434</v>
      </c>
      <c r="P606">
        <v>1</v>
      </c>
      <c r="Q606" t="s">
        <v>36</v>
      </c>
      <c r="R606">
        <v>13</v>
      </c>
      <c r="S606" t="s">
        <v>33</v>
      </c>
      <c r="T606" t="s">
        <v>31</v>
      </c>
      <c r="U606">
        <v>3</v>
      </c>
      <c r="V606" t="s">
        <v>49</v>
      </c>
      <c r="W606" t="str">
        <f>IF(HR_Data[[#This Row],[age]]&lt;25,"Under 25",IF(HR_Data[[#This Row],[age]]&lt;35,"25-34",IF(HR_Data[[#This Row],[age]]&lt;45,"35-44",IF(HR_Data[[#This Row],[age]]&lt;55,"45-54","55+"))))</f>
        <v>35-44</v>
      </c>
      <c r="X606" t="str">
        <f t="shared" si="9"/>
        <v>3,000-4,999</v>
      </c>
    </row>
    <row r="607" spans="1:24" x14ac:dyDescent="0.3">
      <c r="A607">
        <v>837</v>
      </c>
      <c r="B607">
        <v>38</v>
      </c>
      <c r="C607" t="s">
        <v>36</v>
      </c>
      <c r="D607" t="s">
        <v>37</v>
      </c>
      <c r="E607" t="s">
        <v>38</v>
      </c>
      <c r="F607">
        <v>12</v>
      </c>
      <c r="G607" t="s">
        <v>50</v>
      </c>
      <c r="H607" t="s">
        <v>26</v>
      </c>
      <c r="I607" t="s">
        <v>34</v>
      </c>
      <c r="J607" t="s">
        <v>40</v>
      </c>
      <c r="K607" t="s">
        <v>27</v>
      </c>
      <c r="L607" t="s">
        <v>53</v>
      </c>
      <c r="M607" t="s">
        <v>34</v>
      </c>
      <c r="N607" t="s">
        <v>51</v>
      </c>
      <c r="O607">
        <v>6288</v>
      </c>
      <c r="P607">
        <v>2</v>
      </c>
      <c r="Q607" t="s">
        <v>36</v>
      </c>
      <c r="R607">
        <v>15</v>
      </c>
      <c r="S607" t="s">
        <v>33</v>
      </c>
      <c r="T607" t="s">
        <v>29</v>
      </c>
      <c r="U607">
        <v>3</v>
      </c>
      <c r="V607" t="s">
        <v>49</v>
      </c>
      <c r="W607" t="str">
        <f>IF(HR_Data[[#This Row],[age]]&lt;25,"Under 25",IF(HR_Data[[#This Row],[age]]&lt;35,"25-34",IF(HR_Data[[#This Row],[age]]&lt;45,"35-44",IF(HR_Data[[#This Row],[age]]&lt;55,"45-54","55+"))))</f>
        <v>35-44</v>
      </c>
      <c r="X607" t="str">
        <f t="shared" si="9"/>
        <v>5,000-7,999</v>
      </c>
    </row>
    <row r="608" spans="1:24" x14ac:dyDescent="0.3">
      <c r="A608">
        <v>838</v>
      </c>
      <c r="B608">
        <v>34</v>
      </c>
      <c r="C608" t="s">
        <v>36</v>
      </c>
      <c r="D608" t="s">
        <v>37</v>
      </c>
      <c r="E608" t="s">
        <v>38</v>
      </c>
      <c r="F608">
        <v>16</v>
      </c>
      <c r="G608" t="s">
        <v>47</v>
      </c>
      <c r="H608" t="s">
        <v>26</v>
      </c>
      <c r="I608" t="s">
        <v>29</v>
      </c>
      <c r="J608" t="s">
        <v>28</v>
      </c>
      <c r="K608" t="s">
        <v>27</v>
      </c>
      <c r="L608" t="s">
        <v>41</v>
      </c>
      <c r="M608" t="s">
        <v>31</v>
      </c>
      <c r="N608" t="s">
        <v>32</v>
      </c>
      <c r="O608">
        <v>2553</v>
      </c>
      <c r="P608">
        <v>1</v>
      </c>
      <c r="Q608" t="s">
        <v>36</v>
      </c>
      <c r="R608">
        <v>16</v>
      </c>
      <c r="S608" t="s">
        <v>33</v>
      </c>
      <c r="T608" t="s">
        <v>29</v>
      </c>
      <c r="U608">
        <v>3</v>
      </c>
      <c r="V608" t="s">
        <v>44</v>
      </c>
      <c r="W608" t="str">
        <f>IF(HR_Data[[#This Row],[age]]&lt;25,"Under 25",IF(HR_Data[[#This Row],[age]]&lt;35,"25-34",IF(HR_Data[[#This Row],[age]]&lt;45,"35-44",IF(HR_Data[[#This Row],[age]]&lt;55,"45-54","55+"))))</f>
        <v>25-34</v>
      </c>
      <c r="X608" t="str">
        <f t="shared" si="9"/>
        <v>Below 3,000</v>
      </c>
    </row>
    <row r="609" spans="1:24" x14ac:dyDescent="0.3">
      <c r="A609">
        <v>840</v>
      </c>
      <c r="B609">
        <v>49</v>
      </c>
      <c r="C609" t="s">
        <v>22</v>
      </c>
      <c r="D609" t="s">
        <v>23</v>
      </c>
      <c r="E609" t="s">
        <v>24</v>
      </c>
      <c r="F609">
        <v>11</v>
      </c>
      <c r="G609" t="s">
        <v>50</v>
      </c>
      <c r="H609" t="s">
        <v>58</v>
      </c>
      <c r="I609" t="s">
        <v>29</v>
      </c>
      <c r="J609" t="s">
        <v>28</v>
      </c>
      <c r="K609" t="s">
        <v>29</v>
      </c>
      <c r="L609" t="s">
        <v>30</v>
      </c>
      <c r="M609" t="s">
        <v>31</v>
      </c>
      <c r="N609" t="s">
        <v>42</v>
      </c>
      <c r="O609">
        <v>7654</v>
      </c>
      <c r="P609">
        <v>1</v>
      </c>
      <c r="Q609" t="s">
        <v>36</v>
      </c>
      <c r="R609">
        <v>18</v>
      </c>
      <c r="S609" t="s">
        <v>33</v>
      </c>
      <c r="T609" t="s">
        <v>34</v>
      </c>
      <c r="U609">
        <v>3</v>
      </c>
      <c r="V609" t="s">
        <v>59</v>
      </c>
      <c r="W609" t="str">
        <f>IF(HR_Data[[#This Row],[age]]&lt;25,"Under 25",IF(HR_Data[[#This Row],[age]]&lt;35,"25-34",IF(HR_Data[[#This Row],[age]]&lt;45,"35-44",IF(HR_Data[[#This Row],[age]]&lt;55,"45-54","55+"))))</f>
        <v>45-54</v>
      </c>
      <c r="X609" t="str">
        <f t="shared" si="9"/>
        <v>5,000-7,999</v>
      </c>
    </row>
    <row r="610" spans="1:24" x14ac:dyDescent="0.3">
      <c r="A610">
        <v>842</v>
      </c>
      <c r="B610">
        <v>55</v>
      </c>
      <c r="C610" t="s">
        <v>22</v>
      </c>
      <c r="D610" t="s">
        <v>23</v>
      </c>
      <c r="E610" t="s">
        <v>24</v>
      </c>
      <c r="F610">
        <v>2</v>
      </c>
      <c r="G610" t="s">
        <v>39</v>
      </c>
      <c r="H610" t="s">
        <v>48</v>
      </c>
      <c r="I610" t="s">
        <v>29</v>
      </c>
      <c r="J610" t="s">
        <v>40</v>
      </c>
      <c r="K610" t="s">
        <v>29</v>
      </c>
      <c r="L610" t="s">
        <v>30</v>
      </c>
      <c r="M610" t="s">
        <v>31</v>
      </c>
      <c r="N610" t="s">
        <v>32</v>
      </c>
      <c r="O610">
        <v>5160</v>
      </c>
      <c r="P610">
        <v>4</v>
      </c>
      <c r="Q610" t="s">
        <v>36</v>
      </c>
      <c r="R610">
        <v>16</v>
      </c>
      <c r="S610" t="s">
        <v>33</v>
      </c>
      <c r="T610" t="s">
        <v>29</v>
      </c>
      <c r="U610">
        <v>3</v>
      </c>
      <c r="V610" t="s">
        <v>49</v>
      </c>
      <c r="W610" t="str">
        <f>IF(HR_Data[[#This Row],[age]]&lt;25,"Under 25",IF(HR_Data[[#This Row],[age]]&lt;35,"25-34",IF(HR_Data[[#This Row],[age]]&lt;45,"35-44",IF(HR_Data[[#This Row],[age]]&lt;55,"45-54","55+"))))</f>
        <v>55+</v>
      </c>
      <c r="X610" t="str">
        <f t="shared" si="9"/>
        <v>5,000-7,999</v>
      </c>
    </row>
    <row r="611" spans="1:24" x14ac:dyDescent="0.3">
      <c r="A611">
        <v>843</v>
      </c>
      <c r="B611">
        <v>43</v>
      </c>
      <c r="C611" t="s">
        <v>36</v>
      </c>
      <c r="D611" t="s">
        <v>23</v>
      </c>
      <c r="E611" t="s">
        <v>38</v>
      </c>
      <c r="F611">
        <v>14</v>
      </c>
      <c r="G611" t="s">
        <v>25</v>
      </c>
      <c r="H611" t="s">
        <v>26</v>
      </c>
      <c r="I611" t="s">
        <v>27</v>
      </c>
      <c r="J611" t="s">
        <v>40</v>
      </c>
      <c r="K611" t="s">
        <v>29</v>
      </c>
      <c r="L611" t="s">
        <v>57</v>
      </c>
      <c r="M611" t="s">
        <v>34</v>
      </c>
      <c r="N611" t="s">
        <v>42</v>
      </c>
      <c r="O611">
        <v>17159</v>
      </c>
      <c r="P611">
        <v>6</v>
      </c>
      <c r="Q611" t="s">
        <v>36</v>
      </c>
      <c r="R611">
        <v>24</v>
      </c>
      <c r="S611" t="s">
        <v>43</v>
      </c>
      <c r="T611" t="s">
        <v>29</v>
      </c>
      <c r="U611">
        <v>3</v>
      </c>
      <c r="V611" t="s">
        <v>44</v>
      </c>
      <c r="W611" t="str">
        <f>IF(HR_Data[[#This Row],[age]]&lt;25,"Under 25",IF(HR_Data[[#This Row],[age]]&lt;35,"25-34",IF(HR_Data[[#This Row],[age]]&lt;45,"35-44",IF(HR_Data[[#This Row],[age]]&lt;55,"45-54","55+"))))</f>
        <v>35-44</v>
      </c>
      <c r="X611" t="str">
        <f t="shared" si="9"/>
        <v>8,000+</v>
      </c>
    </row>
    <row r="612" spans="1:24" x14ac:dyDescent="0.3">
      <c r="A612">
        <v>844</v>
      </c>
      <c r="B612">
        <v>27</v>
      </c>
      <c r="C612" t="s">
        <v>36</v>
      </c>
      <c r="D612" t="s">
        <v>23</v>
      </c>
      <c r="E612" t="s">
        <v>38</v>
      </c>
      <c r="F612">
        <v>5</v>
      </c>
      <c r="G612" t="s">
        <v>39</v>
      </c>
      <c r="H612" t="s">
        <v>60</v>
      </c>
      <c r="I612" t="s">
        <v>29</v>
      </c>
      <c r="J612" t="s">
        <v>40</v>
      </c>
      <c r="K612" t="s">
        <v>27</v>
      </c>
      <c r="L612" t="s">
        <v>57</v>
      </c>
      <c r="M612" t="s">
        <v>31</v>
      </c>
      <c r="N612" t="s">
        <v>51</v>
      </c>
      <c r="O612">
        <v>12808</v>
      </c>
      <c r="P612">
        <v>1</v>
      </c>
      <c r="Q612" t="s">
        <v>22</v>
      </c>
      <c r="R612">
        <v>16</v>
      </c>
      <c r="S612" t="s">
        <v>33</v>
      </c>
      <c r="T612" t="s">
        <v>27</v>
      </c>
      <c r="U612">
        <v>3</v>
      </c>
      <c r="V612" t="s">
        <v>44</v>
      </c>
      <c r="W612" t="str">
        <f>IF(HR_Data[[#This Row],[age]]&lt;25,"Under 25",IF(HR_Data[[#This Row],[age]]&lt;35,"25-34",IF(HR_Data[[#This Row],[age]]&lt;45,"35-44",IF(HR_Data[[#This Row],[age]]&lt;55,"45-54","55+"))))</f>
        <v>25-34</v>
      </c>
      <c r="X612" t="str">
        <f t="shared" si="9"/>
        <v>8,000+</v>
      </c>
    </row>
    <row r="613" spans="1:24" x14ac:dyDescent="0.3">
      <c r="A613">
        <v>845</v>
      </c>
      <c r="B613">
        <v>35</v>
      </c>
      <c r="C613" t="s">
        <v>36</v>
      </c>
      <c r="D613" t="s">
        <v>23</v>
      </c>
      <c r="E613" t="s">
        <v>38</v>
      </c>
      <c r="F613">
        <v>7</v>
      </c>
      <c r="G613" t="s">
        <v>50</v>
      </c>
      <c r="H613" t="s">
        <v>45</v>
      </c>
      <c r="I613" t="s">
        <v>29</v>
      </c>
      <c r="J613" t="s">
        <v>40</v>
      </c>
      <c r="K613" t="s">
        <v>29</v>
      </c>
      <c r="L613" t="s">
        <v>52</v>
      </c>
      <c r="M613" t="s">
        <v>29</v>
      </c>
      <c r="N613" t="s">
        <v>32</v>
      </c>
      <c r="O613">
        <v>10221</v>
      </c>
      <c r="P613">
        <v>3</v>
      </c>
      <c r="Q613" t="s">
        <v>36</v>
      </c>
      <c r="R613">
        <v>21</v>
      </c>
      <c r="S613" t="s">
        <v>43</v>
      </c>
      <c r="T613" t="s">
        <v>27</v>
      </c>
      <c r="U613">
        <v>3</v>
      </c>
      <c r="V613" t="s">
        <v>59</v>
      </c>
      <c r="W613" t="str">
        <f>IF(HR_Data[[#This Row],[age]]&lt;25,"Under 25",IF(HR_Data[[#This Row],[age]]&lt;35,"25-34",IF(HR_Data[[#This Row],[age]]&lt;45,"35-44",IF(HR_Data[[#This Row],[age]]&lt;55,"45-54","55+"))))</f>
        <v>35-44</v>
      </c>
      <c r="X613" t="str">
        <f t="shared" si="9"/>
        <v>8,000+</v>
      </c>
    </row>
    <row r="614" spans="1:24" x14ac:dyDescent="0.3">
      <c r="A614">
        <v>846</v>
      </c>
      <c r="B614">
        <v>28</v>
      </c>
      <c r="C614" t="s">
        <v>36</v>
      </c>
      <c r="D614" t="s">
        <v>23</v>
      </c>
      <c r="E614" t="s">
        <v>24</v>
      </c>
      <c r="F614">
        <v>2</v>
      </c>
      <c r="G614" t="s">
        <v>47</v>
      </c>
      <c r="H614" t="s">
        <v>58</v>
      </c>
      <c r="I614" t="s">
        <v>27</v>
      </c>
      <c r="J614" t="s">
        <v>28</v>
      </c>
      <c r="K614" t="s">
        <v>29</v>
      </c>
      <c r="L614" t="s">
        <v>30</v>
      </c>
      <c r="M614" t="s">
        <v>27</v>
      </c>
      <c r="N614" t="s">
        <v>42</v>
      </c>
      <c r="O614">
        <v>4779</v>
      </c>
      <c r="P614">
        <v>1</v>
      </c>
      <c r="Q614" t="s">
        <v>22</v>
      </c>
      <c r="R614">
        <v>20</v>
      </c>
      <c r="S614" t="s">
        <v>43</v>
      </c>
      <c r="T614" t="s">
        <v>34</v>
      </c>
      <c r="U614">
        <v>2</v>
      </c>
      <c r="V614" t="s">
        <v>44</v>
      </c>
      <c r="W614" t="str">
        <f>IF(HR_Data[[#This Row],[age]]&lt;25,"Under 25",IF(HR_Data[[#This Row],[age]]&lt;35,"25-34",IF(HR_Data[[#This Row],[age]]&lt;45,"35-44",IF(HR_Data[[#This Row],[age]]&lt;55,"45-54","55+"))))</f>
        <v>25-34</v>
      </c>
      <c r="X614" t="str">
        <f t="shared" si="9"/>
        <v>3,000-4,999</v>
      </c>
    </row>
    <row r="615" spans="1:24" x14ac:dyDescent="0.3">
      <c r="A615">
        <v>847</v>
      </c>
      <c r="B615">
        <v>34</v>
      </c>
      <c r="C615" t="s">
        <v>36</v>
      </c>
      <c r="D615" t="s">
        <v>23</v>
      </c>
      <c r="E615" t="s">
        <v>62</v>
      </c>
      <c r="F615">
        <v>3</v>
      </c>
      <c r="G615" t="s">
        <v>25</v>
      </c>
      <c r="H615" t="s">
        <v>62</v>
      </c>
      <c r="I615" t="s">
        <v>29</v>
      </c>
      <c r="J615" t="s">
        <v>40</v>
      </c>
      <c r="K615" t="s">
        <v>29</v>
      </c>
      <c r="L615" t="s">
        <v>62</v>
      </c>
      <c r="M615" t="s">
        <v>31</v>
      </c>
      <c r="N615" t="s">
        <v>42</v>
      </c>
      <c r="O615">
        <v>3737</v>
      </c>
      <c r="P615">
        <v>0</v>
      </c>
      <c r="Q615" t="s">
        <v>36</v>
      </c>
      <c r="R615">
        <v>19</v>
      </c>
      <c r="S615" t="s">
        <v>33</v>
      </c>
      <c r="T615" t="s">
        <v>29</v>
      </c>
      <c r="U615">
        <v>1</v>
      </c>
      <c r="V615" t="s">
        <v>35</v>
      </c>
      <c r="W615" t="str">
        <f>IF(HR_Data[[#This Row],[age]]&lt;25,"Under 25",IF(HR_Data[[#This Row],[age]]&lt;35,"25-34",IF(HR_Data[[#This Row],[age]]&lt;45,"35-44",IF(HR_Data[[#This Row],[age]]&lt;55,"45-54","55+"))))</f>
        <v>25-34</v>
      </c>
      <c r="X615" t="str">
        <f t="shared" si="9"/>
        <v>3,000-4,999</v>
      </c>
    </row>
    <row r="616" spans="1:24" x14ac:dyDescent="0.3">
      <c r="A616">
        <v>848</v>
      </c>
      <c r="B616">
        <v>26</v>
      </c>
      <c r="C616" t="s">
        <v>22</v>
      </c>
      <c r="D616" t="s">
        <v>37</v>
      </c>
      <c r="E616" t="s">
        <v>38</v>
      </c>
      <c r="F616">
        <v>5</v>
      </c>
      <c r="G616" t="s">
        <v>25</v>
      </c>
      <c r="H616" t="s">
        <v>48</v>
      </c>
      <c r="I616" t="s">
        <v>29</v>
      </c>
      <c r="J616" t="s">
        <v>28</v>
      </c>
      <c r="K616" t="s">
        <v>27</v>
      </c>
      <c r="L616" t="s">
        <v>41</v>
      </c>
      <c r="M616" t="s">
        <v>29</v>
      </c>
      <c r="N616" t="s">
        <v>42</v>
      </c>
      <c r="O616">
        <v>2366</v>
      </c>
      <c r="P616">
        <v>1</v>
      </c>
      <c r="Q616" t="s">
        <v>22</v>
      </c>
      <c r="R616">
        <v>14</v>
      </c>
      <c r="S616" t="s">
        <v>33</v>
      </c>
      <c r="T616" t="s">
        <v>34</v>
      </c>
      <c r="U616">
        <v>2</v>
      </c>
      <c r="V616" t="s">
        <v>44</v>
      </c>
      <c r="W616" t="str">
        <f>IF(HR_Data[[#This Row],[age]]&lt;25,"Under 25",IF(HR_Data[[#This Row],[age]]&lt;35,"25-34",IF(HR_Data[[#This Row],[age]]&lt;45,"35-44",IF(HR_Data[[#This Row],[age]]&lt;55,"45-54","55+"))))</f>
        <v>25-34</v>
      </c>
      <c r="X616" t="str">
        <f t="shared" si="9"/>
        <v>Below 3,000</v>
      </c>
    </row>
    <row r="617" spans="1:24" x14ac:dyDescent="0.3">
      <c r="A617">
        <v>850</v>
      </c>
      <c r="B617">
        <v>27</v>
      </c>
      <c r="C617" t="s">
        <v>36</v>
      </c>
      <c r="D617" t="s">
        <v>54</v>
      </c>
      <c r="E617" t="s">
        <v>38</v>
      </c>
      <c r="F617">
        <v>3</v>
      </c>
      <c r="G617" t="s">
        <v>50</v>
      </c>
      <c r="H617" t="s">
        <v>48</v>
      </c>
      <c r="I617" t="s">
        <v>31</v>
      </c>
      <c r="J617" t="s">
        <v>40</v>
      </c>
      <c r="K617" t="s">
        <v>29</v>
      </c>
      <c r="L617" t="s">
        <v>41</v>
      </c>
      <c r="M617" t="s">
        <v>31</v>
      </c>
      <c r="N617" t="s">
        <v>42</v>
      </c>
      <c r="O617">
        <v>1706</v>
      </c>
      <c r="P617">
        <v>1</v>
      </c>
      <c r="Q617" t="s">
        <v>36</v>
      </c>
      <c r="R617">
        <v>11</v>
      </c>
      <c r="S617" t="s">
        <v>33</v>
      </c>
      <c r="T617" t="s">
        <v>29</v>
      </c>
      <c r="U617">
        <v>6</v>
      </c>
      <c r="V617" t="s">
        <v>49</v>
      </c>
      <c r="W617" t="str">
        <f>IF(HR_Data[[#This Row],[age]]&lt;25,"Under 25",IF(HR_Data[[#This Row],[age]]&lt;35,"25-34",IF(HR_Data[[#This Row],[age]]&lt;45,"35-44",IF(HR_Data[[#This Row],[age]]&lt;55,"45-54","55+"))))</f>
        <v>25-34</v>
      </c>
      <c r="X617" t="str">
        <f t="shared" si="9"/>
        <v>Below 3,000</v>
      </c>
    </row>
    <row r="618" spans="1:24" x14ac:dyDescent="0.3">
      <c r="A618">
        <v>851</v>
      </c>
      <c r="B618">
        <v>51</v>
      </c>
      <c r="C618" t="s">
        <v>36</v>
      </c>
      <c r="D618" t="s">
        <v>23</v>
      </c>
      <c r="E618" t="s">
        <v>24</v>
      </c>
      <c r="F618">
        <v>26</v>
      </c>
      <c r="G618" t="s">
        <v>47</v>
      </c>
      <c r="H618" t="s">
        <v>58</v>
      </c>
      <c r="I618" t="s">
        <v>34</v>
      </c>
      <c r="J618" t="s">
        <v>28</v>
      </c>
      <c r="K618" t="s">
        <v>29</v>
      </c>
      <c r="L618" t="s">
        <v>55</v>
      </c>
      <c r="M618" t="s">
        <v>29</v>
      </c>
      <c r="N618" t="s">
        <v>42</v>
      </c>
      <c r="O618">
        <v>16307</v>
      </c>
      <c r="P618">
        <v>2</v>
      </c>
      <c r="Q618" t="s">
        <v>36</v>
      </c>
      <c r="R618">
        <v>14</v>
      </c>
      <c r="S618" t="s">
        <v>33</v>
      </c>
      <c r="T618" t="s">
        <v>29</v>
      </c>
      <c r="U618">
        <v>2</v>
      </c>
      <c r="V618" t="s">
        <v>49</v>
      </c>
      <c r="W618" t="str">
        <f>IF(HR_Data[[#This Row],[age]]&lt;25,"Under 25",IF(HR_Data[[#This Row],[age]]&lt;35,"25-34",IF(HR_Data[[#This Row],[age]]&lt;45,"35-44",IF(HR_Data[[#This Row],[age]]&lt;55,"45-54","55+"))))</f>
        <v>45-54</v>
      </c>
      <c r="X618" t="str">
        <f t="shared" si="9"/>
        <v>8,000+</v>
      </c>
    </row>
    <row r="619" spans="1:24" x14ac:dyDescent="0.3">
      <c r="A619">
        <v>852</v>
      </c>
      <c r="B619">
        <v>44</v>
      </c>
      <c r="C619" t="s">
        <v>36</v>
      </c>
      <c r="D619" t="s">
        <v>23</v>
      </c>
      <c r="E619" t="s">
        <v>38</v>
      </c>
      <c r="F619">
        <v>4</v>
      </c>
      <c r="G619" t="s">
        <v>50</v>
      </c>
      <c r="H619" t="s">
        <v>48</v>
      </c>
      <c r="I619" t="s">
        <v>31</v>
      </c>
      <c r="J619" t="s">
        <v>40</v>
      </c>
      <c r="K619" t="s">
        <v>29</v>
      </c>
      <c r="L619" t="s">
        <v>53</v>
      </c>
      <c r="M619" t="s">
        <v>27</v>
      </c>
      <c r="N619" t="s">
        <v>32</v>
      </c>
      <c r="O619">
        <v>5933</v>
      </c>
      <c r="P619">
        <v>9</v>
      </c>
      <c r="Q619" t="s">
        <v>36</v>
      </c>
      <c r="R619">
        <v>12</v>
      </c>
      <c r="S619" t="s">
        <v>33</v>
      </c>
      <c r="T619" t="s">
        <v>31</v>
      </c>
      <c r="U619">
        <v>2</v>
      </c>
      <c r="V619" t="s">
        <v>49</v>
      </c>
      <c r="W619" t="str">
        <f>IF(HR_Data[[#This Row],[age]]&lt;25,"Under 25",IF(HR_Data[[#This Row],[age]]&lt;35,"25-34",IF(HR_Data[[#This Row],[age]]&lt;45,"35-44",IF(HR_Data[[#This Row],[age]]&lt;55,"45-54","55+"))))</f>
        <v>35-44</v>
      </c>
      <c r="X619" t="str">
        <f t="shared" si="9"/>
        <v>5,000-7,999</v>
      </c>
    </row>
    <row r="620" spans="1:24" x14ac:dyDescent="0.3">
      <c r="A620">
        <v>854</v>
      </c>
      <c r="B620">
        <v>25</v>
      </c>
      <c r="C620" t="s">
        <v>36</v>
      </c>
      <c r="D620" t="s">
        <v>23</v>
      </c>
      <c r="E620" t="s">
        <v>38</v>
      </c>
      <c r="F620">
        <v>2</v>
      </c>
      <c r="G620" t="s">
        <v>39</v>
      </c>
      <c r="H620" t="s">
        <v>48</v>
      </c>
      <c r="I620" t="s">
        <v>34</v>
      </c>
      <c r="J620" t="s">
        <v>40</v>
      </c>
      <c r="K620" t="s">
        <v>31</v>
      </c>
      <c r="L620" t="s">
        <v>41</v>
      </c>
      <c r="M620" t="s">
        <v>34</v>
      </c>
      <c r="N620" t="s">
        <v>32</v>
      </c>
      <c r="O620">
        <v>3424</v>
      </c>
      <c r="P620">
        <v>7</v>
      </c>
      <c r="Q620" t="s">
        <v>36</v>
      </c>
      <c r="R620">
        <v>13</v>
      </c>
      <c r="S620" t="s">
        <v>33</v>
      </c>
      <c r="T620" t="s">
        <v>29</v>
      </c>
      <c r="U620">
        <v>3</v>
      </c>
      <c r="V620" t="s">
        <v>49</v>
      </c>
      <c r="W620" t="str">
        <f>IF(HR_Data[[#This Row],[age]]&lt;25,"Under 25",IF(HR_Data[[#This Row],[age]]&lt;35,"25-34",IF(HR_Data[[#This Row],[age]]&lt;45,"35-44",IF(HR_Data[[#This Row],[age]]&lt;55,"45-54","55+"))))</f>
        <v>25-34</v>
      </c>
      <c r="X620" t="str">
        <f t="shared" si="9"/>
        <v>3,000-4,999</v>
      </c>
    </row>
    <row r="621" spans="1:24" x14ac:dyDescent="0.3">
      <c r="A621">
        <v>855</v>
      </c>
      <c r="B621">
        <v>33</v>
      </c>
      <c r="C621" t="s">
        <v>36</v>
      </c>
      <c r="D621" t="s">
        <v>23</v>
      </c>
      <c r="E621" t="s">
        <v>24</v>
      </c>
      <c r="F621">
        <v>1</v>
      </c>
      <c r="G621" t="s">
        <v>50</v>
      </c>
      <c r="H621" t="s">
        <v>48</v>
      </c>
      <c r="I621" t="s">
        <v>34</v>
      </c>
      <c r="J621" t="s">
        <v>40</v>
      </c>
      <c r="K621" t="s">
        <v>31</v>
      </c>
      <c r="L621" t="s">
        <v>30</v>
      </c>
      <c r="M621" t="s">
        <v>34</v>
      </c>
      <c r="N621" t="s">
        <v>51</v>
      </c>
      <c r="O621">
        <v>4037</v>
      </c>
      <c r="P621">
        <v>1</v>
      </c>
      <c r="Q621" t="s">
        <v>36</v>
      </c>
      <c r="R621">
        <v>22</v>
      </c>
      <c r="S621" t="s">
        <v>43</v>
      </c>
      <c r="T621" t="s">
        <v>34</v>
      </c>
      <c r="U621">
        <v>5</v>
      </c>
      <c r="V621" t="s">
        <v>44</v>
      </c>
      <c r="W621" t="str">
        <f>IF(HR_Data[[#This Row],[age]]&lt;25,"Under 25",IF(HR_Data[[#This Row],[age]]&lt;35,"25-34",IF(HR_Data[[#This Row],[age]]&lt;45,"35-44",IF(HR_Data[[#This Row],[age]]&lt;55,"45-54","55+"))))</f>
        <v>25-34</v>
      </c>
      <c r="X621" t="str">
        <f t="shared" si="9"/>
        <v>3,000-4,999</v>
      </c>
    </row>
    <row r="622" spans="1:24" x14ac:dyDescent="0.3">
      <c r="A622">
        <v>856</v>
      </c>
      <c r="B622">
        <v>35</v>
      </c>
      <c r="C622" t="s">
        <v>36</v>
      </c>
      <c r="D622" t="s">
        <v>23</v>
      </c>
      <c r="E622" t="s">
        <v>38</v>
      </c>
      <c r="F622">
        <v>27</v>
      </c>
      <c r="G622" t="s">
        <v>39</v>
      </c>
      <c r="H622" t="s">
        <v>48</v>
      </c>
      <c r="I622" t="s">
        <v>29</v>
      </c>
      <c r="J622" t="s">
        <v>28</v>
      </c>
      <c r="K622" t="s">
        <v>27</v>
      </c>
      <c r="L622" t="s">
        <v>41</v>
      </c>
      <c r="M622" t="s">
        <v>34</v>
      </c>
      <c r="N622" t="s">
        <v>32</v>
      </c>
      <c r="O622">
        <v>2559</v>
      </c>
      <c r="P622">
        <v>1</v>
      </c>
      <c r="Q622" t="s">
        <v>36</v>
      </c>
      <c r="R622">
        <v>11</v>
      </c>
      <c r="S622" t="s">
        <v>33</v>
      </c>
      <c r="T622" t="s">
        <v>31</v>
      </c>
      <c r="U622">
        <v>3</v>
      </c>
      <c r="V622" t="s">
        <v>49</v>
      </c>
      <c r="W622" t="str">
        <f>IF(HR_Data[[#This Row],[age]]&lt;25,"Under 25",IF(HR_Data[[#This Row],[age]]&lt;35,"25-34",IF(HR_Data[[#This Row],[age]]&lt;45,"35-44",IF(HR_Data[[#This Row],[age]]&lt;55,"45-54","55+"))))</f>
        <v>35-44</v>
      </c>
      <c r="X622" t="str">
        <f t="shared" si="9"/>
        <v>Below 3,000</v>
      </c>
    </row>
    <row r="623" spans="1:24" x14ac:dyDescent="0.3">
      <c r="A623">
        <v>857</v>
      </c>
      <c r="B623">
        <v>36</v>
      </c>
      <c r="C623" t="s">
        <v>36</v>
      </c>
      <c r="D623" t="s">
        <v>23</v>
      </c>
      <c r="E623" t="s">
        <v>24</v>
      </c>
      <c r="F623">
        <v>1</v>
      </c>
      <c r="G623" t="s">
        <v>25</v>
      </c>
      <c r="H623" t="s">
        <v>26</v>
      </c>
      <c r="I623" t="s">
        <v>27</v>
      </c>
      <c r="J623" t="s">
        <v>40</v>
      </c>
      <c r="K623" t="s">
        <v>29</v>
      </c>
      <c r="L623" t="s">
        <v>30</v>
      </c>
      <c r="M623" t="s">
        <v>31</v>
      </c>
      <c r="N623" t="s">
        <v>42</v>
      </c>
      <c r="O623">
        <v>6201</v>
      </c>
      <c r="P623">
        <v>1</v>
      </c>
      <c r="Q623" t="s">
        <v>22</v>
      </c>
      <c r="R623">
        <v>14</v>
      </c>
      <c r="S623" t="s">
        <v>33</v>
      </c>
      <c r="T623" t="s">
        <v>31</v>
      </c>
      <c r="U623">
        <v>1</v>
      </c>
      <c r="V623" t="s">
        <v>49</v>
      </c>
      <c r="W623" t="str">
        <f>IF(HR_Data[[#This Row],[age]]&lt;25,"Under 25",IF(HR_Data[[#This Row],[age]]&lt;35,"25-34",IF(HR_Data[[#This Row],[age]]&lt;45,"35-44",IF(HR_Data[[#This Row],[age]]&lt;55,"45-54","55+"))))</f>
        <v>35-44</v>
      </c>
      <c r="X623" t="str">
        <f t="shared" si="9"/>
        <v>5,000-7,999</v>
      </c>
    </row>
    <row r="624" spans="1:24" x14ac:dyDescent="0.3">
      <c r="A624">
        <v>859</v>
      </c>
      <c r="B624">
        <v>32</v>
      </c>
      <c r="C624" t="s">
        <v>36</v>
      </c>
      <c r="D624" t="s">
        <v>23</v>
      </c>
      <c r="E624" t="s">
        <v>24</v>
      </c>
      <c r="F624">
        <v>13</v>
      </c>
      <c r="G624" t="s">
        <v>47</v>
      </c>
      <c r="H624" t="s">
        <v>26</v>
      </c>
      <c r="I624" t="s">
        <v>27</v>
      </c>
      <c r="J624" t="s">
        <v>40</v>
      </c>
      <c r="K624" t="s">
        <v>29</v>
      </c>
      <c r="L624" t="s">
        <v>30</v>
      </c>
      <c r="M624" t="s">
        <v>31</v>
      </c>
      <c r="N624" t="s">
        <v>51</v>
      </c>
      <c r="O624">
        <v>4403</v>
      </c>
      <c r="P624">
        <v>2</v>
      </c>
      <c r="Q624" t="s">
        <v>36</v>
      </c>
      <c r="R624">
        <v>11</v>
      </c>
      <c r="S624" t="s">
        <v>33</v>
      </c>
      <c r="T624" t="s">
        <v>29</v>
      </c>
      <c r="U624">
        <v>3</v>
      </c>
      <c r="V624" t="s">
        <v>49</v>
      </c>
      <c r="W624" t="str">
        <f>IF(HR_Data[[#This Row],[age]]&lt;25,"Under 25",IF(HR_Data[[#This Row],[age]]&lt;35,"25-34",IF(HR_Data[[#This Row],[age]]&lt;45,"35-44",IF(HR_Data[[#This Row],[age]]&lt;55,"45-54","55+"))))</f>
        <v>25-34</v>
      </c>
      <c r="X624" t="str">
        <f t="shared" si="9"/>
        <v>3,000-4,999</v>
      </c>
    </row>
    <row r="625" spans="1:24" x14ac:dyDescent="0.3">
      <c r="A625">
        <v>861</v>
      </c>
      <c r="B625">
        <v>30</v>
      </c>
      <c r="C625" t="s">
        <v>36</v>
      </c>
      <c r="D625" t="s">
        <v>37</v>
      </c>
      <c r="E625" t="s">
        <v>38</v>
      </c>
      <c r="F625">
        <v>5</v>
      </c>
      <c r="G625" t="s">
        <v>47</v>
      </c>
      <c r="H625" t="s">
        <v>26</v>
      </c>
      <c r="I625" t="s">
        <v>27</v>
      </c>
      <c r="J625" t="s">
        <v>40</v>
      </c>
      <c r="K625" t="s">
        <v>27</v>
      </c>
      <c r="L625" t="s">
        <v>41</v>
      </c>
      <c r="M625" t="s">
        <v>31</v>
      </c>
      <c r="N625" t="s">
        <v>51</v>
      </c>
      <c r="O625">
        <v>3761</v>
      </c>
      <c r="P625">
        <v>9</v>
      </c>
      <c r="Q625" t="s">
        <v>36</v>
      </c>
      <c r="R625">
        <v>12</v>
      </c>
      <c r="S625" t="s">
        <v>33</v>
      </c>
      <c r="T625" t="s">
        <v>27</v>
      </c>
      <c r="U625">
        <v>3</v>
      </c>
      <c r="V625" t="s">
        <v>49</v>
      </c>
      <c r="W625" t="str">
        <f>IF(HR_Data[[#This Row],[age]]&lt;25,"Under 25",IF(HR_Data[[#This Row],[age]]&lt;35,"25-34",IF(HR_Data[[#This Row],[age]]&lt;45,"35-44",IF(HR_Data[[#This Row],[age]]&lt;55,"45-54","55+"))))</f>
        <v>25-34</v>
      </c>
      <c r="X625" t="str">
        <f t="shared" si="9"/>
        <v>3,000-4,999</v>
      </c>
    </row>
    <row r="626" spans="1:24" x14ac:dyDescent="0.3">
      <c r="A626">
        <v>862</v>
      </c>
      <c r="B626">
        <v>53</v>
      </c>
      <c r="C626" t="s">
        <v>36</v>
      </c>
      <c r="D626" t="s">
        <v>23</v>
      </c>
      <c r="E626" t="s">
        <v>24</v>
      </c>
      <c r="F626">
        <v>7</v>
      </c>
      <c r="G626" t="s">
        <v>25</v>
      </c>
      <c r="H626" t="s">
        <v>58</v>
      </c>
      <c r="I626" t="s">
        <v>34</v>
      </c>
      <c r="J626" t="s">
        <v>28</v>
      </c>
      <c r="K626" t="s">
        <v>27</v>
      </c>
      <c r="L626" t="s">
        <v>30</v>
      </c>
      <c r="M626" t="s">
        <v>31</v>
      </c>
      <c r="N626" t="s">
        <v>42</v>
      </c>
      <c r="O626">
        <v>10934</v>
      </c>
      <c r="P626">
        <v>7</v>
      </c>
      <c r="Q626" t="s">
        <v>22</v>
      </c>
      <c r="R626">
        <v>18</v>
      </c>
      <c r="S626" t="s">
        <v>33</v>
      </c>
      <c r="T626" t="s">
        <v>31</v>
      </c>
      <c r="U626">
        <v>3</v>
      </c>
      <c r="V626" t="s">
        <v>44</v>
      </c>
      <c r="W626" t="str">
        <f>IF(HR_Data[[#This Row],[age]]&lt;25,"Under 25",IF(HR_Data[[#This Row],[age]]&lt;35,"25-34",IF(HR_Data[[#This Row],[age]]&lt;45,"35-44",IF(HR_Data[[#This Row],[age]]&lt;55,"45-54","55+"))))</f>
        <v>45-54</v>
      </c>
      <c r="X626" t="str">
        <f t="shared" si="9"/>
        <v>8,000+</v>
      </c>
    </row>
    <row r="627" spans="1:24" x14ac:dyDescent="0.3">
      <c r="A627">
        <v>864</v>
      </c>
      <c r="B627">
        <v>45</v>
      </c>
      <c r="C627" t="s">
        <v>36</v>
      </c>
      <c r="D627" t="s">
        <v>23</v>
      </c>
      <c r="E627" t="s">
        <v>24</v>
      </c>
      <c r="F627">
        <v>9</v>
      </c>
      <c r="G627" t="s">
        <v>50</v>
      </c>
      <c r="H627" t="s">
        <v>58</v>
      </c>
      <c r="I627" t="s">
        <v>31</v>
      </c>
      <c r="J627" t="s">
        <v>40</v>
      </c>
      <c r="K627" t="s">
        <v>29</v>
      </c>
      <c r="L627" t="s">
        <v>30</v>
      </c>
      <c r="M627" t="s">
        <v>34</v>
      </c>
      <c r="N627" t="s">
        <v>51</v>
      </c>
      <c r="O627">
        <v>10761</v>
      </c>
      <c r="P627">
        <v>4</v>
      </c>
      <c r="Q627" t="s">
        <v>22</v>
      </c>
      <c r="R627">
        <v>12</v>
      </c>
      <c r="S627" t="s">
        <v>33</v>
      </c>
      <c r="T627" t="s">
        <v>29</v>
      </c>
      <c r="U627">
        <v>2</v>
      </c>
      <c r="V627" t="s">
        <v>44</v>
      </c>
      <c r="W627" t="str">
        <f>IF(HR_Data[[#This Row],[age]]&lt;25,"Under 25",IF(HR_Data[[#This Row],[age]]&lt;35,"25-34",IF(HR_Data[[#This Row],[age]]&lt;45,"35-44",IF(HR_Data[[#This Row],[age]]&lt;55,"45-54","55+"))))</f>
        <v>45-54</v>
      </c>
      <c r="X627" t="str">
        <f t="shared" si="9"/>
        <v>8,000+</v>
      </c>
    </row>
    <row r="628" spans="1:24" x14ac:dyDescent="0.3">
      <c r="A628">
        <v>865</v>
      </c>
      <c r="B628">
        <v>32</v>
      </c>
      <c r="C628" t="s">
        <v>36</v>
      </c>
      <c r="D628" t="s">
        <v>23</v>
      </c>
      <c r="E628" t="s">
        <v>38</v>
      </c>
      <c r="F628">
        <v>8</v>
      </c>
      <c r="G628" t="s">
        <v>25</v>
      </c>
      <c r="H628" t="s">
        <v>48</v>
      </c>
      <c r="I628" t="s">
        <v>29</v>
      </c>
      <c r="J628" t="s">
        <v>28</v>
      </c>
      <c r="K628" t="s">
        <v>31</v>
      </c>
      <c r="L628" t="s">
        <v>41</v>
      </c>
      <c r="M628" t="s">
        <v>29</v>
      </c>
      <c r="N628" t="s">
        <v>42</v>
      </c>
      <c r="O628">
        <v>5175</v>
      </c>
      <c r="P628">
        <v>5</v>
      </c>
      <c r="Q628" t="s">
        <v>36</v>
      </c>
      <c r="R628">
        <v>12</v>
      </c>
      <c r="S628" t="s">
        <v>33</v>
      </c>
      <c r="T628" t="s">
        <v>29</v>
      </c>
      <c r="U628">
        <v>3</v>
      </c>
      <c r="V628" t="s">
        <v>49</v>
      </c>
      <c r="W628" t="str">
        <f>IF(HR_Data[[#This Row],[age]]&lt;25,"Under 25",IF(HR_Data[[#This Row],[age]]&lt;35,"25-34",IF(HR_Data[[#This Row],[age]]&lt;45,"35-44",IF(HR_Data[[#This Row],[age]]&lt;55,"45-54","55+"))))</f>
        <v>25-34</v>
      </c>
      <c r="X628" t="str">
        <f t="shared" si="9"/>
        <v>5,000-7,999</v>
      </c>
    </row>
    <row r="629" spans="1:24" x14ac:dyDescent="0.3">
      <c r="A629">
        <v>867</v>
      </c>
      <c r="B629">
        <v>52</v>
      </c>
      <c r="C629" t="s">
        <v>36</v>
      </c>
      <c r="D629" t="s">
        <v>37</v>
      </c>
      <c r="E629" t="s">
        <v>38</v>
      </c>
      <c r="F629">
        <v>25</v>
      </c>
      <c r="G629" t="s">
        <v>47</v>
      </c>
      <c r="H629" t="s">
        <v>48</v>
      </c>
      <c r="I629" t="s">
        <v>29</v>
      </c>
      <c r="J629" t="s">
        <v>28</v>
      </c>
      <c r="K629" t="s">
        <v>27</v>
      </c>
      <c r="L629" t="s">
        <v>52</v>
      </c>
      <c r="M629" t="s">
        <v>31</v>
      </c>
      <c r="N629" t="s">
        <v>42</v>
      </c>
      <c r="O629">
        <v>13826</v>
      </c>
      <c r="P629">
        <v>3</v>
      </c>
      <c r="Q629" t="s">
        <v>36</v>
      </c>
      <c r="R629">
        <v>22</v>
      </c>
      <c r="S629" t="s">
        <v>43</v>
      </c>
      <c r="T629" t="s">
        <v>29</v>
      </c>
      <c r="U629">
        <v>3</v>
      </c>
      <c r="V629" t="s">
        <v>44</v>
      </c>
      <c r="W629" t="str">
        <f>IF(HR_Data[[#This Row],[age]]&lt;25,"Under 25",IF(HR_Data[[#This Row],[age]]&lt;35,"25-34",IF(HR_Data[[#This Row],[age]]&lt;45,"35-44",IF(HR_Data[[#This Row],[age]]&lt;55,"45-54","55+"))))</f>
        <v>45-54</v>
      </c>
      <c r="X629" t="str">
        <f t="shared" si="9"/>
        <v>8,000+</v>
      </c>
    </row>
    <row r="630" spans="1:24" x14ac:dyDescent="0.3">
      <c r="A630">
        <v>868</v>
      </c>
      <c r="B630">
        <v>37</v>
      </c>
      <c r="C630" t="s">
        <v>36</v>
      </c>
      <c r="D630" t="s">
        <v>23</v>
      </c>
      <c r="E630" t="s">
        <v>24</v>
      </c>
      <c r="F630">
        <v>16</v>
      </c>
      <c r="G630" t="s">
        <v>47</v>
      </c>
      <c r="H630" t="s">
        <v>58</v>
      </c>
      <c r="I630" t="s">
        <v>31</v>
      </c>
      <c r="J630" t="s">
        <v>40</v>
      </c>
      <c r="K630" t="s">
        <v>27</v>
      </c>
      <c r="L630" t="s">
        <v>30</v>
      </c>
      <c r="M630" t="s">
        <v>29</v>
      </c>
      <c r="N630" t="s">
        <v>51</v>
      </c>
      <c r="O630">
        <v>6334</v>
      </c>
      <c r="P630">
        <v>4</v>
      </c>
      <c r="Q630" t="s">
        <v>36</v>
      </c>
      <c r="R630">
        <v>19</v>
      </c>
      <c r="S630" t="s">
        <v>33</v>
      </c>
      <c r="T630" t="s">
        <v>31</v>
      </c>
      <c r="U630">
        <v>2</v>
      </c>
      <c r="V630" t="s">
        <v>44</v>
      </c>
      <c r="W630" t="str">
        <f>IF(HR_Data[[#This Row],[age]]&lt;25,"Under 25",IF(HR_Data[[#This Row],[age]]&lt;35,"25-34",IF(HR_Data[[#This Row],[age]]&lt;45,"35-44",IF(HR_Data[[#This Row],[age]]&lt;55,"45-54","55+"))))</f>
        <v>35-44</v>
      </c>
      <c r="X630" t="str">
        <f t="shared" si="9"/>
        <v>5,000-7,999</v>
      </c>
    </row>
    <row r="631" spans="1:24" x14ac:dyDescent="0.3">
      <c r="A631">
        <v>869</v>
      </c>
      <c r="B631">
        <v>28</v>
      </c>
      <c r="C631" t="s">
        <v>36</v>
      </c>
      <c r="D631" t="s">
        <v>23</v>
      </c>
      <c r="E631" t="s">
        <v>62</v>
      </c>
      <c r="F631">
        <v>8</v>
      </c>
      <c r="G631" t="s">
        <v>25</v>
      </c>
      <c r="H631" t="s">
        <v>48</v>
      </c>
      <c r="I631" t="s">
        <v>27</v>
      </c>
      <c r="J631" t="s">
        <v>40</v>
      </c>
      <c r="K631" t="s">
        <v>27</v>
      </c>
      <c r="L631" t="s">
        <v>62</v>
      </c>
      <c r="M631" t="s">
        <v>31</v>
      </c>
      <c r="N631" t="s">
        <v>51</v>
      </c>
      <c r="O631">
        <v>4936</v>
      </c>
      <c r="P631">
        <v>1</v>
      </c>
      <c r="Q631" t="s">
        <v>36</v>
      </c>
      <c r="R631">
        <v>13</v>
      </c>
      <c r="S631" t="s">
        <v>33</v>
      </c>
      <c r="T631" t="s">
        <v>31</v>
      </c>
      <c r="U631">
        <v>6</v>
      </c>
      <c r="V631" t="s">
        <v>44</v>
      </c>
      <c r="W631" t="str">
        <f>IF(HR_Data[[#This Row],[age]]&lt;25,"Under 25",IF(HR_Data[[#This Row],[age]]&lt;35,"25-34",IF(HR_Data[[#This Row],[age]]&lt;45,"35-44",IF(HR_Data[[#This Row],[age]]&lt;55,"45-54","55+"))))</f>
        <v>25-34</v>
      </c>
      <c r="X631" t="str">
        <f t="shared" si="9"/>
        <v>3,000-4,999</v>
      </c>
    </row>
    <row r="632" spans="1:24" x14ac:dyDescent="0.3">
      <c r="A632">
        <v>872</v>
      </c>
      <c r="B632">
        <v>22</v>
      </c>
      <c r="C632" t="s">
        <v>36</v>
      </c>
      <c r="D632" t="s">
        <v>23</v>
      </c>
      <c r="E632" t="s">
        <v>38</v>
      </c>
      <c r="F632">
        <v>1</v>
      </c>
      <c r="G632" t="s">
        <v>25</v>
      </c>
      <c r="H632" t="s">
        <v>26</v>
      </c>
      <c r="I632" t="s">
        <v>31</v>
      </c>
      <c r="J632" t="s">
        <v>40</v>
      </c>
      <c r="K632" t="s">
        <v>27</v>
      </c>
      <c r="L632" t="s">
        <v>52</v>
      </c>
      <c r="M632" t="s">
        <v>31</v>
      </c>
      <c r="N632" t="s">
        <v>42</v>
      </c>
      <c r="O632">
        <v>4775</v>
      </c>
      <c r="P632">
        <v>6</v>
      </c>
      <c r="Q632" t="s">
        <v>36</v>
      </c>
      <c r="R632">
        <v>22</v>
      </c>
      <c r="S632" t="s">
        <v>43</v>
      </c>
      <c r="T632" t="s">
        <v>34</v>
      </c>
      <c r="U632">
        <v>2</v>
      </c>
      <c r="V632" t="s">
        <v>35</v>
      </c>
      <c r="W632" t="str">
        <f>IF(HR_Data[[#This Row],[age]]&lt;25,"Under 25",IF(HR_Data[[#This Row],[age]]&lt;35,"25-34",IF(HR_Data[[#This Row],[age]]&lt;45,"35-44",IF(HR_Data[[#This Row],[age]]&lt;55,"45-54","55+"))))</f>
        <v>Under 25</v>
      </c>
      <c r="X632" t="str">
        <f t="shared" si="9"/>
        <v>3,000-4,999</v>
      </c>
    </row>
    <row r="633" spans="1:24" x14ac:dyDescent="0.3">
      <c r="A633">
        <v>874</v>
      </c>
      <c r="B633">
        <v>44</v>
      </c>
      <c r="C633" t="s">
        <v>36</v>
      </c>
      <c r="D633" t="s">
        <v>23</v>
      </c>
      <c r="E633" t="s">
        <v>38</v>
      </c>
      <c r="F633">
        <v>8</v>
      </c>
      <c r="G633" t="s">
        <v>47</v>
      </c>
      <c r="H633" t="s">
        <v>26</v>
      </c>
      <c r="I633" t="s">
        <v>34</v>
      </c>
      <c r="J633" t="s">
        <v>40</v>
      </c>
      <c r="K633" t="s">
        <v>31</v>
      </c>
      <c r="L633" t="s">
        <v>46</v>
      </c>
      <c r="M633" t="s">
        <v>31</v>
      </c>
      <c r="N633" t="s">
        <v>42</v>
      </c>
      <c r="O633">
        <v>2818</v>
      </c>
      <c r="P633">
        <v>2</v>
      </c>
      <c r="Q633" t="s">
        <v>22</v>
      </c>
      <c r="R633">
        <v>24</v>
      </c>
      <c r="S633" t="s">
        <v>43</v>
      </c>
      <c r="T633" t="s">
        <v>29</v>
      </c>
      <c r="U633">
        <v>2</v>
      </c>
      <c r="V633" t="s">
        <v>49</v>
      </c>
      <c r="W633" t="str">
        <f>IF(HR_Data[[#This Row],[age]]&lt;25,"Under 25",IF(HR_Data[[#This Row],[age]]&lt;35,"25-34",IF(HR_Data[[#This Row],[age]]&lt;45,"35-44",IF(HR_Data[[#This Row],[age]]&lt;55,"45-54","55+"))))</f>
        <v>35-44</v>
      </c>
      <c r="X633" t="str">
        <f t="shared" si="9"/>
        <v>Below 3,000</v>
      </c>
    </row>
    <row r="634" spans="1:24" x14ac:dyDescent="0.3">
      <c r="A634">
        <v>875</v>
      </c>
      <c r="B634">
        <v>42</v>
      </c>
      <c r="C634" t="s">
        <v>36</v>
      </c>
      <c r="D634" t="s">
        <v>37</v>
      </c>
      <c r="E634" t="s">
        <v>38</v>
      </c>
      <c r="F634">
        <v>2</v>
      </c>
      <c r="G634" t="s">
        <v>39</v>
      </c>
      <c r="H634" t="s">
        <v>48</v>
      </c>
      <c r="I634" t="s">
        <v>27</v>
      </c>
      <c r="J634" t="s">
        <v>40</v>
      </c>
      <c r="K634" t="s">
        <v>29</v>
      </c>
      <c r="L634" t="s">
        <v>41</v>
      </c>
      <c r="M634" t="s">
        <v>31</v>
      </c>
      <c r="N634" t="s">
        <v>32</v>
      </c>
      <c r="O634">
        <v>2515</v>
      </c>
      <c r="P634">
        <v>5</v>
      </c>
      <c r="Q634" t="s">
        <v>22</v>
      </c>
      <c r="R634">
        <v>14</v>
      </c>
      <c r="S634" t="s">
        <v>33</v>
      </c>
      <c r="T634" t="s">
        <v>31</v>
      </c>
      <c r="U634">
        <v>2</v>
      </c>
      <c r="V634" t="s">
        <v>44</v>
      </c>
      <c r="W634" t="str">
        <f>IF(HR_Data[[#This Row],[age]]&lt;25,"Under 25",IF(HR_Data[[#This Row],[age]]&lt;35,"25-34",IF(HR_Data[[#This Row],[age]]&lt;45,"35-44",IF(HR_Data[[#This Row],[age]]&lt;55,"45-54","55+"))))</f>
        <v>35-44</v>
      </c>
      <c r="X634" t="str">
        <f t="shared" si="9"/>
        <v>Below 3,000</v>
      </c>
    </row>
    <row r="635" spans="1:24" x14ac:dyDescent="0.3">
      <c r="A635">
        <v>878</v>
      </c>
      <c r="B635">
        <v>36</v>
      </c>
      <c r="C635" t="s">
        <v>36</v>
      </c>
      <c r="D635" t="s">
        <v>23</v>
      </c>
      <c r="E635" t="s">
        <v>62</v>
      </c>
      <c r="F635">
        <v>8</v>
      </c>
      <c r="G635" t="s">
        <v>50</v>
      </c>
      <c r="H635" t="s">
        <v>26</v>
      </c>
      <c r="I635" t="s">
        <v>34</v>
      </c>
      <c r="J635" t="s">
        <v>40</v>
      </c>
      <c r="K635" t="s">
        <v>27</v>
      </c>
      <c r="L635" t="s">
        <v>62</v>
      </c>
      <c r="M635" t="s">
        <v>34</v>
      </c>
      <c r="N635" t="s">
        <v>42</v>
      </c>
      <c r="O635">
        <v>2342</v>
      </c>
      <c r="P635">
        <v>0</v>
      </c>
      <c r="Q635" t="s">
        <v>36</v>
      </c>
      <c r="R635">
        <v>21</v>
      </c>
      <c r="S635" t="s">
        <v>43</v>
      </c>
      <c r="T635" t="s">
        <v>29</v>
      </c>
      <c r="U635">
        <v>3</v>
      </c>
      <c r="V635" t="s">
        <v>44</v>
      </c>
      <c r="W635" t="str">
        <f>IF(HR_Data[[#This Row],[age]]&lt;25,"Under 25",IF(HR_Data[[#This Row],[age]]&lt;35,"25-34",IF(HR_Data[[#This Row],[age]]&lt;45,"35-44",IF(HR_Data[[#This Row],[age]]&lt;55,"45-54","55+"))))</f>
        <v>35-44</v>
      </c>
      <c r="X635" t="str">
        <f t="shared" si="9"/>
        <v>Below 3,000</v>
      </c>
    </row>
    <row r="636" spans="1:24" x14ac:dyDescent="0.3">
      <c r="A636">
        <v>879</v>
      </c>
      <c r="B636">
        <v>25</v>
      </c>
      <c r="C636" t="s">
        <v>36</v>
      </c>
      <c r="D636" t="s">
        <v>23</v>
      </c>
      <c r="E636" t="s">
        <v>24</v>
      </c>
      <c r="F636">
        <v>3</v>
      </c>
      <c r="G636" t="s">
        <v>39</v>
      </c>
      <c r="H636" t="s">
        <v>45</v>
      </c>
      <c r="I636" t="s">
        <v>29</v>
      </c>
      <c r="J636" t="s">
        <v>40</v>
      </c>
      <c r="K636" t="s">
        <v>29</v>
      </c>
      <c r="L636" t="s">
        <v>30</v>
      </c>
      <c r="M636" t="s">
        <v>34</v>
      </c>
      <c r="N636" t="s">
        <v>42</v>
      </c>
      <c r="O636">
        <v>4194</v>
      </c>
      <c r="P636">
        <v>1</v>
      </c>
      <c r="Q636" t="s">
        <v>22</v>
      </c>
      <c r="R636">
        <v>18</v>
      </c>
      <c r="S636" t="s">
        <v>33</v>
      </c>
      <c r="T636" t="s">
        <v>31</v>
      </c>
      <c r="U636">
        <v>3</v>
      </c>
      <c r="V636" t="s">
        <v>44</v>
      </c>
      <c r="W636" t="str">
        <f>IF(HR_Data[[#This Row],[age]]&lt;25,"Under 25",IF(HR_Data[[#This Row],[age]]&lt;35,"25-34",IF(HR_Data[[#This Row],[age]]&lt;45,"35-44",IF(HR_Data[[#This Row],[age]]&lt;55,"45-54","55+"))))</f>
        <v>25-34</v>
      </c>
      <c r="X636" t="str">
        <f t="shared" si="9"/>
        <v>3,000-4,999</v>
      </c>
    </row>
    <row r="637" spans="1:24" x14ac:dyDescent="0.3">
      <c r="A637">
        <v>880</v>
      </c>
      <c r="B637">
        <v>35</v>
      </c>
      <c r="C637" t="s">
        <v>36</v>
      </c>
      <c r="D637" t="s">
        <v>23</v>
      </c>
      <c r="E637" t="s">
        <v>38</v>
      </c>
      <c r="F637">
        <v>9</v>
      </c>
      <c r="G637" t="s">
        <v>50</v>
      </c>
      <c r="H637" t="s">
        <v>26</v>
      </c>
      <c r="I637" t="s">
        <v>31</v>
      </c>
      <c r="J637" t="s">
        <v>28</v>
      </c>
      <c r="K637" t="s">
        <v>27</v>
      </c>
      <c r="L637" t="s">
        <v>52</v>
      </c>
      <c r="M637" t="s">
        <v>29</v>
      </c>
      <c r="N637" t="s">
        <v>42</v>
      </c>
      <c r="O637">
        <v>10685</v>
      </c>
      <c r="P637">
        <v>1</v>
      </c>
      <c r="Q637" t="s">
        <v>22</v>
      </c>
      <c r="R637">
        <v>20</v>
      </c>
      <c r="S637" t="s">
        <v>43</v>
      </c>
      <c r="T637" t="s">
        <v>27</v>
      </c>
      <c r="U637">
        <v>2</v>
      </c>
      <c r="V637" t="s">
        <v>44</v>
      </c>
      <c r="W637" t="str">
        <f>IF(HR_Data[[#This Row],[age]]&lt;25,"Under 25",IF(HR_Data[[#This Row],[age]]&lt;35,"25-34",IF(HR_Data[[#This Row],[age]]&lt;45,"35-44",IF(HR_Data[[#This Row],[age]]&lt;55,"45-54","55+"))))</f>
        <v>35-44</v>
      </c>
      <c r="X637" t="str">
        <f t="shared" si="9"/>
        <v>8,000+</v>
      </c>
    </row>
    <row r="638" spans="1:24" x14ac:dyDescent="0.3">
      <c r="A638">
        <v>881</v>
      </c>
      <c r="B638">
        <v>35</v>
      </c>
      <c r="C638" t="s">
        <v>22</v>
      </c>
      <c r="D638" t="s">
        <v>37</v>
      </c>
      <c r="E638" t="s">
        <v>38</v>
      </c>
      <c r="F638">
        <v>25</v>
      </c>
      <c r="G638" t="s">
        <v>47</v>
      </c>
      <c r="H638" t="s">
        <v>26</v>
      </c>
      <c r="I638" t="s">
        <v>31</v>
      </c>
      <c r="J638" t="s">
        <v>28</v>
      </c>
      <c r="K638" t="s">
        <v>29</v>
      </c>
      <c r="L638" t="s">
        <v>41</v>
      </c>
      <c r="M638" t="s">
        <v>27</v>
      </c>
      <c r="N638" t="s">
        <v>51</v>
      </c>
      <c r="O638">
        <v>2022</v>
      </c>
      <c r="P638">
        <v>1</v>
      </c>
      <c r="Q638" t="s">
        <v>22</v>
      </c>
      <c r="R638">
        <v>19</v>
      </c>
      <c r="S638" t="s">
        <v>33</v>
      </c>
      <c r="T638" t="s">
        <v>34</v>
      </c>
      <c r="U638">
        <v>3</v>
      </c>
      <c r="V638" t="s">
        <v>49</v>
      </c>
      <c r="W638" t="str">
        <f>IF(HR_Data[[#This Row],[age]]&lt;25,"Under 25",IF(HR_Data[[#This Row],[age]]&lt;35,"25-34",IF(HR_Data[[#This Row],[age]]&lt;45,"35-44",IF(HR_Data[[#This Row],[age]]&lt;55,"45-54","55+"))))</f>
        <v>35-44</v>
      </c>
      <c r="X638" t="str">
        <f t="shared" si="9"/>
        <v>Below 3,000</v>
      </c>
    </row>
    <row r="639" spans="1:24" x14ac:dyDescent="0.3">
      <c r="A639">
        <v>882</v>
      </c>
      <c r="B639">
        <v>32</v>
      </c>
      <c r="C639" t="s">
        <v>36</v>
      </c>
      <c r="D639" t="s">
        <v>54</v>
      </c>
      <c r="E639" t="s">
        <v>38</v>
      </c>
      <c r="F639">
        <v>1</v>
      </c>
      <c r="G639" t="s">
        <v>50</v>
      </c>
      <c r="H639" t="s">
        <v>26</v>
      </c>
      <c r="I639" t="s">
        <v>31</v>
      </c>
      <c r="J639" t="s">
        <v>40</v>
      </c>
      <c r="K639" t="s">
        <v>29</v>
      </c>
      <c r="L639" t="s">
        <v>46</v>
      </c>
      <c r="M639" t="s">
        <v>31</v>
      </c>
      <c r="N639" t="s">
        <v>51</v>
      </c>
      <c r="O639">
        <v>2314</v>
      </c>
      <c r="P639">
        <v>0</v>
      </c>
      <c r="Q639" t="s">
        <v>36</v>
      </c>
      <c r="R639">
        <v>12</v>
      </c>
      <c r="S639" t="s">
        <v>33</v>
      </c>
      <c r="T639" t="s">
        <v>27</v>
      </c>
      <c r="U639">
        <v>2</v>
      </c>
      <c r="V639" t="s">
        <v>44</v>
      </c>
      <c r="W639" t="str">
        <f>IF(HR_Data[[#This Row],[age]]&lt;25,"Under 25",IF(HR_Data[[#This Row],[age]]&lt;35,"25-34",IF(HR_Data[[#This Row],[age]]&lt;45,"35-44",IF(HR_Data[[#This Row],[age]]&lt;55,"45-54","55+"))))</f>
        <v>25-34</v>
      </c>
      <c r="X639" t="str">
        <f t="shared" si="9"/>
        <v>Below 3,000</v>
      </c>
    </row>
    <row r="640" spans="1:24" x14ac:dyDescent="0.3">
      <c r="A640">
        <v>885</v>
      </c>
      <c r="B640">
        <v>25</v>
      </c>
      <c r="C640" t="s">
        <v>36</v>
      </c>
      <c r="D640" t="s">
        <v>23</v>
      </c>
      <c r="E640" t="s">
        <v>24</v>
      </c>
      <c r="F640">
        <v>4</v>
      </c>
      <c r="G640" t="s">
        <v>39</v>
      </c>
      <c r="H640" t="s">
        <v>58</v>
      </c>
      <c r="I640" t="s">
        <v>29</v>
      </c>
      <c r="J640" t="s">
        <v>40</v>
      </c>
      <c r="K640" t="s">
        <v>27</v>
      </c>
      <c r="L640" t="s">
        <v>30</v>
      </c>
      <c r="M640" t="s">
        <v>34</v>
      </c>
      <c r="N640" t="s">
        <v>42</v>
      </c>
      <c r="O640">
        <v>4256</v>
      </c>
      <c r="P640">
        <v>1</v>
      </c>
      <c r="Q640" t="s">
        <v>36</v>
      </c>
      <c r="R640">
        <v>12</v>
      </c>
      <c r="S640" t="s">
        <v>33</v>
      </c>
      <c r="T640" t="s">
        <v>34</v>
      </c>
      <c r="U640">
        <v>1</v>
      </c>
      <c r="V640" t="s">
        <v>59</v>
      </c>
      <c r="W640" t="str">
        <f>IF(HR_Data[[#This Row],[age]]&lt;25,"Under 25",IF(HR_Data[[#This Row],[age]]&lt;35,"25-34",IF(HR_Data[[#This Row],[age]]&lt;45,"35-44",IF(HR_Data[[#This Row],[age]]&lt;55,"45-54","55+"))))</f>
        <v>25-34</v>
      </c>
      <c r="X640" t="str">
        <f t="shared" si="9"/>
        <v>3,000-4,999</v>
      </c>
    </row>
    <row r="641" spans="1:24" x14ac:dyDescent="0.3">
      <c r="A641">
        <v>887</v>
      </c>
      <c r="B641">
        <v>49</v>
      </c>
      <c r="C641" t="s">
        <v>36</v>
      </c>
      <c r="D641" t="s">
        <v>23</v>
      </c>
      <c r="E641" t="s">
        <v>38</v>
      </c>
      <c r="F641">
        <v>1</v>
      </c>
      <c r="G641" t="s">
        <v>50</v>
      </c>
      <c r="H641" t="s">
        <v>60</v>
      </c>
      <c r="I641" t="s">
        <v>29</v>
      </c>
      <c r="J641" t="s">
        <v>28</v>
      </c>
      <c r="K641" t="s">
        <v>29</v>
      </c>
      <c r="L641" t="s">
        <v>41</v>
      </c>
      <c r="M641" t="s">
        <v>34</v>
      </c>
      <c r="N641" t="s">
        <v>42</v>
      </c>
      <c r="O641">
        <v>3580</v>
      </c>
      <c r="P641">
        <v>2</v>
      </c>
      <c r="Q641" t="s">
        <v>36</v>
      </c>
      <c r="R641">
        <v>16</v>
      </c>
      <c r="S641" t="s">
        <v>33</v>
      </c>
      <c r="T641" t="s">
        <v>27</v>
      </c>
      <c r="U641">
        <v>2</v>
      </c>
      <c r="V641" t="s">
        <v>44</v>
      </c>
      <c r="W641" t="str">
        <f>IF(HR_Data[[#This Row],[age]]&lt;25,"Under 25",IF(HR_Data[[#This Row],[age]]&lt;35,"25-34",IF(HR_Data[[#This Row],[age]]&lt;45,"35-44",IF(HR_Data[[#This Row],[age]]&lt;55,"45-54","55+"))))</f>
        <v>45-54</v>
      </c>
      <c r="X641" t="str">
        <f t="shared" si="9"/>
        <v>3,000-4,999</v>
      </c>
    </row>
    <row r="642" spans="1:24" x14ac:dyDescent="0.3">
      <c r="A642">
        <v>888</v>
      </c>
      <c r="B642">
        <v>24</v>
      </c>
      <c r="C642" t="s">
        <v>36</v>
      </c>
      <c r="D642" t="s">
        <v>54</v>
      </c>
      <c r="E642" t="s">
        <v>38</v>
      </c>
      <c r="F642">
        <v>4</v>
      </c>
      <c r="G642" t="s">
        <v>39</v>
      </c>
      <c r="H642" t="s">
        <v>26</v>
      </c>
      <c r="I642" t="s">
        <v>34</v>
      </c>
      <c r="J642" t="s">
        <v>40</v>
      </c>
      <c r="K642" t="s">
        <v>27</v>
      </c>
      <c r="L642" t="s">
        <v>46</v>
      </c>
      <c r="M642" t="s">
        <v>31</v>
      </c>
      <c r="N642" t="s">
        <v>42</v>
      </c>
      <c r="O642">
        <v>3162</v>
      </c>
      <c r="P642">
        <v>0</v>
      </c>
      <c r="Q642" t="s">
        <v>36</v>
      </c>
      <c r="R642">
        <v>17</v>
      </c>
      <c r="S642" t="s">
        <v>33</v>
      </c>
      <c r="T642" t="s">
        <v>31</v>
      </c>
      <c r="U642">
        <v>2</v>
      </c>
      <c r="V642" t="s">
        <v>49</v>
      </c>
      <c r="W642" t="str">
        <f>IF(HR_Data[[#This Row],[age]]&lt;25,"Under 25",IF(HR_Data[[#This Row],[age]]&lt;35,"25-34",IF(HR_Data[[#This Row],[age]]&lt;45,"35-44",IF(HR_Data[[#This Row],[age]]&lt;55,"45-54","55+"))))</f>
        <v>Under 25</v>
      </c>
      <c r="X642" t="str">
        <f t="shared" si="9"/>
        <v>3,000-4,999</v>
      </c>
    </row>
    <row r="643" spans="1:24" x14ac:dyDescent="0.3">
      <c r="A643">
        <v>889</v>
      </c>
      <c r="B643">
        <v>32</v>
      </c>
      <c r="C643" t="s">
        <v>36</v>
      </c>
      <c r="D643" t="s">
        <v>37</v>
      </c>
      <c r="E643" t="s">
        <v>24</v>
      </c>
      <c r="F643">
        <v>5</v>
      </c>
      <c r="G643" t="s">
        <v>25</v>
      </c>
      <c r="H643" t="s">
        <v>26</v>
      </c>
      <c r="I643" t="s">
        <v>27</v>
      </c>
      <c r="J643" t="s">
        <v>40</v>
      </c>
      <c r="K643" t="s">
        <v>29</v>
      </c>
      <c r="L643" t="s">
        <v>30</v>
      </c>
      <c r="M643" t="s">
        <v>27</v>
      </c>
      <c r="N643" t="s">
        <v>42</v>
      </c>
      <c r="O643">
        <v>6524</v>
      </c>
      <c r="P643">
        <v>1</v>
      </c>
      <c r="Q643" t="s">
        <v>36</v>
      </c>
      <c r="R643">
        <v>14</v>
      </c>
      <c r="S643" t="s">
        <v>33</v>
      </c>
      <c r="T643" t="s">
        <v>31</v>
      </c>
      <c r="U643">
        <v>3</v>
      </c>
      <c r="V643" t="s">
        <v>44</v>
      </c>
      <c r="W643" t="str">
        <f>IF(HR_Data[[#This Row],[age]]&lt;25,"Under 25",IF(HR_Data[[#This Row],[age]]&lt;35,"25-34",IF(HR_Data[[#This Row],[age]]&lt;45,"35-44",IF(HR_Data[[#This Row],[age]]&lt;55,"45-54","55+"))))</f>
        <v>25-34</v>
      </c>
      <c r="X643" t="str">
        <f t="shared" ref="X643:X706" si="10">IF(O643&lt;3000,"Below 3,000",IF(O643&lt;5000,"3,000-4,999",IF(O643&lt;8000,"5,000-7,999","8,000+")))</f>
        <v>5,000-7,999</v>
      </c>
    </row>
    <row r="644" spans="1:24" x14ac:dyDescent="0.3">
      <c r="A644">
        <v>893</v>
      </c>
      <c r="B644">
        <v>38</v>
      </c>
      <c r="C644" t="s">
        <v>36</v>
      </c>
      <c r="D644" t="s">
        <v>23</v>
      </c>
      <c r="E644" t="s">
        <v>24</v>
      </c>
      <c r="F644">
        <v>9</v>
      </c>
      <c r="G644" t="s">
        <v>50</v>
      </c>
      <c r="H644" t="s">
        <v>58</v>
      </c>
      <c r="I644" t="s">
        <v>27</v>
      </c>
      <c r="J644" t="s">
        <v>40</v>
      </c>
      <c r="K644" t="s">
        <v>27</v>
      </c>
      <c r="L644" t="s">
        <v>56</v>
      </c>
      <c r="M644" t="s">
        <v>27</v>
      </c>
      <c r="N644" t="s">
        <v>42</v>
      </c>
      <c r="O644">
        <v>2899</v>
      </c>
      <c r="P644">
        <v>0</v>
      </c>
      <c r="Q644" t="s">
        <v>36</v>
      </c>
      <c r="R644">
        <v>19</v>
      </c>
      <c r="S644" t="s">
        <v>33</v>
      </c>
      <c r="T644" t="s">
        <v>31</v>
      </c>
      <c r="U644">
        <v>3</v>
      </c>
      <c r="V644" t="s">
        <v>44</v>
      </c>
      <c r="W644" t="str">
        <f>IF(HR_Data[[#This Row],[age]]&lt;25,"Under 25",IF(HR_Data[[#This Row],[age]]&lt;35,"25-34",IF(HR_Data[[#This Row],[age]]&lt;45,"35-44",IF(HR_Data[[#This Row],[age]]&lt;55,"45-54","55+"))))</f>
        <v>35-44</v>
      </c>
      <c r="X644" t="str">
        <f t="shared" si="10"/>
        <v>Below 3,000</v>
      </c>
    </row>
    <row r="645" spans="1:24" x14ac:dyDescent="0.3">
      <c r="A645">
        <v>894</v>
      </c>
      <c r="B645">
        <v>42</v>
      </c>
      <c r="C645" t="s">
        <v>36</v>
      </c>
      <c r="D645" t="s">
        <v>23</v>
      </c>
      <c r="E645" t="s">
        <v>38</v>
      </c>
      <c r="F645">
        <v>3</v>
      </c>
      <c r="G645" t="s">
        <v>50</v>
      </c>
      <c r="H645" t="s">
        <v>26</v>
      </c>
      <c r="I645" t="s">
        <v>29</v>
      </c>
      <c r="J645" t="s">
        <v>28</v>
      </c>
      <c r="K645" t="s">
        <v>31</v>
      </c>
      <c r="L645" t="s">
        <v>46</v>
      </c>
      <c r="M645" t="s">
        <v>31</v>
      </c>
      <c r="N645" t="s">
        <v>42</v>
      </c>
      <c r="O645">
        <v>5231</v>
      </c>
      <c r="P645">
        <v>2</v>
      </c>
      <c r="Q645" t="s">
        <v>22</v>
      </c>
      <c r="R645">
        <v>13</v>
      </c>
      <c r="S645" t="s">
        <v>33</v>
      </c>
      <c r="T645" t="s">
        <v>27</v>
      </c>
      <c r="U645">
        <v>1</v>
      </c>
      <c r="V645" t="s">
        <v>49</v>
      </c>
      <c r="W645" t="str">
        <f>IF(HR_Data[[#This Row],[age]]&lt;25,"Under 25",IF(HR_Data[[#This Row],[age]]&lt;35,"25-34",IF(HR_Data[[#This Row],[age]]&lt;45,"35-44",IF(HR_Data[[#This Row],[age]]&lt;55,"45-54","55+"))))</f>
        <v>35-44</v>
      </c>
      <c r="X645" t="str">
        <f t="shared" si="10"/>
        <v>5,000-7,999</v>
      </c>
    </row>
    <row r="646" spans="1:24" x14ac:dyDescent="0.3">
      <c r="A646">
        <v>895</v>
      </c>
      <c r="B646">
        <v>31</v>
      </c>
      <c r="C646" t="s">
        <v>36</v>
      </c>
      <c r="D646" t="s">
        <v>23</v>
      </c>
      <c r="E646" t="s">
        <v>38</v>
      </c>
      <c r="F646">
        <v>11</v>
      </c>
      <c r="G646" t="s">
        <v>47</v>
      </c>
      <c r="H646" t="s">
        <v>26</v>
      </c>
      <c r="I646" t="s">
        <v>31</v>
      </c>
      <c r="J646" t="s">
        <v>40</v>
      </c>
      <c r="K646" t="s">
        <v>29</v>
      </c>
      <c r="L646" t="s">
        <v>41</v>
      </c>
      <c r="M646" t="s">
        <v>31</v>
      </c>
      <c r="N646" t="s">
        <v>42</v>
      </c>
      <c r="O646">
        <v>2356</v>
      </c>
      <c r="P646">
        <v>3</v>
      </c>
      <c r="Q646" t="s">
        <v>22</v>
      </c>
      <c r="R646">
        <v>19</v>
      </c>
      <c r="S646" t="s">
        <v>33</v>
      </c>
      <c r="T646" t="s">
        <v>27</v>
      </c>
      <c r="U646">
        <v>2</v>
      </c>
      <c r="V646" t="s">
        <v>44</v>
      </c>
      <c r="W646" t="str">
        <f>IF(HR_Data[[#This Row],[age]]&lt;25,"Under 25",IF(HR_Data[[#This Row],[age]]&lt;35,"25-34",IF(HR_Data[[#This Row],[age]]&lt;45,"35-44",IF(HR_Data[[#This Row],[age]]&lt;55,"45-54","55+"))))</f>
        <v>25-34</v>
      </c>
      <c r="X646" t="str">
        <f t="shared" si="10"/>
        <v>Below 3,000</v>
      </c>
    </row>
    <row r="647" spans="1:24" x14ac:dyDescent="0.3">
      <c r="A647">
        <v>896</v>
      </c>
      <c r="B647">
        <v>29</v>
      </c>
      <c r="C647" t="s">
        <v>22</v>
      </c>
      <c r="D647" t="s">
        <v>23</v>
      </c>
      <c r="E647" t="s">
        <v>24</v>
      </c>
      <c r="F647">
        <v>1</v>
      </c>
      <c r="G647" t="s">
        <v>50</v>
      </c>
      <c r="H647" t="s">
        <v>48</v>
      </c>
      <c r="I647" t="s">
        <v>27</v>
      </c>
      <c r="J647" t="s">
        <v>28</v>
      </c>
      <c r="K647" t="s">
        <v>27</v>
      </c>
      <c r="L647" t="s">
        <v>56</v>
      </c>
      <c r="M647" t="s">
        <v>29</v>
      </c>
      <c r="N647" t="s">
        <v>51</v>
      </c>
      <c r="O647">
        <v>2800</v>
      </c>
      <c r="P647">
        <v>6</v>
      </c>
      <c r="Q647" t="s">
        <v>22</v>
      </c>
      <c r="R647">
        <v>19</v>
      </c>
      <c r="S647" t="s">
        <v>33</v>
      </c>
      <c r="T647" t="s">
        <v>29</v>
      </c>
      <c r="U647">
        <v>3</v>
      </c>
      <c r="V647" t="s">
        <v>44</v>
      </c>
      <c r="W647" t="str">
        <f>IF(HR_Data[[#This Row],[age]]&lt;25,"Under 25",IF(HR_Data[[#This Row],[age]]&lt;35,"25-34",IF(HR_Data[[#This Row],[age]]&lt;45,"35-44",IF(HR_Data[[#This Row],[age]]&lt;55,"45-54","55+"))))</f>
        <v>25-34</v>
      </c>
      <c r="X647" t="str">
        <f t="shared" si="10"/>
        <v>Below 3,000</v>
      </c>
    </row>
    <row r="648" spans="1:24" x14ac:dyDescent="0.3">
      <c r="A648">
        <v>897</v>
      </c>
      <c r="B648">
        <v>53</v>
      </c>
      <c r="C648" t="s">
        <v>36</v>
      </c>
      <c r="D648" t="s">
        <v>23</v>
      </c>
      <c r="E648" t="s">
        <v>24</v>
      </c>
      <c r="F648">
        <v>8</v>
      </c>
      <c r="G648" t="s">
        <v>50</v>
      </c>
      <c r="H648" t="s">
        <v>58</v>
      </c>
      <c r="I648" t="s">
        <v>34</v>
      </c>
      <c r="J648" t="s">
        <v>40</v>
      </c>
      <c r="K648" t="s">
        <v>29</v>
      </c>
      <c r="L648" t="s">
        <v>30</v>
      </c>
      <c r="M648" t="s">
        <v>31</v>
      </c>
      <c r="N648" t="s">
        <v>42</v>
      </c>
      <c r="O648">
        <v>11836</v>
      </c>
      <c r="P648">
        <v>5</v>
      </c>
      <c r="Q648" t="s">
        <v>36</v>
      </c>
      <c r="R648">
        <v>14</v>
      </c>
      <c r="S648" t="s">
        <v>33</v>
      </c>
      <c r="T648" t="s">
        <v>29</v>
      </c>
      <c r="U648">
        <v>3</v>
      </c>
      <c r="V648" t="s">
        <v>44</v>
      </c>
      <c r="W648" t="str">
        <f>IF(HR_Data[[#This Row],[age]]&lt;25,"Under 25",IF(HR_Data[[#This Row],[age]]&lt;35,"25-34",IF(HR_Data[[#This Row],[age]]&lt;45,"35-44",IF(HR_Data[[#This Row],[age]]&lt;55,"45-54","55+"))))</f>
        <v>45-54</v>
      </c>
      <c r="X648" t="str">
        <f t="shared" si="10"/>
        <v>8,000+</v>
      </c>
    </row>
    <row r="649" spans="1:24" x14ac:dyDescent="0.3">
      <c r="A649">
        <v>899</v>
      </c>
      <c r="B649">
        <v>35</v>
      </c>
      <c r="C649" t="s">
        <v>36</v>
      </c>
      <c r="D649" t="s">
        <v>23</v>
      </c>
      <c r="E649" t="s">
        <v>38</v>
      </c>
      <c r="F649">
        <v>25</v>
      </c>
      <c r="G649" t="s">
        <v>50</v>
      </c>
      <c r="H649" t="s">
        <v>60</v>
      </c>
      <c r="I649" t="s">
        <v>31</v>
      </c>
      <c r="J649" t="s">
        <v>40</v>
      </c>
      <c r="K649" t="s">
        <v>27</v>
      </c>
      <c r="L649" t="s">
        <v>52</v>
      </c>
      <c r="M649" t="s">
        <v>27</v>
      </c>
      <c r="N649" t="s">
        <v>42</v>
      </c>
      <c r="O649">
        <v>10903</v>
      </c>
      <c r="P649">
        <v>3</v>
      </c>
      <c r="Q649" t="s">
        <v>36</v>
      </c>
      <c r="R649">
        <v>16</v>
      </c>
      <c r="S649" t="s">
        <v>33</v>
      </c>
      <c r="T649" t="s">
        <v>34</v>
      </c>
      <c r="U649">
        <v>2</v>
      </c>
      <c r="V649" t="s">
        <v>44</v>
      </c>
      <c r="W649" t="str">
        <f>IF(HR_Data[[#This Row],[age]]&lt;25,"Under 25",IF(HR_Data[[#This Row],[age]]&lt;35,"25-34",IF(HR_Data[[#This Row],[age]]&lt;45,"35-44",IF(HR_Data[[#This Row],[age]]&lt;55,"45-54","55+"))))</f>
        <v>35-44</v>
      </c>
      <c r="X649" t="str">
        <f t="shared" si="10"/>
        <v>8,000+</v>
      </c>
    </row>
    <row r="650" spans="1:24" x14ac:dyDescent="0.3">
      <c r="A650">
        <v>900</v>
      </c>
      <c r="B650">
        <v>37</v>
      </c>
      <c r="C650" t="s">
        <v>36</v>
      </c>
      <c r="D650" t="s">
        <v>37</v>
      </c>
      <c r="E650" t="s">
        <v>24</v>
      </c>
      <c r="F650">
        <v>21</v>
      </c>
      <c r="G650" t="s">
        <v>25</v>
      </c>
      <c r="H650" t="s">
        <v>48</v>
      </c>
      <c r="I650" t="s">
        <v>29</v>
      </c>
      <c r="J650" t="s">
        <v>28</v>
      </c>
      <c r="K650" t="s">
        <v>29</v>
      </c>
      <c r="L650" t="s">
        <v>56</v>
      </c>
      <c r="M650" t="s">
        <v>31</v>
      </c>
      <c r="N650" t="s">
        <v>42</v>
      </c>
      <c r="O650">
        <v>2973</v>
      </c>
      <c r="P650">
        <v>5</v>
      </c>
      <c r="Q650" t="s">
        <v>36</v>
      </c>
      <c r="R650">
        <v>15</v>
      </c>
      <c r="S650" t="s">
        <v>33</v>
      </c>
      <c r="T650" t="s">
        <v>27</v>
      </c>
      <c r="U650">
        <v>3</v>
      </c>
      <c r="V650" t="s">
        <v>44</v>
      </c>
      <c r="W650" t="str">
        <f>IF(HR_Data[[#This Row],[age]]&lt;25,"Under 25",IF(HR_Data[[#This Row],[age]]&lt;35,"25-34",IF(HR_Data[[#This Row],[age]]&lt;45,"35-44",IF(HR_Data[[#This Row],[age]]&lt;55,"45-54","55+"))))</f>
        <v>35-44</v>
      </c>
      <c r="X650" t="str">
        <f t="shared" si="10"/>
        <v>Below 3,000</v>
      </c>
    </row>
    <row r="651" spans="1:24" x14ac:dyDescent="0.3">
      <c r="A651">
        <v>901</v>
      </c>
      <c r="B651">
        <v>53</v>
      </c>
      <c r="C651" t="s">
        <v>36</v>
      </c>
      <c r="D651" t="s">
        <v>23</v>
      </c>
      <c r="E651" t="s">
        <v>38</v>
      </c>
      <c r="F651">
        <v>23</v>
      </c>
      <c r="G651" t="s">
        <v>47</v>
      </c>
      <c r="H651" t="s">
        <v>26</v>
      </c>
      <c r="I651" t="s">
        <v>31</v>
      </c>
      <c r="J651" t="s">
        <v>28</v>
      </c>
      <c r="K651" t="s">
        <v>29</v>
      </c>
      <c r="L651" t="s">
        <v>57</v>
      </c>
      <c r="M651" t="s">
        <v>31</v>
      </c>
      <c r="N651" t="s">
        <v>32</v>
      </c>
      <c r="O651">
        <v>14275</v>
      </c>
      <c r="P651">
        <v>6</v>
      </c>
      <c r="Q651" t="s">
        <v>36</v>
      </c>
      <c r="R651">
        <v>18</v>
      </c>
      <c r="S651" t="s">
        <v>33</v>
      </c>
      <c r="T651" t="s">
        <v>29</v>
      </c>
      <c r="U651">
        <v>0</v>
      </c>
      <c r="V651" t="s">
        <v>44</v>
      </c>
      <c r="W651" t="str">
        <f>IF(HR_Data[[#This Row],[age]]&lt;25,"Under 25",IF(HR_Data[[#This Row],[age]]&lt;35,"25-34",IF(HR_Data[[#This Row],[age]]&lt;45,"35-44",IF(HR_Data[[#This Row],[age]]&lt;55,"45-54","55+"))))</f>
        <v>45-54</v>
      </c>
      <c r="X651" t="str">
        <f t="shared" si="10"/>
        <v>8,000+</v>
      </c>
    </row>
    <row r="652" spans="1:24" x14ac:dyDescent="0.3">
      <c r="A652">
        <v>902</v>
      </c>
      <c r="B652">
        <v>43</v>
      </c>
      <c r="C652" t="s">
        <v>36</v>
      </c>
      <c r="D652" t="s">
        <v>37</v>
      </c>
      <c r="E652" t="s">
        <v>38</v>
      </c>
      <c r="F652">
        <v>1</v>
      </c>
      <c r="G652" t="s">
        <v>50</v>
      </c>
      <c r="H652" t="s">
        <v>26</v>
      </c>
      <c r="I652" t="s">
        <v>31</v>
      </c>
      <c r="J652" t="s">
        <v>28</v>
      </c>
      <c r="K652" t="s">
        <v>29</v>
      </c>
      <c r="L652" t="s">
        <v>53</v>
      </c>
      <c r="M652" t="s">
        <v>31</v>
      </c>
      <c r="N652" t="s">
        <v>42</v>
      </c>
      <c r="O652">
        <v>5562</v>
      </c>
      <c r="P652">
        <v>4</v>
      </c>
      <c r="Q652" t="s">
        <v>36</v>
      </c>
      <c r="R652">
        <v>13</v>
      </c>
      <c r="S652" t="s">
        <v>33</v>
      </c>
      <c r="T652" t="s">
        <v>27</v>
      </c>
      <c r="U652">
        <v>2</v>
      </c>
      <c r="V652" t="s">
        <v>49</v>
      </c>
      <c r="W652" t="str">
        <f>IF(HR_Data[[#This Row],[age]]&lt;25,"Under 25",IF(HR_Data[[#This Row],[age]]&lt;35,"25-34",IF(HR_Data[[#This Row],[age]]&lt;45,"35-44",IF(HR_Data[[#This Row],[age]]&lt;55,"45-54","55+"))))</f>
        <v>35-44</v>
      </c>
      <c r="X652" t="str">
        <f t="shared" si="10"/>
        <v>5,000-7,999</v>
      </c>
    </row>
    <row r="653" spans="1:24" x14ac:dyDescent="0.3">
      <c r="A653">
        <v>903</v>
      </c>
      <c r="B653">
        <v>47</v>
      </c>
      <c r="C653" t="s">
        <v>36</v>
      </c>
      <c r="D653" t="s">
        <v>23</v>
      </c>
      <c r="E653" t="s">
        <v>24</v>
      </c>
      <c r="F653">
        <v>2</v>
      </c>
      <c r="G653" t="s">
        <v>25</v>
      </c>
      <c r="H653" t="s">
        <v>58</v>
      </c>
      <c r="I653" t="s">
        <v>29</v>
      </c>
      <c r="J653" t="s">
        <v>28</v>
      </c>
      <c r="K653" t="s">
        <v>29</v>
      </c>
      <c r="L653" t="s">
        <v>30</v>
      </c>
      <c r="M653" t="s">
        <v>31</v>
      </c>
      <c r="N653" t="s">
        <v>42</v>
      </c>
      <c r="O653">
        <v>4537</v>
      </c>
      <c r="P653">
        <v>0</v>
      </c>
      <c r="Q653" t="s">
        <v>22</v>
      </c>
      <c r="R653">
        <v>22</v>
      </c>
      <c r="S653" t="s">
        <v>43</v>
      </c>
      <c r="T653" t="s">
        <v>34</v>
      </c>
      <c r="U653">
        <v>2</v>
      </c>
      <c r="V653" t="s">
        <v>44</v>
      </c>
      <c r="W653" t="str">
        <f>IF(HR_Data[[#This Row],[age]]&lt;25,"Under 25",IF(HR_Data[[#This Row],[age]]&lt;35,"25-34",IF(HR_Data[[#This Row],[age]]&lt;45,"35-44",IF(HR_Data[[#This Row],[age]]&lt;55,"45-54","55+"))))</f>
        <v>45-54</v>
      </c>
      <c r="X653" t="str">
        <f t="shared" si="10"/>
        <v>3,000-4,999</v>
      </c>
    </row>
    <row r="654" spans="1:24" x14ac:dyDescent="0.3">
      <c r="A654">
        <v>904</v>
      </c>
      <c r="B654">
        <v>37</v>
      </c>
      <c r="C654" t="s">
        <v>36</v>
      </c>
      <c r="D654" t="s">
        <v>54</v>
      </c>
      <c r="E654" t="s">
        <v>24</v>
      </c>
      <c r="F654">
        <v>19</v>
      </c>
      <c r="G654" t="s">
        <v>25</v>
      </c>
      <c r="H654" t="s">
        <v>48</v>
      </c>
      <c r="I654" t="s">
        <v>34</v>
      </c>
      <c r="J654" t="s">
        <v>40</v>
      </c>
      <c r="K654" t="s">
        <v>29</v>
      </c>
      <c r="L654" t="s">
        <v>30</v>
      </c>
      <c r="M654" t="s">
        <v>27</v>
      </c>
      <c r="N654" t="s">
        <v>32</v>
      </c>
      <c r="O654">
        <v>7642</v>
      </c>
      <c r="P654">
        <v>1</v>
      </c>
      <c r="Q654" t="s">
        <v>22</v>
      </c>
      <c r="R654">
        <v>13</v>
      </c>
      <c r="S654" t="s">
        <v>33</v>
      </c>
      <c r="T654" t="s">
        <v>31</v>
      </c>
      <c r="U654">
        <v>2</v>
      </c>
      <c r="V654" t="s">
        <v>44</v>
      </c>
      <c r="W654" t="str">
        <f>IF(HR_Data[[#This Row],[age]]&lt;25,"Under 25",IF(HR_Data[[#This Row],[age]]&lt;35,"25-34",IF(HR_Data[[#This Row],[age]]&lt;45,"35-44",IF(HR_Data[[#This Row],[age]]&lt;55,"45-54","55+"))))</f>
        <v>35-44</v>
      </c>
      <c r="X654" t="str">
        <f t="shared" si="10"/>
        <v>5,000-7,999</v>
      </c>
    </row>
    <row r="655" spans="1:24" x14ac:dyDescent="0.3">
      <c r="A655">
        <v>905</v>
      </c>
      <c r="B655">
        <v>50</v>
      </c>
      <c r="C655" t="s">
        <v>36</v>
      </c>
      <c r="D655" t="s">
        <v>54</v>
      </c>
      <c r="E655" t="s">
        <v>38</v>
      </c>
      <c r="F655">
        <v>2</v>
      </c>
      <c r="G655" t="s">
        <v>47</v>
      </c>
      <c r="H655" t="s">
        <v>26</v>
      </c>
      <c r="I655" t="s">
        <v>34</v>
      </c>
      <c r="J655" t="s">
        <v>40</v>
      </c>
      <c r="K655" t="s">
        <v>29</v>
      </c>
      <c r="L655" t="s">
        <v>55</v>
      </c>
      <c r="M655" t="s">
        <v>34</v>
      </c>
      <c r="N655" t="s">
        <v>51</v>
      </c>
      <c r="O655">
        <v>17924</v>
      </c>
      <c r="P655">
        <v>1</v>
      </c>
      <c r="Q655" t="s">
        <v>36</v>
      </c>
      <c r="R655">
        <v>11</v>
      </c>
      <c r="S655" t="s">
        <v>33</v>
      </c>
      <c r="T655" t="s">
        <v>31</v>
      </c>
      <c r="U655">
        <v>3</v>
      </c>
      <c r="V655" t="s">
        <v>44</v>
      </c>
      <c r="W655" t="str">
        <f>IF(HR_Data[[#This Row],[age]]&lt;25,"Under 25",IF(HR_Data[[#This Row],[age]]&lt;35,"25-34",IF(HR_Data[[#This Row],[age]]&lt;45,"35-44",IF(HR_Data[[#This Row],[age]]&lt;55,"45-54","55+"))))</f>
        <v>45-54</v>
      </c>
      <c r="X655" t="str">
        <f t="shared" si="10"/>
        <v>8,000+</v>
      </c>
    </row>
    <row r="656" spans="1:24" x14ac:dyDescent="0.3">
      <c r="A656">
        <v>909</v>
      </c>
      <c r="B656">
        <v>39</v>
      </c>
      <c r="C656" t="s">
        <v>36</v>
      </c>
      <c r="D656" t="s">
        <v>23</v>
      </c>
      <c r="E656" t="s">
        <v>62</v>
      </c>
      <c r="F656">
        <v>2</v>
      </c>
      <c r="G656" t="s">
        <v>50</v>
      </c>
      <c r="H656" t="s">
        <v>26</v>
      </c>
      <c r="I656" t="s">
        <v>31</v>
      </c>
      <c r="J656" t="s">
        <v>28</v>
      </c>
      <c r="K656" t="s">
        <v>27</v>
      </c>
      <c r="L656" t="s">
        <v>62</v>
      </c>
      <c r="M656" t="s">
        <v>31</v>
      </c>
      <c r="N656" t="s">
        <v>42</v>
      </c>
      <c r="O656">
        <v>5204</v>
      </c>
      <c r="P656">
        <v>8</v>
      </c>
      <c r="Q656" t="s">
        <v>36</v>
      </c>
      <c r="R656">
        <v>11</v>
      </c>
      <c r="S656" t="s">
        <v>33</v>
      </c>
      <c r="T656" t="s">
        <v>29</v>
      </c>
      <c r="U656">
        <v>2</v>
      </c>
      <c r="V656" t="s">
        <v>44</v>
      </c>
      <c r="W656" t="str">
        <f>IF(HR_Data[[#This Row],[age]]&lt;25,"Under 25",IF(HR_Data[[#This Row],[age]]&lt;35,"25-34",IF(HR_Data[[#This Row],[age]]&lt;45,"35-44",IF(HR_Data[[#This Row],[age]]&lt;55,"45-54","55+"))))</f>
        <v>35-44</v>
      </c>
      <c r="X656" t="str">
        <f t="shared" si="10"/>
        <v>5,000-7,999</v>
      </c>
    </row>
    <row r="657" spans="1:24" x14ac:dyDescent="0.3">
      <c r="A657">
        <v>910</v>
      </c>
      <c r="B657">
        <v>33</v>
      </c>
      <c r="C657" t="s">
        <v>36</v>
      </c>
      <c r="D657" t="s">
        <v>23</v>
      </c>
      <c r="E657" t="s">
        <v>62</v>
      </c>
      <c r="F657">
        <v>3</v>
      </c>
      <c r="G657" t="s">
        <v>25</v>
      </c>
      <c r="H657" t="s">
        <v>62</v>
      </c>
      <c r="I657" t="s">
        <v>31</v>
      </c>
      <c r="J657" t="s">
        <v>40</v>
      </c>
      <c r="K657" t="s">
        <v>29</v>
      </c>
      <c r="L657" t="s">
        <v>62</v>
      </c>
      <c r="M657" t="s">
        <v>27</v>
      </c>
      <c r="N657" t="s">
        <v>51</v>
      </c>
      <c r="O657">
        <v>2277</v>
      </c>
      <c r="P657">
        <v>3</v>
      </c>
      <c r="Q657" t="s">
        <v>22</v>
      </c>
      <c r="R657">
        <v>11</v>
      </c>
      <c r="S657" t="s">
        <v>33</v>
      </c>
      <c r="T657" t="s">
        <v>29</v>
      </c>
      <c r="U657">
        <v>4</v>
      </c>
      <c r="V657" t="s">
        <v>59</v>
      </c>
      <c r="W657" t="str">
        <f>IF(HR_Data[[#This Row],[age]]&lt;25,"Under 25",IF(HR_Data[[#This Row],[age]]&lt;35,"25-34",IF(HR_Data[[#This Row],[age]]&lt;45,"35-44",IF(HR_Data[[#This Row],[age]]&lt;55,"45-54","55+"))))</f>
        <v>25-34</v>
      </c>
      <c r="X657" t="str">
        <f t="shared" si="10"/>
        <v>Below 3,000</v>
      </c>
    </row>
    <row r="658" spans="1:24" x14ac:dyDescent="0.3">
      <c r="A658">
        <v>911</v>
      </c>
      <c r="B658">
        <v>32</v>
      </c>
      <c r="C658" t="s">
        <v>22</v>
      </c>
      <c r="D658" t="s">
        <v>23</v>
      </c>
      <c r="E658" t="s">
        <v>38</v>
      </c>
      <c r="F658">
        <v>25</v>
      </c>
      <c r="G658" t="s">
        <v>47</v>
      </c>
      <c r="H658" t="s">
        <v>26</v>
      </c>
      <c r="I658" t="s">
        <v>34</v>
      </c>
      <c r="J658" t="s">
        <v>40</v>
      </c>
      <c r="K658" t="s">
        <v>29</v>
      </c>
      <c r="L658" t="s">
        <v>46</v>
      </c>
      <c r="M658" t="s">
        <v>31</v>
      </c>
      <c r="N658" t="s">
        <v>32</v>
      </c>
      <c r="O658">
        <v>2795</v>
      </c>
      <c r="P658">
        <v>1</v>
      </c>
      <c r="Q658" t="s">
        <v>22</v>
      </c>
      <c r="R658">
        <v>24</v>
      </c>
      <c r="S658" t="s">
        <v>43</v>
      </c>
      <c r="T658" t="s">
        <v>29</v>
      </c>
      <c r="U658">
        <v>2</v>
      </c>
      <c r="V658" t="s">
        <v>35</v>
      </c>
      <c r="W658" t="str">
        <f>IF(HR_Data[[#This Row],[age]]&lt;25,"Under 25",IF(HR_Data[[#This Row],[age]]&lt;35,"25-34",IF(HR_Data[[#This Row],[age]]&lt;45,"35-44",IF(HR_Data[[#This Row],[age]]&lt;55,"45-54","55+"))))</f>
        <v>25-34</v>
      </c>
      <c r="X658" t="str">
        <f t="shared" si="10"/>
        <v>Below 3,000</v>
      </c>
    </row>
    <row r="659" spans="1:24" x14ac:dyDescent="0.3">
      <c r="A659">
        <v>912</v>
      </c>
      <c r="B659">
        <v>29</v>
      </c>
      <c r="C659" t="s">
        <v>36</v>
      </c>
      <c r="D659" t="s">
        <v>23</v>
      </c>
      <c r="E659" t="s">
        <v>38</v>
      </c>
      <c r="F659">
        <v>7</v>
      </c>
      <c r="G659" t="s">
        <v>39</v>
      </c>
      <c r="H659" t="s">
        <v>48</v>
      </c>
      <c r="I659" t="s">
        <v>34</v>
      </c>
      <c r="J659" t="s">
        <v>28</v>
      </c>
      <c r="K659" t="s">
        <v>27</v>
      </c>
      <c r="L659" t="s">
        <v>46</v>
      </c>
      <c r="M659" t="s">
        <v>31</v>
      </c>
      <c r="N659" t="s">
        <v>51</v>
      </c>
      <c r="O659">
        <v>2532</v>
      </c>
      <c r="P659">
        <v>6</v>
      </c>
      <c r="Q659" t="s">
        <v>36</v>
      </c>
      <c r="R659">
        <v>14</v>
      </c>
      <c r="S659" t="s">
        <v>33</v>
      </c>
      <c r="T659" t="s">
        <v>29</v>
      </c>
      <c r="U659">
        <v>5</v>
      </c>
      <c r="V659" t="s">
        <v>44</v>
      </c>
      <c r="W659" t="str">
        <f>IF(HR_Data[[#This Row],[age]]&lt;25,"Under 25",IF(HR_Data[[#This Row],[age]]&lt;35,"25-34",IF(HR_Data[[#This Row],[age]]&lt;45,"35-44",IF(HR_Data[[#This Row],[age]]&lt;55,"45-54","55+"))))</f>
        <v>25-34</v>
      </c>
      <c r="X659" t="str">
        <f t="shared" si="10"/>
        <v>Below 3,000</v>
      </c>
    </row>
    <row r="660" spans="1:24" x14ac:dyDescent="0.3">
      <c r="A660">
        <v>913</v>
      </c>
      <c r="B660">
        <v>44</v>
      </c>
      <c r="C660" t="s">
        <v>36</v>
      </c>
      <c r="D660" t="s">
        <v>23</v>
      </c>
      <c r="E660" t="s">
        <v>38</v>
      </c>
      <c r="F660">
        <v>9</v>
      </c>
      <c r="G660" t="s">
        <v>25</v>
      </c>
      <c r="H660" t="s">
        <v>26</v>
      </c>
      <c r="I660" t="s">
        <v>27</v>
      </c>
      <c r="J660" t="s">
        <v>40</v>
      </c>
      <c r="K660" t="s">
        <v>29</v>
      </c>
      <c r="L660" t="s">
        <v>41</v>
      </c>
      <c r="M660" t="s">
        <v>34</v>
      </c>
      <c r="N660" t="s">
        <v>42</v>
      </c>
      <c r="O660">
        <v>2559</v>
      </c>
      <c r="P660">
        <v>1</v>
      </c>
      <c r="Q660" t="s">
        <v>22</v>
      </c>
      <c r="R660">
        <v>13</v>
      </c>
      <c r="S660" t="s">
        <v>33</v>
      </c>
      <c r="T660" t="s">
        <v>31</v>
      </c>
      <c r="U660">
        <v>0</v>
      </c>
      <c r="V660" t="s">
        <v>44</v>
      </c>
      <c r="W660" t="str">
        <f>IF(HR_Data[[#This Row],[age]]&lt;25,"Under 25",IF(HR_Data[[#This Row],[age]]&lt;35,"25-34",IF(HR_Data[[#This Row],[age]]&lt;45,"35-44",IF(HR_Data[[#This Row],[age]]&lt;55,"45-54","55+"))))</f>
        <v>35-44</v>
      </c>
      <c r="X660" t="str">
        <f t="shared" si="10"/>
        <v>Below 3,000</v>
      </c>
    </row>
    <row r="661" spans="1:24" x14ac:dyDescent="0.3">
      <c r="A661">
        <v>916</v>
      </c>
      <c r="B661">
        <v>28</v>
      </c>
      <c r="C661" t="s">
        <v>36</v>
      </c>
      <c r="D661" t="s">
        <v>23</v>
      </c>
      <c r="E661" t="s">
        <v>24</v>
      </c>
      <c r="F661">
        <v>5</v>
      </c>
      <c r="G661" t="s">
        <v>47</v>
      </c>
      <c r="H661" t="s">
        <v>48</v>
      </c>
      <c r="I661" t="s">
        <v>34</v>
      </c>
      <c r="J661" t="s">
        <v>40</v>
      </c>
      <c r="K661" t="s">
        <v>29</v>
      </c>
      <c r="L661" t="s">
        <v>30</v>
      </c>
      <c r="M661" t="s">
        <v>31</v>
      </c>
      <c r="N661" t="s">
        <v>32</v>
      </c>
      <c r="O661">
        <v>4908</v>
      </c>
      <c r="P661">
        <v>1</v>
      </c>
      <c r="Q661" t="s">
        <v>36</v>
      </c>
      <c r="R661">
        <v>14</v>
      </c>
      <c r="S661" t="s">
        <v>33</v>
      </c>
      <c r="T661" t="s">
        <v>27</v>
      </c>
      <c r="U661">
        <v>3</v>
      </c>
      <c r="V661" t="s">
        <v>44</v>
      </c>
      <c r="W661" t="str">
        <f>IF(HR_Data[[#This Row],[age]]&lt;25,"Under 25",IF(HR_Data[[#This Row],[age]]&lt;35,"25-34",IF(HR_Data[[#This Row],[age]]&lt;45,"35-44",IF(HR_Data[[#This Row],[age]]&lt;55,"45-54","55+"))))</f>
        <v>25-34</v>
      </c>
      <c r="X661" t="str">
        <f t="shared" si="10"/>
        <v>3,000-4,999</v>
      </c>
    </row>
    <row r="662" spans="1:24" x14ac:dyDescent="0.3">
      <c r="A662">
        <v>918</v>
      </c>
      <c r="B662">
        <v>58</v>
      </c>
      <c r="C662" t="s">
        <v>22</v>
      </c>
      <c r="D662" t="s">
        <v>37</v>
      </c>
      <c r="E662" t="s">
        <v>38</v>
      </c>
      <c r="F662">
        <v>2</v>
      </c>
      <c r="G662" t="s">
        <v>39</v>
      </c>
      <c r="H662" t="s">
        <v>26</v>
      </c>
      <c r="I662" t="s">
        <v>31</v>
      </c>
      <c r="J662" t="s">
        <v>40</v>
      </c>
      <c r="K662" t="s">
        <v>27</v>
      </c>
      <c r="L662" t="s">
        <v>46</v>
      </c>
      <c r="M662" t="s">
        <v>31</v>
      </c>
      <c r="N662" t="s">
        <v>51</v>
      </c>
      <c r="O662">
        <v>2380</v>
      </c>
      <c r="P662">
        <v>9</v>
      </c>
      <c r="Q662" t="s">
        <v>22</v>
      </c>
      <c r="R662">
        <v>14</v>
      </c>
      <c r="S662" t="s">
        <v>33</v>
      </c>
      <c r="T662" t="s">
        <v>31</v>
      </c>
      <c r="U662">
        <v>3</v>
      </c>
      <c r="V662" t="s">
        <v>49</v>
      </c>
      <c r="W662" t="str">
        <f>IF(HR_Data[[#This Row],[age]]&lt;25,"Under 25",IF(HR_Data[[#This Row],[age]]&lt;35,"25-34",IF(HR_Data[[#This Row],[age]]&lt;45,"35-44",IF(HR_Data[[#This Row],[age]]&lt;55,"45-54","55+"))))</f>
        <v>55+</v>
      </c>
      <c r="X662" t="str">
        <f t="shared" si="10"/>
        <v>Below 3,000</v>
      </c>
    </row>
    <row r="663" spans="1:24" x14ac:dyDescent="0.3">
      <c r="A663">
        <v>920</v>
      </c>
      <c r="B663">
        <v>43</v>
      </c>
      <c r="C663" t="s">
        <v>36</v>
      </c>
      <c r="D663" t="s">
        <v>23</v>
      </c>
      <c r="E663" t="s">
        <v>38</v>
      </c>
      <c r="F663">
        <v>8</v>
      </c>
      <c r="G663" t="s">
        <v>50</v>
      </c>
      <c r="H663" t="s">
        <v>26</v>
      </c>
      <c r="I663" t="s">
        <v>34</v>
      </c>
      <c r="J663" t="s">
        <v>28</v>
      </c>
      <c r="K663" t="s">
        <v>29</v>
      </c>
      <c r="L663" t="s">
        <v>52</v>
      </c>
      <c r="M663" t="s">
        <v>27</v>
      </c>
      <c r="N663" t="s">
        <v>51</v>
      </c>
      <c r="O663">
        <v>4765</v>
      </c>
      <c r="P663">
        <v>4</v>
      </c>
      <c r="Q663" t="s">
        <v>36</v>
      </c>
      <c r="R663">
        <v>21</v>
      </c>
      <c r="S663" t="s">
        <v>43</v>
      </c>
      <c r="T663" t="s">
        <v>29</v>
      </c>
      <c r="U663">
        <v>2</v>
      </c>
      <c r="V663" t="s">
        <v>59</v>
      </c>
      <c r="W663" t="str">
        <f>IF(HR_Data[[#This Row],[age]]&lt;25,"Under 25",IF(HR_Data[[#This Row],[age]]&lt;35,"25-34",IF(HR_Data[[#This Row],[age]]&lt;45,"35-44",IF(HR_Data[[#This Row],[age]]&lt;55,"45-54","55+"))))</f>
        <v>35-44</v>
      </c>
      <c r="X663" t="str">
        <f t="shared" si="10"/>
        <v>3,000-4,999</v>
      </c>
    </row>
    <row r="664" spans="1:24" x14ac:dyDescent="0.3">
      <c r="A664">
        <v>922</v>
      </c>
      <c r="B664">
        <v>20</v>
      </c>
      <c r="C664" t="s">
        <v>22</v>
      </c>
      <c r="D664" t="s">
        <v>23</v>
      </c>
      <c r="E664" t="s">
        <v>24</v>
      </c>
      <c r="F664">
        <v>2</v>
      </c>
      <c r="G664" t="s">
        <v>50</v>
      </c>
      <c r="H664" t="s">
        <v>48</v>
      </c>
      <c r="I664" t="s">
        <v>29</v>
      </c>
      <c r="J664" t="s">
        <v>28</v>
      </c>
      <c r="K664" t="s">
        <v>27</v>
      </c>
      <c r="L664" t="s">
        <v>56</v>
      </c>
      <c r="M664" t="s">
        <v>29</v>
      </c>
      <c r="N664" t="s">
        <v>32</v>
      </c>
      <c r="O664">
        <v>2044</v>
      </c>
      <c r="P664">
        <v>1</v>
      </c>
      <c r="Q664" t="s">
        <v>36</v>
      </c>
      <c r="R664">
        <v>13</v>
      </c>
      <c r="S664" t="s">
        <v>33</v>
      </c>
      <c r="T664" t="s">
        <v>31</v>
      </c>
      <c r="U664">
        <v>3</v>
      </c>
      <c r="V664" t="s">
        <v>49</v>
      </c>
      <c r="W664" t="str">
        <f>IF(HR_Data[[#This Row],[age]]&lt;25,"Under 25",IF(HR_Data[[#This Row],[age]]&lt;35,"25-34",IF(HR_Data[[#This Row],[age]]&lt;45,"35-44",IF(HR_Data[[#This Row],[age]]&lt;55,"45-54","55+"))))</f>
        <v>Under 25</v>
      </c>
      <c r="X664" t="str">
        <f t="shared" si="10"/>
        <v>Below 3,000</v>
      </c>
    </row>
    <row r="665" spans="1:24" x14ac:dyDescent="0.3">
      <c r="A665">
        <v>923</v>
      </c>
      <c r="B665">
        <v>21</v>
      </c>
      <c r="C665" t="s">
        <v>22</v>
      </c>
      <c r="D665" t="s">
        <v>23</v>
      </c>
      <c r="E665" t="s">
        <v>38</v>
      </c>
      <c r="F665">
        <v>18</v>
      </c>
      <c r="G665" t="s">
        <v>39</v>
      </c>
      <c r="H665" t="s">
        <v>45</v>
      </c>
      <c r="I665" t="s">
        <v>31</v>
      </c>
      <c r="J665" t="s">
        <v>28</v>
      </c>
      <c r="K665" t="s">
        <v>29</v>
      </c>
      <c r="L665" t="s">
        <v>41</v>
      </c>
      <c r="M665" t="s">
        <v>31</v>
      </c>
      <c r="N665" t="s">
        <v>32</v>
      </c>
      <c r="O665">
        <v>2693</v>
      </c>
      <c r="P665">
        <v>1</v>
      </c>
      <c r="Q665" t="s">
        <v>36</v>
      </c>
      <c r="R665">
        <v>19</v>
      </c>
      <c r="S665" t="s">
        <v>33</v>
      </c>
      <c r="T665" t="s">
        <v>34</v>
      </c>
      <c r="U665">
        <v>3</v>
      </c>
      <c r="V665" t="s">
        <v>49</v>
      </c>
      <c r="W665" t="str">
        <f>IF(HR_Data[[#This Row],[age]]&lt;25,"Under 25",IF(HR_Data[[#This Row],[age]]&lt;35,"25-34",IF(HR_Data[[#This Row],[age]]&lt;45,"35-44",IF(HR_Data[[#This Row],[age]]&lt;55,"45-54","55+"))))</f>
        <v>Under 25</v>
      </c>
      <c r="X665" t="str">
        <f t="shared" si="10"/>
        <v>Below 3,000</v>
      </c>
    </row>
    <row r="666" spans="1:24" x14ac:dyDescent="0.3">
      <c r="A666">
        <v>924</v>
      </c>
      <c r="B666">
        <v>36</v>
      </c>
      <c r="C666" t="s">
        <v>36</v>
      </c>
      <c r="D666" t="s">
        <v>23</v>
      </c>
      <c r="E666" t="s">
        <v>38</v>
      </c>
      <c r="F666">
        <v>14</v>
      </c>
      <c r="G666" t="s">
        <v>39</v>
      </c>
      <c r="H666" t="s">
        <v>26</v>
      </c>
      <c r="I666" t="s">
        <v>29</v>
      </c>
      <c r="J666" t="s">
        <v>40</v>
      </c>
      <c r="K666" t="s">
        <v>29</v>
      </c>
      <c r="L666" t="s">
        <v>53</v>
      </c>
      <c r="M666" t="s">
        <v>31</v>
      </c>
      <c r="N666" t="s">
        <v>42</v>
      </c>
      <c r="O666">
        <v>6586</v>
      </c>
      <c r="P666">
        <v>0</v>
      </c>
      <c r="Q666" t="s">
        <v>22</v>
      </c>
      <c r="R666">
        <v>17</v>
      </c>
      <c r="S666" t="s">
        <v>33</v>
      </c>
      <c r="T666" t="s">
        <v>34</v>
      </c>
      <c r="U666">
        <v>2</v>
      </c>
      <c r="V666" t="s">
        <v>49</v>
      </c>
      <c r="W666" t="str">
        <f>IF(HR_Data[[#This Row],[age]]&lt;25,"Under 25",IF(HR_Data[[#This Row],[age]]&lt;35,"25-34",IF(HR_Data[[#This Row],[age]]&lt;45,"35-44",IF(HR_Data[[#This Row],[age]]&lt;55,"45-54","55+"))))</f>
        <v>35-44</v>
      </c>
      <c r="X666" t="str">
        <f t="shared" si="10"/>
        <v>5,000-7,999</v>
      </c>
    </row>
    <row r="667" spans="1:24" x14ac:dyDescent="0.3">
      <c r="A667">
        <v>925</v>
      </c>
      <c r="B667">
        <v>47</v>
      </c>
      <c r="C667" t="s">
        <v>36</v>
      </c>
      <c r="D667" t="s">
        <v>23</v>
      </c>
      <c r="E667" t="s">
        <v>24</v>
      </c>
      <c r="F667">
        <v>2</v>
      </c>
      <c r="G667" t="s">
        <v>47</v>
      </c>
      <c r="H667" t="s">
        <v>26</v>
      </c>
      <c r="I667" t="s">
        <v>31</v>
      </c>
      <c r="J667" t="s">
        <v>28</v>
      </c>
      <c r="K667" t="s">
        <v>27</v>
      </c>
      <c r="L667" t="s">
        <v>56</v>
      </c>
      <c r="M667" t="s">
        <v>31</v>
      </c>
      <c r="N667" t="s">
        <v>32</v>
      </c>
      <c r="O667">
        <v>3294</v>
      </c>
      <c r="P667">
        <v>1</v>
      </c>
      <c r="Q667" t="s">
        <v>22</v>
      </c>
      <c r="R667">
        <v>18</v>
      </c>
      <c r="S667" t="s">
        <v>33</v>
      </c>
      <c r="T667" t="s">
        <v>34</v>
      </c>
      <c r="U667">
        <v>3</v>
      </c>
      <c r="V667" t="s">
        <v>49</v>
      </c>
      <c r="W667" t="str">
        <f>IF(HR_Data[[#This Row],[age]]&lt;25,"Under 25",IF(HR_Data[[#This Row],[age]]&lt;35,"25-34",IF(HR_Data[[#This Row],[age]]&lt;45,"35-44",IF(HR_Data[[#This Row],[age]]&lt;55,"45-54","55+"))))</f>
        <v>45-54</v>
      </c>
      <c r="X667" t="str">
        <f t="shared" si="10"/>
        <v>3,000-4,999</v>
      </c>
    </row>
    <row r="668" spans="1:24" x14ac:dyDescent="0.3">
      <c r="A668">
        <v>926</v>
      </c>
      <c r="B668">
        <v>22</v>
      </c>
      <c r="C668" t="s">
        <v>22</v>
      </c>
      <c r="D668" t="s">
        <v>23</v>
      </c>
      <c r="E668" t="s">
        <v>38</v>
      </c>
      <c r="F668">
        <v>3</v>
      </c>
      <c r="G668" t="s">
        <v>39</v>
      </c>
      <c r="H668" t="s">
        <v>26</v>
      </c>
      <c r="I668" t="s">
        <v>27</v>
      </c>
      <c r="J668" t="s">
        <v>28</v>
      </c>
      <c r="K668" t="s">
        <v>29</v>
      </c>
      <c r="L668" t="s">
        <v>52</v>
      </c>
      <c r="M668" t="s">
        <v>29</v>
      </c>
      <c r="N668" t="s">
        <v>42</v>
      </c>
      <c r="O668">
        <v>4171</v>
      </c>
      <c r="P668">
        <v>0</v>
      </c>
      <c r="Q668" t="s">
        <v>22</v>
      </c>
      <c r="R668">
        <v>19</v>
      </c>
      <c r="S668" t="s">
        <v>33</v>
      </c>
      <c r="T668" t="s">
        <v>34</v>
      </c>
      <c r="U668">
        <v>3</v>
      </c>
      <c r="V668" t="s">
        <v>59</v>
      </c>
      <c r="W668" t="str">
        <f>IF(HR_Data[[#This Row],[age]]&lt;25,"Under 25",IF(HR_Data[[#This Row],[age]]&lt;35,"25-34",IF(HR_Data[[#This Row],[age]]&lt;45,"35-44",IF(HR_Data[[#This Row],[age]]&lt;55,"45-54","55+"))))</f>
        <v>Under 25</v>
      </c>
      <c r="X668" t="str">
        <f t="shared" si="10"/>
        <v>3,000-4,999</v>
      </c>
    </row>
    <row r="669" spans="1:24" x14ac:dyDescent="0.3">
      <c r="A669">
        <v>927</v>
      </c>
      <c r="B669">
        <v>41</v>
      </c>
      <c r="C669" t="s">
        <v>22</v>
      </c>
      <c r="D669" t="s">
        <v>23</v>
      </c>
      <c r="E669" t="s">
        <v>38</v>
      </c>
      <c r="F669">
        <v>2</v>
      </c>
      <c r="G669" t="s">
        <v>47</v>
      </c>
      <c r="H669" t="s">
        <v>26</v>
      </c>
      <c r="I669" t="s">
        <v>27</v>
      </c>
      <c r="J669" t="s">
        <v>28</v>
      </c>
      <c r="K669" t="s">
        <v>34</v>
      </c>
      <c r="L669" t="s">
        <v>46</v>
      </c>
      <c r="M669" t="s">
        <v>31</v>
      </c>
      <c r="N669" t="s">
        <v>51</v>
      </c>
      <c r="O669">
        <v>2778</v>
      </c>
      <c r="P669">
        <v>4</v>
      </c>
      <c r="Q669" t="s">
        <v>22</v>
      </c>
      <c r="R669">
        <v>13</v>
      </c>
      <c r="S669" t="s">
        <v>33</v>
      </c>
      <c r="T669" t="s">
        <v>29</v>
      </c>
      <c r="U669">
        <v>1</v>
      </c>
      <c r="V669" t="s">
        <v>49</v>
      </c>
      <c r="W669" t="str">
        <f>IF(HR_Data[[#This Row],[age]]&lt;25,"Under 25",IF(HR_Data[[#This Row],[age]]&lt;35,"25-34",IF(HR_Data[[#This Row],[age]]&lt;45,"35-44",IF(HR_Data[[#This Row],[age]]&lt;55,"45-54","55+"))))</f>
        <v>35-44</v>
      </c>
      <c r="X669" t="str">
        <f t="shared" si="10"/>
        <v>Below 3,000</v>
      </c>
    </row>
    <row r="670" spans="1:24" x14ac:dyDescent="0.3">
      <c r="A670">
        <v>930</v>
      </c>
      <c r="B670">
        <v>28</v>
      </c>
      <c r="C670" t="s">
        <v>36</v>
      </c>
      <c r="D670" t="s">
        <v>23</v>
      </c>
      <c r="E670" t="s">
        <v>38</v>
      </c>
      <c r="F670">
        <v>9</v>
      </c>
      <c r="G670" t="s">
        <v>50</v>
      </c>
      <c r="H670" t="s">
        <v>48</v>
      </c>
      <c r="I670" t="s">
        <v>29</v>
      </c>
      <c r="J670" t="s">
        <v>28</v>
      </c>
      <c r="K670" t="s">
        <v>29</v>
      </c>
      <c r="L670" t="s">
        <v>41</v>
      </c>
      <c r="M670" t="s">
        <v>29</v>
      </c>
      <c r="N670" t="s">
        <v>51</v>
      </c>
      <c r="O670">
        <v>2377</v>
      </c>
      <c r="P670">
        <v>5</v>
      </c>
      <c r="Q670" t="s">
        <v>36</v>
      </c>
      <c r="R670">
        <v>18</v>
      </c>
      <c r="S670" t="s">
        <v>33</v>
      </c>
      <c r="T670" t="s">
        <v>27</v>
      </c>
      <c r="U670">
        <v>2</v>
      </c>
      <c r="V670" t="s">
        <v>44</v>
      </c>
      <c r="W670" t="str">
        <f>IF(HR_Data[[#This Row],[age]]&lt;25,"Under 25",IF(HR_Data[[#This Row],[age]]&lt;35,"25-34",IF(HR_Data[[#This Row],[age]]&lt;45,"35-44",IF(HR_Data[[#This Row],[age]]&lt;55,"45-54","55+"))))</f>
        <v>25-34</v>
      </c>
      <c r="X670" t="str">
        <f t="shared" si="10"/>
        <v>Below 3,000</v>
      </c>
    </row>
    <row r="671" spans="1:24" x14ac:dyDescent="0.3">
      <c r="A671">
        <v>932</v>
      </c>
      <c r="B671">
        <v>39</v>
      </c>
      <c r="C671" t="s">
        <v>22</v>
      </c>
      <c r="D671" t="s">
        <v>23</v>
      </c>
      <c r="E671" t="s">
        <v>38</v>
      </c>
      <c r="F671">
        <v>6</v>
      </c>
      <c r="G671" t="s">
        <v>50</v>
      </c>
      <c r="H671" t="s">
        <v>48</v>
      </c>
      <c r="I671" t="s">
        <v>31</v>
      </c>
      <c r="J671" t="s">
        <v>40</v>
      </c>
      <c r="K671" t="s">
        <v>29</v>
      </c>
      <c r="L671" t="s">
        <v>46</v>
      </c>
      <c r="M671" t="s">
        <v>34</v>
      </c>
      <c r="N671" t="s">
        <v>42</v>
      </c>
      <c r="O671">
        <v>2404</v>
      </c>
      <c r="P671">
        <v>7</v>
      </c>
      <c r="Q671" t="s">
        <v>22</v>
      </c>
      <c r="R671">
        <v>21</v>
      </c>
      <c r="S671" t="s">
        <v>43</v>
      </c>
      <c r="T671" t="s">
        <v>31</v>
      </c>
      <c r="U671">
        <v>2</v>
      </c>
      <c r="V671" t="s">
        <v>35</v>
      </c>
      <c r="W671" t="str">
        <f>IF(HR_Data[[#This Row],[age]]&lt;25,"Under 25",IF(HR_Data[[#This Row],[age]]&lt;35,"25-34",IF(HR_Data[[#This Row],[age]]&lt;45,"35-44",IF(HR_Data[[#This Row],[age]]&lt;55,"45-54","55+"))))</f>
        <v>35-44</v>
      </c>
      <c r="X671" t="str">
        <f t="shared" si="10"/>
        <v>Below 3,000</v>
      </c>
    </row>
    <row r="672" spans="1:24" x14ac:dyDescent="0.3">
      <c r="A672">
        <v>933</v>
      </c>
      <c r="B672">
        <v>27</v>
      </c>
      <c r="C672" t="s">
        <v>36</v>
      </c>
      <c r="D672" t="s">
        <v>23</v>
      </c>
      <c r="E672" t="s">
        <v>38</v>
      </c>
      <c r="F672">
        <v>4</v>
      </c>
      <c r="G672" t="s">
        <v>50</v>
      </c>
      <c r="H672" t="s">
        <v>26</v>
      </c>
      <c r="I672" t="s">
        <v>27</v>
      </c>
      <c r="J672" t="s">
        <v>28</v>
      </c>
      <c r="K672" t="s">
        <v>29</v>
      </c>
      <c r="L672" t="s">
        <v>41</v>
      </c>
      <c r="M672" t="s">
        <v>29</v>
      </c>
      <c r="N672" t="s">
        <v>32</v>
      </c>
      <c r="O672">
        <v>2318</v>
      </c>
      <c r="P672">
        <v>1</v>
      </c>
      <c r="Q672" t="s">
        <v>36</v>
      </c>
      <c r="R672">
        <v>19</v>
      </c>
      <c r="S672" t="s">
        <v>33</v>
      </c>
      <c r="T672" t="s">
        <v>29</v>
      </c>
      <c r="U672">
        <v>2</v>
      </c>
      <c r="V672" t="s">
        <v>44</v>
      </c>
      <c r="W672" t="str">
        <f>IF(HR_Data[[#This Row],[age]]&lt;25,"Under 25",IF(HR_Data[[#This Row],[age]]&lt;35,"25-34",IF(HR_Data[[#This Row],[age]]&lt;45,"35-44",IF(HR_Data[[#This Row],[age]]&lt;55,"45-54","55+"))))</f>
        <v>25-34</v>
      </c>
      <c r="X672" t="str">
        <f t="shared" si="10"/>
        <v>Below 3,000</v>
      </c>
    </row>
    <row r="673" spans="1:24" x14ac:dyDescent="0.3">
      <c r="A673">
        <v>934</v>
      </c>
      <c r="B673">
        <v>34</v>
      </c>
      <c r="C673" t="s">
        <v>36</v>
      </c>
      <c r="D673" t="s">
        <v>23</v>
      </c>
      <c r="E673" t="s">
        <v>38</v>
      </c>
      <c r="F673">
        <v>10</v>
      </c>
      <c r="G673" t="s">
        <v>50</v>
      </c>
      <c r="H673" t="s">
        <v>26</v>
      </c>
      <c r="I673" t="s">
        <v>27</v>
      </c>
      <c r="J673" t="s">
        <v>40</v>
      </c>
      <c r="K673" t="s">
        <v>29</v>
      </c>
      <c r="L673" t="s">
        <v>46</v>
      </c>
      <c r="M673" t="s">
        <v>27</v>
      </c>
      <c r="N673" t="s">
        <v>51</v>
      </c>
      <c r="O673">
        <v>2008</v>
      </c>
      <c r="P673">
        <v>1</v>
      </c>
      <c r="Q673" t="s">
        <v>36</v>
      </c>
      <c r="R673">
        <v>14</v>
      </c>
      <c r="S673" t="s">
        <v>33</v>
      </c>
      <c r="T673" t="s">
        <v>27</v>
      </c>
      <c r="U673">
        <v>3</v>
      </c>
      <c r="V673" t="s">
        <v>44</v>
      </c>
      <c r="W673" t="str">
        <f>IF(HR_Data[[#This Row],[age]]&lt;25,"Under 25",IF(HR_Data[[#This Row],[age]]&lt;35,"25-34",IF(HR_Data[[#This Row],[age]]&lt;45,"35-44",IF(HR_Data[[#This Row],[age]]&lt;55,"45-54","55+"))))</f>
        <v>25-34</v>
      </c>
      <c r="X673" t="str">
        <f t="shared" si="10"/>
        <v>Below 3,000</v>
      </c>
    </row>
    <row r="674" spans="1:24" x14ac:dyDescent="0.3">
      <c r="A674">
        <v>936</v>
      </c>
      <c r="B674">
        <v>42</v>
      </c>
      <c r="C674" t="s">
        <v>36</v>
      </c>
      <c r="D674" t="s">
        <v>23</v>
      </c>
      <c r="E674" t="s">
        <v>24</v>
      </c>
      <c r="F674">
        <v>14</v>
      </c>
      <c r="G674" t="s">
        <v>25</v>
      </c>
      <c r="H674" t="s">
        <v>48</v>
      </c>
      <c r="I674" t="s">
        <v>29</v>
      </c>
      <c r="J674" t="s">
        <v>28</v>
      </c>
      <c r="K674" t="s">
        <v>27</v>
      </c>
      <c r="L674" t="s">
        <v>30</v>
      </c>
      <c r="M674" t="s">
        <v>29</v>
      </c>
      <c r="N674" t="s">
        <v>32</v>
      </c>
      <c r="O674">
        <v>6244</v>
      </c>
      <c r="P674">
        <v>7</v>
      </c>
      <c r="Q674" t="s">
        <v>36</v>
      </c>
      <c r="R674">
        <v>17</v>
      </c>
      <c r="S674" t="s">
        <v>33</v>
      </c>
      <c r="T674" t="s">
        <v>34</v>
      </c>
      <c r="U674">
        <v>6</v>
      </c>
      <c r="V674" t="s">
        <v>44</v>
      </c>
      <c r="W674" t="str">
        <f>IF(HR_Data[[#This Row],[age]]&lt;25,"Under 25",IF(HR_Data[[#This Row],[age]]&lt;35,"25-34",IF(HR_Data[[#This Row],[age]]&lt;45,"35-44",IF(HR_Data[[#This Row],[age]]&lt;55,"45-54","55+"))))</f>
        <v>35-44</v>
      </c>
      <c r="X674" t="str">
        <f t="shared" si="10"/>
        <v>5,000-7,999</v>
      </c>
    </row>
    <row r="675" spans="1:24" x14ac:dyDescent="0.3">
      <c r="A675">
        <v>939</v>
      </c>
      <c r="B675">
        <v>33</v>
      </c>
      <c r="C675" t="s">
        <v>36</v>
      </c>
      <c r="D675" t="s">
        <v>23</v>
      </c>
      <c r="E675" t="s">
        <v>38</v>
      </c>
      <c r="F675">
        <v>1</v>
      </c>
      <c r="G675" t="s">
        <v>47</v>
      </c>
      <c r="H675" t="s">
        <v>45</v>
      </c>
      <c r="I675" t="s">
        <v>29</v>
      </c>
      <c r="J675" t="s">
        <v>40</v>
      </c>
      <c r="K675" t="s">
        <v>27</v>
      </c>
      <c r="L675" t="s">
        <v>41</v>
      </c>
      <c r="M675" t="s">
        <v>34</v>
      </c>
      <c r="N675" t="s">
        <v>32</v>
      </c>
      <c r="O675">
        <v>2799</v>
      </c>
      <c r="P675">
        <v>3</v>
      </c>
      <c r="Q675" t="s">
        <v>22</v>
      </c>
      <c r="R675">
        <v>11</v>
      </c>
      <c r="S675" t="s">
        <v>33</v>
      </c>
      <c r="T675" t="s">
        <v>27</v>
      </c>
      <c r="U675">
        <v>1</v>
      </c>
      <c r="V675" t="s">
        <v>44</v>
      </c>
      <c r="W675" t="str">
        <f>IF(HR_Data[[#This Row],[age]]&lt;25,"Under 25",IF(HR_Data[[#This Row],[age]]&lt;35,"25-34",IF(HR_Data[[#This Row],[age]]&lt;45,"35-44",IF(HR_Data[[#This Row],[age]]&lt;55,"45-54","55+"))))</f>
        <v>25-34</v>
      </c>
      <c r="X675" t="str">
        <f t="shared" si="10"/>
        <v>Below 3,000</v>
      </c>
    </row>
    <row r="676" spans="1:24" x14ac:dyDescent="0.3">
      <c r="A676">
        <v>940</v>
      </c>
      <c r="B676">
        <v>58</v>
      </c>
      <c r="C676" t="s">
        <v>36</v>
      </c>
      <c r="D676" t="s">
        <v>23</v>
      </c>
      <c r="E676" t="s">
        <v>38</v>
      </c>
      <c r="F676">
        <v>5</v>
      </c>
      <c r="G676" t="s">
        <v>50</v>
      </c>
      <c r="H676" t="s">
        <v>60</v>
      </c>
      <c r="I676" t="s">
        <v>29</v>
      </c>
      <c r="J676" t="s">
        <v>28</v>
      </c>
      <c r="K676" t="s">
        <v>27</v>
      </c>
      <c r="L676" t="s">
        <v>53</v>
      </c>
      <c r="M676" t="s">
        <v>27</v>
      </c>
      <c r="N676" t="s">
        <v>51</v>
      </c>
      <c r="O676">
        <v>10552</v>
      </c>
      <c r="P676">
        <v>2</v>
      </c>
      <c r="Q676" t="s">
        <v>22</v>
      </c>
      <c r="R676">
        <v>13</v>
      </c>
      <c r="S676" t="s">
        <v>33</v>
      </c>
      <c r="T676" t="s">
        <v>31</v>
      </c>
      <c r="U676">
        <v>3</v>
      </c>
      <c r="V676" t="s">
        <v>44</v>
      </c>
      <c r="W676" t="str">
        <f>IF(HR_Data[[#This Row],[age]]&lt;25,"Under 25",IF(HR_Data[[#This Row],[age]]&lt;35,"25-34",IF(HR_Data[[#This Row],[age]]&lt;45,"35-44",IF(HR_Data[[#This Row],[age]]&lt;55,"45-54","55+"))))</f>
        <v>55+</v>
      </c>
      <c r="X676" t="str">
        <f t="shared" si="10"/>
        <v>8,000+</v>
      </c>
    </row>
    <row r="677" spans="1:24" x14ac:dyDescent="0.3">
      <c r="A677">
        <v>941</v>
      </c>
      <c r="B677">
        <v>31</v>
      </c>
      <c r="C677" t="s">
        <v>36</v>
      </c>
      <c r="D677" t="s">
        <v>23</v>
      </c>
      <c r="E677" t="s">
        <v>24</v>
      </c>
      <c r="F677">
        <v>7</v>
      </c>
      <c r="G677" t="s">
        <v>47</v>
      </c>
      <c r="H677" t="s">
        <v>26</v>
      </c>
      <c r="I677" t="s">
        <v>27</v>
      </c>
      <c r="J677" t="s">
        <v>40</v>
      </c>
      <c r="K677" t="s">
        <v>27</v>
      </c>
      <c r="L677" t="s">
        <v>56</v>
      </c>
      <c r="M677" t="s">
        <v>29</v>
      </c>
      <c r="N677" t="s">
        <v>42</v>
      </c>
      <c r="O677">
        <v>2329</v>
      </c>
      <c r="P677">
        <v>3</v>
      </c>
      <c r="Q677" t="s">
        <v>36</v>
      </c>
      <c r="R677">
        <v>15</v>
      </c>
      <c r="S677" t="s">
        <v>33</v>
      </c>
      <c r="T677" t="s">
        <v>27</v>
      </c>
      <c r="U677">
        <v>2</v>
      </c>
      <c r="V677" t="s">
        <v>59</v>
      </c>
      <c r="W677" t="str">
        <f>IF(HR_Data[[#This Row],[age]]&lt;25,"Under 25",IF(HR_Data[[#This Row],[age]]&lt;35,"25-34",IF(HR_Data[[#This Row],[age]]&lt;45,"35-44",IF(HR_Data[[#This Row],[age]]&lt;55,"45-54","55+"))))</f>
        <v>25-34</v>
      </c>
      <c r="X677" t="str">
        <f t="shared" si="10"/>
        <v>Below 3,000</v>
      </c>
    </row>
    <row r="678" spans="1:24" x14ac:dyDescent="0.3">
      <c r="A678">
        <v>942</v>
      </c>
      <c r="B678">
        <v>35</v>
      </c>
      <c r="C678" t="s">
        <v>36</v>
      </c>
      <c r="D678" t="s">
        <v>23</v>
      </c>
      <c r="E678" t="s">
        <v>38</v>
      </c>
      <c r="F678">
        <v>21</v>
      </c>
      <c r="G678" t="s">
        <v>39</v>
      </c>
      <c r="H678" t="s">
        <v>26</v>
      </c>
      <c r="I678" t="s">
        <v>31</v>
      </c>
      <c r="J678" t="s">
        <v>28</v>
      </c>
      <c r="K678" t="s">
        <v>29</v>
      </c>
      <c r="L678" t="s">
        <v>53</v>
      </c>
      <c r="M678" t="s">
        <v>31</v>
      </c>
      <c r="N678" t="s">
        <v>42</v>
      </c>
      <c r="O678">
        <v>4014</v>
      </c>
      <c r="P678">
        <v>1</v>
      </c>
      <c r="Q678" t="s">
        <v>22</v>
      </c>
      <c r="R678">
        <v>25</v>
      </c>
      <c r="S678" t="s">
        <v>43</v>
      </c>
      <c r="T678" t="s">
        <v>31</v>
      </c>
      <c r="U678">
        <v>2</v>
      </c>
      <c r="V678" t="s">
        <v>35</v>
      </c>
      <c r="W678" t="str">
        <f>IF(HR_Data[[#This Row],[age]]&lt;25,"Under 25",IF(HR_Data[[#This Row],[age]]&lt;35,"25-34",IF(HR_Data[[#This Row],[age]]&lt;45,"35-44",IF(HR_Data[[#This Row],[age]]&lt;55,"45-54","55+"))))</f>
        <v>35-44</v>
      </c>
      <c r="X678" t="str">
        <f t="shared" si="10"/>
        <v>3,000-4,999</v>
      </c>
    </row>
    <row r="679" spans="1:24" x14ac:dyDescent="0.3">
      <c r="A679">
        <v>944</v>
      </c>
      <c r="B679">
        <v>49</v>
      </c>
      <c r="C679" t="s">
        <v>36</v>
      </c>
      <c r="D679" t="s">
        <v>23</v>
      </c>
      <c r="E679" t="s">
        <v>38</v>
      </c>
      <c r="F679">
        <v>8</v>
      </c>
      <c r="G679" t="s">
        <v>25</v>
      </c>
      <c r="H679" t="s">
        <v>45</v>
      </c>
      <c r="I679" t="s">
        <v>34</v>
      </c>
      <c r="J679" t="s">
        <v>28</v>
      </c>
      <c r="K679" t="s">
        <v>29</v>
      </c>
      <c r="L679" t="s">
        <v>46</v>
      </c>
      <c r="M679" t="s">
        <v>27</v>
      </c>
      <c r="N679" t="s">
        <v>42</v>
      </c>
      <c r="O679">
        <v>7403</v>
      </c>
      <c r="P679">
        <v>4</v>
      </c>
      <c r="Q679" t="s">
        <v>36</v>
      </c>
      <c r="R679">
        <v>11</v>
      </c>
      <c r="S679" t="s">
        <v>33</v>
      </c>
      <c r="T679" t="s">
        <v>29</v>
      </c>
      <c r="U679">
        <v>3</v>
      </c>
      <c r="V679" t="s">
        <v>49</v>
      </c>
      <c r="W679" t="str">
        <f>IF(HR_Data[[#This Row],[age]]&lt;25,"Under 25",IF(HR_Data[[#This Row],[age]]&lt;35,"25-34",IF(HR_Data[[#This Row],[age]]&lt;45,"35-44",IF(HR_Data[[#This Row],[age]]&lt;55,"45-54","55+"))))</f>
        <v>45-54</v>
      </c>
      <c r="X679" t="str">
        <f t="shared" si="10"/>
        <v>5,000-7,999</v>
      </c>
    </row>
    <row r="680" spans="1:24" x14ac:dyDescent="0.3">
      <c r="A680">
        <v>945</v>
      </c>
      <c r="B680">
        <v>48</v>
      </c>
      <c r="C680" t="s">
        <v>36</v>
      </c>
      <c r="D680" t="s">
        <v>23</v>
      </c>
      <c r="E680" t="s">
        <v>38</v>
      </c>
      <c r="F680">
        <v>20</v>
      </c>
      <c r="G680" t="s">
        <v>47</v>
      </c>
      <c r="H680" t="s">
        <v>48</v>
      </c>
      <c r="I680" t="s">
        <v>31</v>
      </c>
      <c r="J680" t="s">
        <v>40</v>
      </c>
      <c r="K680" t="s">
        <v>29</v>
      </c>
      <c r="L680" t="s">
        <v>41</v>
      </c>
      <c r="M680" t="s">
        <v>29</v>
      </c>
      <c r="N680" t="s">
        <v>42</v>
      </c>
      <c r="O680">
        <v>2259</v>
      </c>
      <c r="P680">
        <v>4</v>
      </c>
      <c r="Q680" t="s">
        <v>36</v>
      </c>
      <c r="R680">
        <v>17</v>
      </c>
      <c r="S680" t="s">
        <v>33</v>
      </c>
      <c r="T680" t="s">
        <v>34</v>
      </c>
      <c r="U680">
        <v>2</v>
      </c>
      <c r="V680" t="s">
        <v>49</v>
      </c>
      <c r="W680" t="str">
        <f>IF(HR_Data[[#This Row],[age]]&lt;25,"Under 25",IF(HR_Data[[#This Row],[age]]&lt;35,"25-34",IF(HR_Data[[#This Row],[age]]&lt;45,"35-44",IF(HR_Data[[#This Row],[age]]&lt;55,"45-54","55+"))))</f>
        <v>45-54</v>
      </c>
      <c r="X680" t="str">
        <f t="shared" si="10"/>
        <v>Below 3,000</v>
      </c>
    </row>
    <row r="681" spans="1:24" x14ac:dyDescent="0.3">
      <c r="A681">
        <v>947</v>
      </c>
      <c r="B681">
        <v>31</v>
      </c>
      <c r="C681" t="s">
        <v>36</v>
      </c>
      <c r="D681" t="s">
        <v>54</v>
      </c>
      <c r="E681" t="s">
        <v>24</v>
      </c>
      <c r="F681">
        <v>20</v>
      </c>
      <c r="G681" t="s">
        <v>25</v>
      </c>
      <c r="H681" t="s">
        <v>58</v>
      </c>
      <c r="I681" t="s">
        <v>31</v>
      </c>
      <c r="J681" t="s">
        <v>28</v>
      </c>
      <c r="K681" t="s">
        <v>29</v>
      </c>
      <c r="L681" t="s">
        <v>30</v>
      </c>
      <c r="M681" t="s">
        <v>29</v>
      </c>
      <c r="N681" t="s">
        <v>42</v>
      </c>
      <c r="O681">
        <v>6932</v>
      </c>
      <c r="P681">
        <v>1</v>
      </c>
      <c r="Q681" t="s">
        <v>36</v>
      </c>
      <c r="R681">
        <v>13</v>
      </c>
      <c r="S681" t="s">
        <v>33</v>
      </c>
      <c r="T681" t="s">
        <v>31</v>
      </c>
      <c r="U681">
        <v>2</v>
      </c>
      <c r="V681" t="s">
        <v>49</v>
      </c>
      <c r="W681" t="str">
        <f>IF(HR_Data[[#This Row],[age]]&lt;25,"Under 25",IF(HR_Data[[#This Row],[age]]&lt;35,"25-34",IF(HR_Data[[#This Row],[age]]&lt;45,"35-44",IF(HR_Data[[#This Row],[age]]&lt;55,"45-54","55+"))))</f>
        <v>25-34</v>
      </c>
      <c r="X681" t="str">
        <f t="shared" si="10"/>
        <v>5,000-7,999</v>
      </c>
    </row>
    <row r="682" spans="1:24" x14ac:dyDescent="0.3">
      <c r="A682">
        <v>949</v>
      </c>
      <c r="B682">
        <v>36</v>
      </c>
      <c r="C682" t="s">
        <v>36</v>
      </c>
      <c r="D682" t="s">
        <v>23</v>
      </c>
      <c r="E682" t="s">
        <v>38</v>
      </c>
      <c r="F682">
        <v>7</v>
      </c>
      <c r="G682" t="s">
        <v>47</v>
      </c>
      <c r="H682" t="s">
        <v>45</v>
      </c>
      <c r="I682" t="s">
        <v>27</v>
      </c>
      <c r="J682" t="s">
        <v>40</v>
      </c>
      <c r="K682" t="s">
        <v>29</v>
      </c>
      <c r="L682" t="s">
        <v>41</v>
      </c>
      <c r="M682" t="s">
        <v>31</v>
      </c>
      <c r="N682" t="s">
        <v>32</v>
      </c>
      <c r="O682">
        <v>4678</v>
      </c>
      <c r="P682">
        <v>2</v>
      </c>
      <c r="Q682" t="s">
        <v>36</v>
      </c>
      <c r="R682">
        <v>18</v>
      </c>
      <c r="S682" t="s">
        <v>33</v>
      </c>
      <c r="T682" t="s">
        <v>29</v>
      </c>
      <c r="U682">
        <v>6</v>
      </c>
      <c r="V682" t="s">
        <v>44</v>
      </c>
      <c r="W682" t="str">
        <f>IF(HR_Data[[#This Row],[age]]&lt;25,"Under 25",IF(HR_Data[[#This Row],[age]]&lt;35,"25-34",IF(HR_Data[[#This Row],[age]]&lt;45,"35-44",IF(HR_Data[[#This Row],[age]]&lt;55,"45-54","55+"))))</f>
        <v>35-44</v>
      </c>
      <c r="X682" t="str">
        <f t="shared" si="10"/>
        <v>3,000-4,999</v>
      </c>
    </row>
    <row r="683" spans="1:24" x14ac:dyDescent="0.3">
      <c r="A683">
        <v>950</v>
      </c>
      <c r="B683">
        <v>38</v>
      </c>
      <c r="C683" t="s">
        <v>36</v>
      </c>
      <c r="D683" t="s">
        <v>23</v>
      </c>
      <c r="E683" t="s">
        <v>38</v>
      </c>
      <c r="F683">
        <v>1</v>
      </c>
      <c r="G683" t="s">
        <v>50</v>
      </c>
      <c r="H683" t="s">
        <v>60</v>
      </c>
      <c r="I683" t="s">
        <v>31</v>
      </c>
      <c r="J683" t="s">
        <v>28</v>
      </c>
      <c r="K683" t="s">
        <v>29</v>
      </c>
      <c r="L683" t="s">
        <v>57</v>
      </c>
      <c r="M683" t="s">
        <v>34</v>
      </c>
      <c r="N683" t="s">
        <v>42</v>
      </c>
      <c r="O683">
        <v>13582</v>
      </c>
      <c r="P683">
        <v>1</v>
      </c>
      <c r="Q683" t="s">
        <v>36</v>
      </c>
      <c r="R683">
        <v>13</v>
      </c>
      <c r="S683" t="s">
        <v>33</v>
      </c>
      <c r="T683" t="s">
        <v>27</v>
      </c>
      <c r="U683">
        <v>3</v>
      </c>
      <c r="V683" t="s">
        <v>44</v>
      </c>
      <c r="W683" t="str">
        <f>IF(HR_Data[[#This Row],[age]]&lt;25,"Under 25",IF(HR_Data[[#This Row],[age]]&lt;35,"25-34",IF(HR_Data[[#This Row],[age]]&lt;45,"35-44",IF(HR_Data[[#This Row],[age]]&lt;55,"45-54","55+"))))</f>
        <v>35-44</v>
      </c>
      <c r="X683" t="str">
        <f t="shared" si="10"/>
        <v>8,000+</v>
      </c>
    </row>
    <row r="684" spans="1:24" x14ac:dyDescent="0.3">
      <c r="A684">
        <v>951</v>
      </c>
      <c r="B684">
        <v>32</v>
      </c>
      <c r="C684" t="s">
        <v>36</v>
      </c>
      <c r="D684" t="s">
        <v>54</v>
      </c>
      <c r="E684" t="s">
        <v>38</v>
      </c>
      <c r="F684">
        <v>1</v>
      </c>
      <c r="G684" t="s">
        <v>50</v>
      </c>
      <c r="H684" t="s">
        <v>26</v>
      </c>
      <c r="I684" t="s">
        <v>29</v>
      </c>
      <c r="J684" t="s">
        <v>28</v>
      </c>
      <c r="K684" t="s">
        <v>27</v>
      </c>
      <c r="L684" t="s">
        <v>46</v>
      </c>
      <c r="M684" t="s">
        <v>27</v>
      </c>
      <c r="N684" t="s">
        <v>42</v>
      </c>
      <c r="O684">
        <v>2332</v>
      </c>
      <c r="P684">
        <v>6</v>
      </c>
      <c r="Q684" t="s">
        <v>36</v>
      </c>
      <c r="R684">
        <v>20</v>
      </c>
      <c r="S684" t="s">
        <v>43</v>
      </c>
      <c r="T684" t="s">
        <v>29</v>
      </c>
      <c r="U684">
        <v>3</v>
      </c>
      <c r="V684" t="s">
        <v>44</v>
      </c>
      <c r="W684" t="str">
        <f>IF(HR_Data[[#This Row],[age]]&lt;25,"Under 25",IF(HR_Data[[#This Row],[age]]&lt;35,"25-34",IF(HR_Data[[#This Row],[age]]&lt;45,"35-44",IF(HR_Data[[#This Row],[age]]&lt;55,"45-54","55+"))))</f>
        <v>25-34</v>
      </c>
      <c r="X684" t="str">
        <f t="shared" si="10"/>
        <v>Below 3,000</v>
      </c>
    </row>
    <row r="685" spans="1:24" x14ac:dyDescent="0.3">
      <c r="A685">
        <v>952</v>
      </c>
      <c r="B685">
        <v>25</v>
      </c>
      <c r="C685" t="s">
        <v>22</v>
      </c>
      <c r="D685" t="s">
        <v>23</v>
      </c>
      <c r="E685" t="s">
        <v>24</v>
      </c>
      <c r="F685">
        <v>19</v>
      </c>
      <c r="G685" t="s">
        <v>25</v>
      </c>
      <c r="H685" t="s">
        <v>58</v>
      </c>
      <c r="I685" t="s">
        <v>29</v>
      </c>
      <c r="J685" t="s">
        <v>40</v>
      </c>
      <c r="K685" t="s">
        <v>27</v>
      </c>
      <c r="L685" t="s">
        <v>56</v>
      </c>
      <c r="M685" t="s">
        <v>27</v>
      </c>
      <c r="N685" t="s">
        <v>42</v>
      </c>
      <c r="O685">
        <v>2413</v>
      </c>
      <c r="P685">
        <v>1</v>
      </c>
      <c r="Q685" t="s">
        <v>22</v>
      </c>
      <c r="R685">
        <v>18</v>
      </c>
      <c r="S685" t="s">
        <v>33</v>
      </c>
      <c r="T685" t="s">
        <v>29</v>
      </c>
      <c r="U685">
        <v>2</v>
      </c>
      <c r="V685" t="s">
        <v>44</v>
      </c>
      <c r="W685" t="str">
        <f>IF(HR_Data[[#This Row],[age]]&lt;25,"Under 25",IF(HR_Data[[#This Row],[age]]&lt;35,"25-34",IF(HR_Data[[#This Row],[age]]&lt;45,"35-44",IF(HR_Data[[#This Row],[age]]&lt;55,"45-54","55+"))))</f>
        <v>25-34</v>
      </c>
      <c r="X685" t="str">
        <f t="shared" si="10"/>
        <v>Below 3,000</v>
      </c>
    </row>
    <row r="686" spans="1:24" x14ac:dyDescent="0.3">
      <c r="A686">
        <v>954</v>
      </c>
      <c r="B686">
        <v>40</v>
      </c>
      <c r="C686" t="s">
        <v>36</v>
      </c>
      <c r="D686" t="s">
        <v>23</v>
      </c>
      <c r="E686" t="s">
        <v>24</v>
      </c>
      <c r="F686">
        <v>10</v>
      </c>
      <c r="G686" t="s">
        <v>47</v>
      </c>
      <c r="H686" t="s">
        <v>58</v>
      </c>
      <c r="I686" t="s">
        <v>34</v>
      </c>
      <c r="J686" t="s">
        <v>40</v>
      </c>
      <c r="K686" t="s">
        <v>27</v>
      </c>
      <c r="L686" t="s">
        <v>30</v>
      </c>
      <c r="M686" t="s">
        <v>27</v>
      </c>
      <c r="N686" t="s">
        <v>51</v>
      </c>
      <c r="O686">
        <v>9705</v>
      </c>
      <c r="P686">
        <v>2</v>
      </c>
      <c r="Q686" t="s">
        <v>36</v>
      </c>
      <c r="R686">
        <v>12</v>
      </c>
      <c r="S686" t="s">
        <v>33</v>
      </c>
      <c r="T686" t="s">
        <v>27</v>
      </c>
      <c r="U686">
        <v>2</v>
      </c>
      <c r="V686" t="s">
        <v>49</v>
      </c>
      <c r="W686" t="str">
        <f>IF(HR_Data[[#This Row],[age]]&lt;25,"Under 25",IF(HR_Data[[#This Row],[age]]&lt;35,"25-34",IF(HR_Data[[#This Row],[age]]&lt;45,"35-44",IF(HR_Data[[#This Row],[age]]&lt;55,"45-54","55+"))))</f>
        <v>35-44</v>
      </c>
      <c r="X686" t="str">
        <f t="shared" si="10"/>
        <v>8,000+</v>
      </c>
    </row>
    <row r="687" spans="1:24" x14ac:dyDescent="0.3">
      <c r="A687">
        <v>956</v>
      </c>
      <c r="B687">
        <v>26</v>
      </c>
      <c r="C687" t="s">
        <v>36</v>
      </c>
      <c r="D687" t="s">
        <v>37</v>
      </c>
      <c r="E687" t="s">
        <v>24</v>
      </c>
      <c r="F687">
        <v>1</v>
      </c>
      <c r="G687" t="s">
        <v>50</v>
      </c>
      <c r="H687" t="s">
        <v>48</v>
      </c>
      <c r="I687" t="s">
        <v>29</v>
      </c>
      <c r="J687" t="s">
        <v>40</v>
      </c>
      <c r="K687" t="s">
        <v>27</v>
      </c>
      <c r="L687" t="s">
        <v>30</v>
      </c>
      <c r="M687" t="s">
        <v>34</v>
      </c>
      <c r="N687" t="s">
        <v>32</v>
      </c>
      <c r="O687">
        <v>4294</v>
      </c>
      <c r="P687">
        <v>1</v>
      </c>
      <c r="Q687" t="s">
        <v>36</v>
      </c>
      <c r="R687">
        <v>12</v>
      </c>
      <c r="S687" t="s">
        <v>33</v>
      </c>
      <c r="T687" t="s">
        <v>27</v>
      </c>
      <c r="U687">
        <v>2</v>
      </c>
      <c r="V687" t="s">
        <v>44</v>
      </c>
      <c r="W687" t="str">
        <f>IF(HR_Data[[#This Row],[age]]&lt;25,"Under 25",IF(HR_Data[[#This Row],[age]]&lt;35,"25-34",IF(HR_Data[[#This Row],[age]]&lt;45,"35-44",IF(HR_Data[[#This Row],[age]]&lt;55,"45-54","55+"))))</f>
        <v>25-34</v>
      </c>
      <c r="X687" t="str">
        <f t="shared" si="10"/>
        <v>3,000-4,999</v>
      </c>
    </row>
    <row r="688" spans="1:24" x14ac:dyDescent="0.3">
      <c r="A688">
        <v>957</v>
      </c>
      <c r="B688">
        <v>41</v>
      </c>
      <c r="C688" t="s">
        <v>36</v>
      </c>
      <c r="D688" t="s">
        <v>23</v>
      </c>
      <c r="E688" t="s">
        <v>38</v>
      </c>
      <c r="F688">
        <v>6</v>
      </c>
      <c r="G688" t="s">
        <v>50</v>
      </c>
      <c r="H688" t="s">
        <v>48</v>
      </c>
      <c r="I688" t="s">
        <v>31</v>
      </c>
      <c r="J688" t="s">
        <v>40</v>
      </c>
      <c r="K688" t="s">
        <v>29</v>
      </c>
      <c r="L688" t="s">
        <v>46</v>
      </c>
      <c r="M688" t="s">
        <v>34</v>
      </c>
      <c r="N688" t="s">
        <v>32</v>
      </c>
      <c r="O688">
        <v>4721</v>
      </c>
      <c r="P688">
        <v>2</v>
      </c>
      <c r="Q688" t="s">
        <v>22</v>
      </c>
      <c r="R688">
        <v>13</v>
      </c>
      <c r="S688" t="s">
        <v>33</v>
      </c>
      <c r="T688" t="s">
        <v>29</v>
      </c>
      <c r="U688">
        <v>3</v>
      </c>
      <c r="V688" t="s">
        <v>44</v>
      </c>
      <c r="W688" t="str">
        <f>IF(HR_Data[[#This Row],[age]]&lt;25,"Under 25",IF(HR_Data[[#This Row],[age]]&lt;35,"25-34",IF(HR_Data[[#This Row],[age]]&lt;45,"35-44",IF(HR_Data[[#This Row],[age]]&lt;55,"45-54","55+"))))</f>
        <v>35-44</v>
      </c>
      <c r="X688" t="str">
        <f t="shared" si="10"/>
        <v>3,000-4,999</v>
      </c>
    </row>
    <row r="689" spans="1:24" x14ac:dyDescent="0.3">
      <c r="A689">
        <v>958</v>
      </c>
      <c r="B689">
        <v>36</v>
      </c>
      <c r="C689" t="s">
        <v>36</v>
      </c>
      <c r="D689" t="s">
        <v>23</v>
      </c>
      <c r="E689" t="s">
        <v>38</v>
      </c>
      <c r="F689">
        <v>2</v>
      </c>
      <c r="G689" t="s">
        <v>47</v>
      </c>
      <c r="H689" t="s">
        <v>48</v>
      </c>
      <c r="I689" t="s">
        <v>29</v>
      </c>
      <c r="J689" t="s">
        <v>40</v>
      </c>
      <c r="K689" t="s">
        <v>29</v>
      </c>
      <c r="L689" t="s">
        <v>46</v>
      </c>
      <c r="M689" t="s">
        <v>29</v>
      </c>
      <c r="N689" t="s">
        <v>32</v>
      </c>
      <c r="O689">
        <v>2519</v>
      </c>
      <c r="P689">
        <v>4</v>
      </c>
      <c r="Q689" t="s">
        <v>36</v>
      </c>
      <c r="R689">
        <v>21</v>
      </c>
      <c r="S689" t="s">
        <v>43</v>
      </c>
      <c r="T689" t="s">
        <v>29</v>
      </c>
      <c r="U689">
        <v>6</v>
      </c>
      <c r="V689" t="s">
        <v>44</v>
      </c>
      <c r="W689" t="str">
        <f>IF(HR_Data[[#This Row],[age]]&lt;25,"Under 25",IF(HR_Data[[#This Row],[age]]&lt;35,"25-34",IF(HR_Data[[#This Row],[age]]&lt;45,"35-44",IF(HR_Data[[#This Row],[age]]&lt;55,"45-54","55+"))))</f>
        <v>35-44</v>
      </c>
      <c r="X689" t="str">
        <f t="shared" si="10"/>
        <v>Below 3,000</v>
      </c>
    </row>
    <row r="690" spans="1:24" x14ac:dyDescent="0.3">
      <c r="A690">
        <v>959</v>
      </c>
      <c r="B690">
        <v>19</v>
      </c>
      <c r="C690" t="s">
        <v>22</v>
      </c>
      <c r="D690" t="s">
        <v>23</v>
      </c>
      <c r="E690" t="s">
        <v>24</v>
      </c>
      <c r="F690">
        <v>21</v>
      </c>
      <c r="G690" t="s">
        <v>50</v>
      </c>
      <c r="H690" t="s">
        <v>45</v>
      </c>
      <c r="I690" t="s">
        <v>31</v>
      </c>
      <c r="J690" t="s">
        <v>40</v>
      </c>
      <c r="K690" t="s">
        <v>27</v>
      </c>
      <c r="L690" t="s">
        <v>56</v>
      </c>
      <c r="M690" t="s">
        <v>27</v>
      </c>
      <c r="N690" t="s">
        <v>32</v>
      </c>
      <c r="O690">
        <v>2121</v>
      </c>
      <c r="P690">
        <v>1</v>
      </c>
      <c r="Q690" t="s">
        <v>22</v>
      </c>
      <c r="R690">
        <v>13</v>
      </c>
      <c r="S690" t="s">
        <v>33</v>
      </c>
      <c r="T690" t="s">
        <v>27</v>
      </c>
      <c r="U690">
        <v>3</v>
      </c>
      <c r="V690" t="s">
        <v>59</v>
      </c>
      <c r="W690" t="str">
        <f>IF(HR_Data[[#This Row],[age]]&lt;25,"Under 25",IF(HR_Data[[#This Row],[age]]&lt;35,"25-34",IF(HR_Data[[#This Row],[age]]&lt;45,"35-44",IF(HR_Data[[#This Row],[age]]&lt;55,"45-54","55+"))))</f>
        <v>Under 25</v>
      </c>
      <c r="X690" t="str">
        <f t="shared" si="10"/>
        <v>Below 3,000</v>
      </c>
    </row>
    <row r="691" spans="1:24" x14ac:dyDescent="0.3">
      <c r="A691">
        <v>960</v>
      </c>
      <c r="B691">
        <v>20</v>
      </c>
      <c r="C691" t="s">
        <v>22</v>
      </c>
      <c r="D691" t="s">
        <v>23</v>
      </c>
      <c r="E691" t="s">
        <v>38</v>
      </c>
      <c r="F691">
        <v>4</v>
      </c>
      <c r="G691" t="s">
        <v>50</v>
      </c>
      <c r="H691" t="s">
        <v>60</v>
      </c>
      <c r="I691" t="s">
        <v>34</v>
      </c>
      <c r="J691" t="s">
        <v>40</v>
      </c>
      <c r="K691" t="s">
        <v>29</v>
      </c>
      <c r="L691" t="s">
        <v>46</v>
      </c>
      <c r="M691" t="s">
        <v>34</v>
      </c>
      <c r="N691" t="s">
        <v>32</v>
      </c>
      <c r="O691">
        <v>2973</v>
      </c>
      <c r="P691">
        <v>1</v>
      </c>
      <c r="Q691" t="s">
        <v>36</v>
      </c>
      <c r="R691">
        <v>19</v>
      </c>
      <c r="S691" t="s">
        <v>33</v>
      </c>
      <c r="T691" t="s">
        <v>27</v>
      </c>
      <c r="U691">
        <v>2</v>
      </c>
      <c r="V691" t="s">
        <v>44</v>
      </c>
      <c r="W691" t="str">
        <f>IF(HR_Data[[#This Row],[age]]&lt;25,"Under 25",IF(HR_Data[[#This Row],[age]]&lt;35,"25-34",IF(HR_Data[[#This Row],[age]]&lt;45,"35-44",IF(HR_Data[[#This Row],[age]]&lt;55,"45-54","55+"))))</f>
        <v>Under 25</v>
      </c>
      <c r="X691" t="str">
        <f t="shared" si="10"/>
        <v>Below 3,000</v>
      </c>
    </row>
    <row r="692" spans="1:24" x14ac:dyDescent="0.3">
      <c r="A692">
        <v>961</v>
      </c>
      <c r="B692">
        <v>31</v>
      </c>
      <c r="C692" t="s">
        <v>36</v>
      </c>
      <c r="D692" t="s">
        <v>23</v>
      </c>
      <c r="E692" t="s">
        <v>38</v>
      </c>
      <c r="F692">
        <v>12</v>
      </c>
      <c r="G692" t="s">
        <v>50</v>
      </c>
      <c r="H692" t="s">
        <v>48</v>
      </c>
      <c r="I692" t="s">
        <v>31</v>
      </c>
      <c r="J692" t="s">
        <v>28</v>
      </c>
      <c r="K692" t="s">
        <v>29</v>
      </c>
      <c r="L692" t="s">
        <v>53</v>
      </c>
      <c r="M692" t="s">
        <v>31</v>
      </c>
      <c r="N692" t="s">
        <v>42</v>
      </c>
      <c r="O692">
        <v>5855</v>
      </c>
      <c r="P692">
        <v>0</v>
      </c>
      <c r="Q692" t="s">
        <v>22</v>
      </c>
      <c r="R692">
        <v>11</v>
      </c>
      <c r="S692" t="s">
        <v>33</v>
      </c>
      <c r="T692" t="s">
        <v>29</v>
      </c>
      <c r="U692">
        <v>2</v>
      </c>
      <c r="V692" t="s">
        <v>35</v>
      </c>
      <c r="W692" t="str">
        <f>IF(HR_Data[[#This Row],[age]]&lt;25,"Under 25",IF(HR_Data[[#This Row],[age]]&lt;35,"25-34",IF(HR_Data[[#This Row],[age]]&lt;45,"35-44",IF(HR_Data[[#This Row],[age]]&lt;55,"45-54","55+"))))</f>
        <v>25-34</v>
      </c>
      <c r="X692" t="str">
        <f t="shared" si="10"/>
        <v>5,000-7,999</v>
      </c>
    </row>
    <row r="693" spans="1:24" x14ac:dyDescent="0.3">
      <c r="A693">
        <v>964</v>
      </c>
      <c r="B693">
        <v>40</v>
      </c>
      <c r="C693" t="s">
        <v>36</v>
      </c>
      <c r="D693" t="s">
        <v>37</v>
      </c>
      <c r="E693" t="s">
        <v>38</v>
      </c>
      <c r="F693">
        <v>9</v>
      </c>
      <c r="G693" t="s">
        <v>47</v>
      </c>
      <c r="H693" t="s">
        <v>48</v>
      </c>
      <c r="I693" t="s">
        <v>31</v>
      </c>
      <c r="J693" t="s">
        <v>40</v>
      </c>
      <c r="K693" t="s">
        <v>29</v>
      </c>
      <c r="L693" t="s">
        <v>41</v>
      </c>
      <c r="M693" t="s">
        <v>27</v>
      </c>
      <c r="N693" t="s">
        <v>51</v>
      </c>
      <c r="O693">
        <v>3617</v>
      </c>
      <c r="P693">
        <v>8</v>
      </c>
      <c r="Q693" t="s">
        <v>22</v>
      </c>
      <c r="R693">
        <v>14</v>
      </c>
      <c r="S693" t="s">
        <v>33</v>
      </c>
      <c r="T693" t="s">
        <v>31</v>
      </c>
      <c r="U693">
        <v>2</v>
      </c>
      <c r="V693" t="s">
        <v>44</v>
      </c>
      <c r="W693" t="str">
        <f>IF(HR_Data[[#This Row],[age]]&lt;25,"Under 25",IF(HR_Data[[#This Row],[age]]&lt;35,"25-34",IF(HR_Data[[#This Row],[age]]&lt;45,"35-44",IF(HR_Data[[#This Row],[age]]&lt;55,"45-54","55+"))))</f>
        <v>35-44</v>
      </c>
      <c r="X693" t="str">
        <f t="shared" si="10"/>
        <v>3,000-4,999</v>
      </c>
    </row>
    <row r="694" spans="1:24" x14ac:dyDescent="0.3">
      <c r="A694">
        <v>966</v>
      </c>
      <c r="B694">
        <v>32</v>
      </c>
      <c r="C694" t="s">
        <v>36</v>
      </c>
      <c r="D694" t="s">
        <v>23</v>
      </c>
      <c r="E694" t="s">
        <v>38</v>
      </c>
      <c r="F694">
        <v>3</v>
      </c>
      <c r="G694" t="s">
        <v>47</v>
      </c>
      <c r="H694" t="s">
        <v>48</v>
      </c>
      <c r="I694" t="s">
        <v>29</v>
      </c>
      <c r="J694" t="s">
        <v>28</v>
      </c>
      <c r="K694" t="s">
        <v>29</v>
      </c>
      <c r="L694" t="s">
        <v>52</v>
      </c>
      <c r="M694" t="s">
        <v>34</v>
      </c>
      <c r="N694" t="s">
        <v>42</v>
      </c>
      <c r="O694">
        <v>6725</v>
      </c>
      <c r="P694">
        <v>1</v>
      </c>
      <c r="Q694" t="s">
        <v>36</v>
      </c>
      <c r="R694">
        <v>12</v>
      </c>
      <c r="S694" t="s">
        <v>33</v>
      </c>
      <c r="T694" t="s">
        <v>29</v>
      </c>
      <c r="U694">
        <v>2</v>
      </c>
      <c r="V694" t="s">
        <v>59</v>
      </c>
      <c r="W694" t="str">
        <f>IF(HR_Data[[#This Row],[age]]&lt;25,"Under 25",IF(HR_Data[[#This Row],[age]]&lt;35,"25-34",IF(HR_Data[[#This Row],[age]]&lt;45,"35-44",IF(HR_Data[[#This Row],[age]]&lt;55,"45-54","55+"))))</f>
        <v>25-34</v>
      </c>
      <c r="X694" t="str">
        <f t="shared" si="10"/>
        <v>5,000-7,999</v>
      </c>
    </row>
    <row r="695" spans="1:24" x14ac:dyDescent="0.3">
      <c r="A695">
        <v>967</v>
      </c>
      <c r="B695">
        <v>36</v>
      </c>
      <c r="C695" t="s">
        <v>22</v>
      </c>
      <c r="D695" t="s">
        <v>23</v>
      </c>
      <c r="E695" t="s">
        <v>24</v>
      </c>
      <c r="F695">
        <v>3</v>
      </c>
      <c r="G695" t="s">
        <v>39</v>
      </c>
      <c r="H695" t="s">
        <v>26</v>
      </c>
      <c r="I695" t="s">
        <v>29</v>
      </c>
      <c r="J695" t="s">
        <v>40</v>
      </c>
      <c r="K695" t="s">
        <v>27</v>
      </c>
      <c r="L695" t="s">
        <v>30</v>
      </c>
      <c r="M695" t="s">
        <v>31</v>
      </c>
      <c r="N695" t="s">
        <v>42</v>
      </c>
      <c r="O695">
        <v>10325</v>
      </c>
      <c r="P695">
        <v>1</v>
      </c>
      <c r="Q695" t="s">
        <v>22</v>
      </c>
      <c r="R695">
        <v>11</v>
      </c>
      <c r="S695" t="s">
        <v>33</v>
      </c>
      <c r="T695" t="s">
        <v>34</v>
      </c>
      <c r="U695">
        <v>6</v>
      </c>
      <c r="V695" t="s">
        <v>44</v>
      </c>
      <c r="W695" t="str">
        <f>IF(HR_Data[[#This Row],[age]]&lt;25,"Under 25",IF(HR_Data[[#This Row],[age]]&lt;35,"25-34",IF(HR_Data[[#This Row],[age]]&lt;45,"35-44",IF(HR_Data[[#This Row],[age]]&lt;55,"45-54","55+"))))</f>
        <v>35-44</v>
      </c>
      <c r="X695" t="str">
        <f t="shared" si="10"/>
        <v>8,000+</v>
      </c>
    </row>
    <row r="696" spans="1:24" x14ac:dyDescent="0.3">
      <c r="A696">
        <v>969</v>
      </c>
      <c r="B696">
        <v>33</v>
      </c>
      <c r="C696" t="s">
        <v>36</v>
      </c>
      <c r="D696" t="s">
        <v>23</v>
      </c>
      <c r="E696" t="s">
        <v>38</v>
      </c>
      <c r="F696">
        <v>1</v>
      </c>
      <c r="G696" t="s">
        <v>50</v>
      </c>
      <c r="H696" t="s">
        <v>26</v>
      </c>
      <c r="I696" t="s">
        <v>27</v>
      </c>
      <c r="J696" t="s">
        <v>28</v>
      </c>
      <c r="K696" t="s">
        <v>27</v>
      </c>
      <c r="L696" t="s">
        <v>53</v>
      </c>
      <c r="M696" t="s">
        <v>31</v>
      </c>
      <c r="N696" t="s">
        <v>32</v>
      </c>
      <c r="O696">
        <v>6949</v>
      </c>
      <c r="P696">
        <v>0</v>
      </c>
      <c r="Q696" t="s">
        <v>36</v>
      </c>
      <c r="R696">
        <v>14</v>
      </c>
      <c r="S696" t="s">
        <v>33</v>
      </c>
      <c r="T696" t="s">
        <v>34</v>
      </c>
      <c r="U696">
        <v>3</v>
      </c>
      <c r="V696" t="s">
        <v>44</v>
      </c>
      <c r="W696" t="str">
        <f>IF(HR_Data[[#This Row],[age]]&lt;25,"Under 25",IF(HR_Data[[#This Row],[age]]&lt;35,"25-34",IF(HR_Data[[#This Row],[age]]&lt;45,"35-44",IF(HR_Data[[#This Row],[age]]&lt;55,"45-54","55+"))))</f>
        <v>25-34</v>
      </c>
      <c r="X696" t="str">
        <f t="shared" si="10"/>
        <v>5,000-7,999</v>
      </c>
    </row>
    <row r="697" spans="1:24" x14ac:dyDescent="0.3">
      <c r="A697">
        <v>970</v>
      </c>
      <c r="B697">
        <v>37</v>
      </c>
      <c r="C697" t="s">
        <v>22</v>
      </c>
      <c r="D697" t="s">
        <v>23</v>
      </c>
      <c r="E697" t="s">
        <v>24</v>
      </c>
      <c r="F697">
        <v>1</v>
      </c>
      <c r="G697" t="s">
        <v>47</v>
      </c>
      <c r="H697" t="s">
        <v>26</v>
      </c>
      <c r="I697" t="s">
        <v>34</v>
      </c>
      <c r="J697" t="s">
        <v>40</v>
      </c>
      <c r="K697" t="s">
        <v>27</v>
      </c>
      <c r="L697" t="s">
        <v>30</v>
      </c>
      <c r="M697" t="s">
        <v>29</v>
      </c>
      <c r="N697" t="s">
        <v>42</v>
      </c>
      <c r="O697">
        <v>10609</v>
      </c>
      <c r="P697">
        <v>5</v>
      </c>
      <c r="Q697" t="s">
        <v>36</v>
      </c>
      <c r="R697">
        <v>11</v>
      </c>
      <c r="S697" t="s">
        <v>33</v>
      </c>
      <c r="T697" t="s">
        <v>29</v>
      </c>
      <c r="U697">
        <v>2</v>
      </c>
      <c r="V697" t="s">
        <v>35</v>
      </c>
      <c r="W697" t="str">
        <f>IF(HR_Data[[#This Row],[age]]&lt;25,"Under 25",IF(HR_Data[[#This Row],[age]]&lt;35,"25-34",IF(HR_Data[[#This Row],[age]]&lt;45,"35-44",IF(HR_Data[[#This Row],[age]]&lt;55,"45-54","55+"))))</f>
        <v>35-44</v>
      </c>
      <c r="X697" t="str">
        <f t="shared" si="10"/>
        <v>8,000+</v>
      </c>
    </row>
    <row r="698" spans="1:24" x14ac:dyDescent="0.3">
      <c r="A698">
        <v>972</v>
      </c>
      <c r="B698">
        <v>45</v>
      </c>
      <c r="C698" t="s">
        <v>36</v>
      </c>
      <c r="D698" t="s">
        <v>54</v>
      </c>
      <c r="E698" t="s">
        <v>38</v>
      </c>
      <c r="F698">
        <v>4</v>
      </c>
      <c r="G698" t="s">
        <v>25</v>
      </c>
      <c r="H698" t="s">
        <v>26</v>
      </c>
      <c r="I698" t="s">
        <v>29</v>
      </c>
      <c r="J698" t="s">
        <v>40</v>
      </c>
      <c r="K698" t="s">
        <v>29</v>
      </c>
      <c r="L698" t="s">
        <v>46</v>
      </c>
      <c r="M698" t="s">
        <v>27</v>
      </c>
      <c r="N698" t="s">
        <v>42</v>
      </c>
      <c r="O698">
        <v>4447</v>
      </c>
      <c r="P698">
        <v>1</v>
      </c>
      <c r="Q698" t="s">
        <v>36</v>
      </c>
      <c r="R698">
        <v>12</v>
      </c>
      <c r="S698" t="s">
        <v>33</v>
      </c>
      <c r="T698" t="s">
        <v>27</v>
      </c>
      <c r="U698">
        <v>5</v>
      </c>
      <c r="V698" t="s">
        <v>49</v>
      </c>
      <c r="W698" t="str">
        <f>IF(HR_Data[[#This Row],[age]]&lt;25,"Under 25",IF(HR_Data[[#This Row],[age]]&lt;35,"25-34",IF(HR_Data[[#This Row],[age]]&lt;45,"35-44",IF(HR_Data[[#This Row],[age]]&lt;55,"45-54","55+"))))</f>
        <v>45-54</v>
      </c>
      <c r="X698" t="str">
        <f t="shared" si="10"/>
        <v>3,000-4,999</v>
      </c>
    </row>
    <row r="699" spans="1:24" x14ac:dyDescent="0.3">
      <c r="A699">
        <v>974</v>
      </c>
      <c r="B699">
        <v>29</v>
      </c>
      <c r="C699" t="s">
        <v>36</v>
      </c>
      <c r="D699" t="s">
        <v>37</v>
      </c>
      <c r="E699" t="s">
        <v>24</v>
      </c>
      <c r="F699">
        <v>20</v>
      </c>
      <c r="G699" t="s">
        <v>50</v>
      </c>
      <c r="H699" t="s">
        <v>60</v>
      </c>
      <c r="I699" t="s">
        <v>29</v>
      </c>
      <c r="J699" t="s">
        <v>28</v>
      </c>
      <c r="K699" t="s">
        <v>29</v>
      </c>
      <c r="L699" t="s">
        <v>56</v>
      </c>
      <c r="M699" t="s">
        <v>31</v>
      </c>
      <c r="N699" t="s">
        <v>42</v>
      </c>
      <c r="O699">
        <v>2157</v>
      </c>
      <c r="P699">
        <v>1</v>
      </c>
      <c r="Q699" t="s">
        <v>36</v>
      </c>
      <c r="R699">
        <v>15</v>
      </c>
      <c r="S699" t="s">
        <v>33</v>
      </c>
      <c r="T699" t="s">
        <v>27</v>
      </c>
      <c r="U699">
        <v>5</v>
      </c>
      <c r="V699" t="s">
        <v>44</v>
      </c>
      <c r="W699" t="str">
        <f>IF(HR_Data[[#This Row],[age]]&lt;25,"Under 25",IF(HR_Data[[#This Row],[age]]&lt;35,"25-34",IF(HR_Data[[#This Row],[age]]&lt;45,"35-44",IF(HR_Data[[#This Row],[age]]&lt;55,"45-54","55+"))))</f>
        <v>25-34</v>
      </c>
      <c r="X699" t="str">
        <f t="shared" si="10"/>
        <v>Below 3,000</v>
      </c>
    </row>
    <row r="700" spans="1:24" x14ac:dyDescent="0.3">
      <c r="A700">
        <v>975</v>
      </c>
      <c r="B700">
        <v>35</v>
      </c>
      <c r="C700" t="s">
        <v>36</v>
      </c>
      <c r="D700" t="s">
        <v>23</v>
      </c>
      <c r="E700" t="s">
        <v>24</v>
      </c>
      <c r="F700">
        <v>18</v>
      </c>
      <c r="G700" t="s">
        <v>50</v>
      </c>
      <c r="H700" t="s">
        <v>48</v>
      </c>
      <c r="I700" t="s">
        <v>29</v>
      </c>
      <c r="J700" t="s">
        <v>28</v>
      </c>
      <c r="K700" t="s">
        <v>29</v>
      </c>
      <c r="L700" t="s">
        <v>30</v>
      </c>
      <c r="M700" t="s">
        <v>29</v>
      </c>
      <c r="N700" t="s">
        <v>42</v>
      </c>
      <c r="O700">
        <v>4601</v>
      </c>
      <c r="P700">
        <v>1</v>
      </c>
      <c r="Q700" t="s">
        <v>36</v>
      </c>
      <c r="R700">
        <v>16</v>
      </c>
      <c r="S700" t="s">
        <v>33</v>
      </c>
      <c r="T700" t="s">
        <v>27</v>
      </c>
      <c r="U700">
        <v>3</v>
      </c>
      <c r="V700" t="s">
        <v>44</v>
      </c>
      <c r="W700" t="str">
        <f>IF(HR_Data[[#This Row],[age]]&lt;25,"Under 25",IF(HR_Data[[#This Row],[age]]&lt;35,"25-34",IF(HR_Data[[#This Row],[age]]&lt;45,"35-44",IF(HR_Data[[#This Row],[age]]&lt;55,"45-54","55+"))))</f>
        <v>35-44</v>
      </c>
      <c r="X700" t="str">
        <f t="shared" si="10"/>
        <v>3,000-4,999</v>
      </c>
    </row>
    <row r="701" spans="1:24" x14ac:dyDescent="0.3">
      <c r="A701">
        <v>976</v>
      </c>
      <c r="B701">
        <v>52</v>
      </c>
      <c r="C701" t="s">
        <v>36</v>
      </c>
      <c r="D701" t="s">
        <v>23</v>
      </c>
      <c r="E701" t="s">
        <v>38</v>
      </c>
      <c r="F701">
        <v>1</v>
      </c>
      <c r="G701" t="s">
        <v>25</v>
      </c>
      <c r="H701" t="s">
        <v>26</v>
      </c>
      <c r="I701" t="s">
        <v>31</v>
      </c>
      <c r="J701" t="s">
        <v>40</v>
      </c>
      <c r="K701" t="s">
        <v>29</v>
      </c>
      <c r="L701" t="s">
        <v>55</v>
      </c>
      <c r="M701" t="s">
        <v>31</v>
      </c>
      <c r="N701" t="s">
        <v>42</v>
      </c>
      <c r="O701">
        <v>17099</v>
      </c>
      <c r="P701">
        <v>2</v>
      </c>
      <c r="Q701" t="s">
        <v>36</v>
      </c>
      <c r="R701">
        <v>15</v>
      </c>
      <c r="S701" t="s">
        <v>33</v>
      </c>
      <c r="T701" t="s">
        <v>27</v>
      </c>
      <c r="U701">
        <v>2</v>
      </c>
      <c r="V701" t="s">
        <v>49</v>
      </c>
      <c r="W701" t="str">
        <f>IF(HR_Data[[#This Row],[age]]&lt;25,"Under 25",IF(HR_Data[[#This Row],[age]]&lt;35,"25-34",IF(HR_Data[[#This Row],[age]]&lt;45,"35-44",IF(HR_Data[[#This Row],[age]]&lt;55,"45-54","55+"))))</f>
        <v>45-54</v>
      </c>
      <c r="X701" t="str">
        <f t="shared" si="10"/>
        <v>8,000+</v>
      </c>
    </row>
    <row r="702" spans="1:24" x14ac:dyDescent="0.3">
      <c r="A702">
        <v>977</v>
      </c>
      <c r="B702">
        <v>58</v>
      </c>
      <c r="C702" t="s">
        <v>22</v>
      </c>
      <c r="D702" t="s">
        <v>23</v>
      </c>
      <c r="E702" t="s">
        <v>38</v>
      </c>
      <c r="F702">
        <v>2</v>
      </c>
      <c r="G702" t="s">
        <v>50</v>
      </c>
      <c r="H702" t="s">
        <v>60</v>
      </c>
      <c r="I702" t="s">
        <v>31</v>
      </c>
      <c r="J702" t="s">
        <v>40</v>
      </c>
      <c r="K702" t="s">
        <v>29</v>
      </c>
      <c r="L702" t="s">
        <v>41</v>
      </c>
      <c r="M702" t="s">
        <v>29</v>
      </c>
      <c r="N702" t="s">
        <v>32</v>
      </c>
      <c r="O702">
        <v>2479</v>
      </c>
      <c r="P702">
        <v>4</v>
      </c>
      <c r="Q702" t="s">
        <v>36</v>
      </c>
      <c r="R702">
        <v>24</v>
      </c>
      <c r="S702" t="s">
        <v>43</v>
      </c>
      <c r="T702" t="s">
        <v>34</v>
      </c>
      <c r="U702">
        <v>4</v>
      </c>
      <c r="V702" t="s">
        <v>44</v>
      </c>
      <c r="W702" t="str">
        <f>IF(HR_Data[[#This Row],[age]]&lt;25,"Under 25",IF(HR_Data[[#This Row],[age]]&lt;35,"25-34",IF(HR_Data[[#This Row],[age]]&lt;45,"35-44",IF(HR_Data[[#This Row],[age]]&lt;55,"45-54","55+"))))</f>
        <v>55+</v>
      </c>
      <c r="X702" t="str">
        <f t="shared" si="10"/>
        <v>Below 3,000</v>
      </c>
    </row>
    <row r="703" spans="1:24" x14ac:dyDescent="0.3">
      <c r="A703">
        <v>981</v>
      </c>
      <c r="B703">
        <v>53</v>
      </c>
      <c r="C703" t="s">
        <v>36</v>
      </c>
      <c r="D703" t="s">
        <v>23</v>
      </c>
      <c r="E703" t="s">
        <v>24</v>
      </c>
      <c r="F703">
        <v>2</v>
      </c>
      <c r="G703" t="s">
        <v>25</v>
      </c>
      <c r="H703" t="s">
        <v>48</v>
      </c>
      <c r="I703" t="s">
        <v>29</v>
      </c>
      <c r="J703" t="s">
        <v>40</v>
      </c>
      <c r="K703" t="s">
        <v>29</v>
      </c>
      <c r="L703" t="s">
        <v>55</v>
      </c>
      <c r="M703" t="s">
        <v>29</v>
      </c>
      <c r="N703" t="s">
        <v>51</v>
      </c>
      <c r="O703">
        <v>14852</v>
      </c>
      <c r="P703">
        <v>6</v>
      </c>
      <c r="Q703" t="s">
        <v>36</v>
      </c>
      <c r="R703">
        <v>13</v>
      </c>
      <c r="S703" t="s">
        <v>33</v>
      </c>
      <c r="T703" t="s">
        <v>29</v>
      </c>
      <c r="U703">
        <v>3</v>
      </c>
      <c r="V703" t="s">
        <v>59</v>
      </c>
      <c r="W703" t="str">
        <f>IF(HR_Data[[#This Row],[age]]&lt;25,"Under 25",IF(HR_Data[[#This Row],[age]]&lt;35,"25-34",IF(HR_Data[[#This Row],[age]]&lt;45,"35-44",IF(HR_Data[[#This Row],[age]]&lt;55,"45-54","55+"))))</f>
        <v>45-54</v>
      </c>
      <c r="X703" t="str">
        <f t="shared" si="10"/>
        <v>8,000+</v>
      </c>
    </row>
    <row r="704" spans="1:24" x14ac:dyDescent="0.3">
      <c r="A704">
        <v>982</v>
      </c>
      <c r="B704">
        <v>30</v>
      </c>
      <c r="C704" t="s">
        <v>36</v>
      </c>
      <c r="D704" t="s">
        <v>23</v>
      </c>
      <c r="E704" t="s">
        <v>24</v>
      </c>
      <c r="F704">
        <v>8</v>
      </c>
      <c r="G704" t="s">
        <v>25</v>
      </c>
      <c r="H704" t="s">
        <v>45</v>
      </c>
      <c r="I704" t="s">
        <v>29</v>
      </c>
      <c r="J704" t="s">
        <v>40</v>
      </c>
      <c r="K704" t="s">
        <v>29</v>
      </c>
      <c r="L704" t="s">
        <v>30</v>
      </c>
      <c r="M704" t="s">
        <v>29</v>
      </c>
      <c r="N704" t="s">
        <v>51</v>
      </c>
      <c r="O704">
        <v>7264</v>
      </c>
      <c r="P704">
        <v>5</v>
      </c>
      <c r="Q704" t="s">
        <v>36</v>
      </c>
      <c r="R704">
        <v>11</v>
      </c>
      <c r="S704" t="s">
        <v>33</v>
      </c>
      <c r="T704" t="s">
        <v>34</v>
      </c>
      <c r="U704">
        <v>2</v>
      </c>
      <c r="V704" t="s">
        <v>59</v>
      </c>
      <c r="W704" t="str">
        <f>IF(HR_Data[[#This Row],[age]]&lt;25,"Under 25",IF(HR_Data[[#This Row],[age]]&lt;35,"25-34",IF(HR_Data[[#This Row],[age]]&lt;45,"35-44",IF(HR_Data[[#This Row],[age]]&lt;55,"45-54","55+"))))</f>
        <v>25-34</v>
      </c>
      <c r="X704" t="str">
        <f t="shared" si="10"/>
        <v>5,000-7,999</v>
      </c>
    </row>
    <row r="705" spans="1:24" x14ac:dyDescent="0.3">
      <c r="A705">
        <v>983</v>
      </c>
      <c r="B705">
        <v>38</v>
      </c>
      <c r="C705" t="s">
        <v>36</v>
      </c>
      <c r="D705" t="s">
        <v>54</v>
      </c>
      <c r="E705" t="s">
        <v>24</v>
      </c>
      <c r="F705">
        <v>10</v>
      </c>
      <c r="G705" t="s">
        <v>50</v>
      </c>
      <c r="H705" t="s">
        <v>60</v>
      </c>
      <c r="I705" t="s">
        <v>29</v>
      </c>
      <c r="J705" t="s">
        <v>28</v>
      </c>
      <c r="K705" t="s">
        <v>29</v>
      </c>
      <c r="L705" t="s">
        <v>30</v>
      </c>
      <c r="M705" t="s">
        <v>31</v>
      </c>
      <c r="N705" t="s">
        <v>32</v>
      </c>
      <c r="O705">
        <v>5666</v>
      </c>
      <c r="P705">
        <v>1</v>
      </c>
      <c r="Q705" t="s">
        <v>22</v>
      </c>
      <c r="R705">
        <v>13</v>
      </c>
      <c r="S705" t="s">
        <v>33</v>
      </c>
      <c r="T705" t="s">
        <v>27</v>
      </c>
      <c r="U705">
        <v>1</v>
      </c>
      <c r="V705" t="s">
        <v>44</v>
      </c>
      <c r="W705" t="str">
        <f>IF(HR_Data[[#This Row],[age]]&lt;25,"Under 25",IF(HR_Data[[#This Row],[age]]&lt;35,"25-34",IF(HR_Data[[#This Row],[age]]&lt;45,"35-44",IF(HR_Data[[#This Row],[age]]&lt;55,"45-54","55+"))))</f>
        <v>35-44</v>
      </c>
      <c r="X705" t="str">
        <f t="shared" si="10"/>
        <v>5,000-7,999</v>
      </c>
    </row>
    <row r="706" spans="1:24" x14ac:dyDescent="0.3">
      <c r="A706">
        <v>984</v>
      </c>
      <c r="B706">
        <v>35</v>
      </c>
      <c r="C706" t="s">
        <v>36</v>
      </c>
      <c r="D706" t="s">
        <v>23</v>
      </c>
      <c r="E706" t="s">
        <v>24</v>
      </c>
      <c r="F706">
        <v>3</v>
      </c>
      <c r="G706" t="s">
        <v>47</v>
      </c>
      <c r="H706" t="s">
        <v>26</v>
      </c>
      <c r="I706" t="s">
        <v>31</v>
      </c>
      <c r="J706" t="s">
        <v>40</v>
      </c>
      <c r="K706" t="s">
        <v>29</v>
      </c>
      <c r="L706" t="s">
        <v>30</v>
      </c>
      <c r="M706" t="s">
        <v>31</v>
      </c>
      <c r="N706" t="s">
        <v>51</v>
      </c>
      <c r="O706">
        <v>7823</v>
      </c>
      <c r="P706">
        <v>6</v>
      </c>
      <c r="Q706" t="s">
        <v>36</v>
      </c>
      <c r="R706">
        <v>13</v>
      </c>
      <c r="S706" t="s">
        <v>33</v>
      </c>
      <c r="T706" t="s">
        <v>27</v>
      </c>
      <c r="U706">
        <v>2</v>
      </c>
      <c r="V706" t="s">
        <v>44</v>
      </c>
      <c r="W706" t="str">
        <f>IF(HR_Data[[#This Row],[age]]&lt;25,"Under 25",IF(HR_Data[[#This Row],[age]]&lt;35,"25-34",IF(HR_Data[[#This Row],[age]]&lt;45,"35-44",IF(HR_Data[[#This Row],[age]]&lt;55,"45-54","55+"))))</f>
        <v>35-44</v>
      </c>
      <c r="X706" t="str">
        <f t="shared" si="10"/>
        <v>5,000-7,999</v>
      </c>
    </row>
    <row r="707" spans="1:24" x14ac:dyDescent="0.3">
      <c r="A707">
        <v>985</v>
      </c>
      <c r="B707">
        <v>39</v>
      </c>
      <c r="C707" t="s">
        <v>36</v>
      </c>
      <c r="D707" t="s">
        <v>23</v>
      </c>
      <c r="E707" t="s">
        <v>24</v>
      </c>
      <c r="F707">
        <v>2</v>
      </c>
      <c r="G707" t="s">
        <v>61</v>
      </c>
      <c r="H707" t="s">
        <v>26</v>
      </c>
      <c r="I707" t="s">
        <v>34</v>
      </c>
      <c r="J707" t="s">
        <v>40</v>
      </c>
      <c r="K707" t="s">
        <v>31</v>
      </c>
      <c r="L707" t="s">
        <v>30</v>
      </c>
      <c r="M707" t="s">
        <v>29</v>
      </c>
      <c r="N707" t="s">
        <v>32</v>
      </c>
      <c r="O707">
        <v>7880</v>
      </c>
      <c r="P707">
        <v>0</v>
      </c>
      <c r="Q707" t="s">
        <v>36</v>
      </c>
      <c r="R707">
        <v>18</v>
      </c>
      <c r="S707" t="s">
        <v>33</v>
      </c>
      <c r="T707" t="s">
        <v>31</v>
      </c>
      <c r="U707">
        <v>3</v>
      </c>
      <c r="V707" t="s">
        <v>44</v>
      </c>
      <c r="W707" t="str">
        <f>IF(HR_Data[[#This Row],[age]]&lt;25,"Under 25",IF(HR_Data[[#This Row],[age]]&lt;35,"25-34",IF(HR_Data[[#This Row],[age]]&lt;45,"35-44",IF(HR_Data[[#This Row],[age]]&lt;55,"45-54","55+"))))</f>
        <v>35-44</v>
      </c>
      <c r="X707" t="str">
        <f t="shared" ref="X707:X770" si="11">IF(O707&lt;3000,"Below 3,000",IF(O707&lt;5000,"3,000-4,999",IF(O707&lt;8000,"5,000-7,999","8,000+")))</f>
        <v>5,000-7,999</v>
      </c>
    </row>
    <row r="708" spans="1:24" x14ac:dyDescent="0.3">
      <c r="A708">
        <v>986</v>
      </c>
      <c r="B708">
        <v>40</v>
      </c>
      <c r="C708" t="s">
        <v>22</v>
      </c>
      <c r="D708" t="s">
        <v>54</v>
      </c>
      <c r="E708" t="s">
        <v>24</v>
      </c>
      <c r="F708">
        <v>24</v>
      </c>
      <c r="G708" t="s">
        <v>50</v>
      </c>
      <c r="H708" t="s">
        <v>26</v>
      </c>
      <c r="I708" t="s">
        <v>27</v>
      </c>
      <c r="J708" t="s">
        <v>28</v>
      </c>
      <c r="K708" t="s">
        <v>31</v>
      </c>
      <c r="L708" t="s">
        <v>30</v>
      </c>
      <c r="M708" t="s">
        <v>27</v>
      </c>
      <c r="N708" t="s">
        <v>32</v>
      </c>
      <c r="O708">
        <v>13194</v>
      </c>
      <c r="P708">
        <v>4</v>
      </c>
      <c r="Q708" t="s">
        <v>22</v>
      </c>
      <c r="R708">
        <v>16</v>
      </c>
      <c r="S708" t="s">
        <v>33</v>
      </c>
      <c r="T708" t="s">
        <v>31</v>
      </c>
      <c r="U708">
        <v>2</v>
      </c>
      <c r="V708" t="s">
        <v>49</v>
      </c>
      <c r="W708" t="str">
        <f>IF(HR_Data[[#This Row],[age]]&lt;25,"Under 25",IF(HR_Data[[#This Row],[age]]&lt;35,"25-34",IF(HR_Data[[#This Row],[age]]&lt;45,"35-44",IF(HR_Data[[#This Row],[age]]&lt;55,"45-54","55+"))))</f>
        <v>35-44</v>
      </c>
      <c r="X708" t="str">
        <f t="shared" si="11"/>
        <v>8,000+</v>
      </c>
    </row>
    <row r="709" spans="1:24" x14ac:dyDescent="0.3">
      <c r="A709">
        <v>987</v>
      </c>
      <c r="B709">
        <v>47</v>
      </c>
      <c r="C709" t="s">
        <v>36</v>
      </c>
      <c r="D709" t="s">
        <v>37</v>
      </c>
      <c r="E709" t="s">
        <v>38</v>
      </c>
      <c r="F709">
        <v>16</v>
      </c>
      <c r="G709" t="s">
        <v>47</v>
      </c>
      <c r="H709" t="s">
        <v>48</v>
      </c>
      <c r="I709" t="s">
        <v>29</v>
      </c>
      <c r="J709" t="s">
        <v>40</v>
      </c>
      <c r="K709" t="s">
        <v>31</v>
      </c>
      <c r="L709" t="s">
        <v>52</v>
      </c>
      <c r="M709" t="s">
        <v>29</v>
      </c>
      <c r="N709" t="s">
        <v>51</v>
      </c>
      <c r="O709">
        <v>5067</v>
      </c>
      <c r="P709">
        <v>1</v>
      </c>
      <c r="Q709" t="s">
        <v>22</v>
      </c>
      <c r="R709">
        <v>19</v>
      </c>
      <c r="S709" t="s">
        <v>33</v>
      </c>
      <c r="T709" t="s">
        <v>29</v>
      </c>
      <c r="U709">
        <v>3</v>
      </c>
      <c r="V709" t="s">
        <v>59</v>
      </c>
      <c r="W709" t="str">
        <f>IF(HR_Data[[#This Row],[age]]&lt;25,"Under 25",IF(HR_Data[[#This Row],[age]]&lt;35,"25-34",IF(HR_Data[[#This Row],[age]]&lt;45,"35-44",IF(HR_Data[[#This Row],[age]]&lt;55,"45-54","55+"))))</f>
        <v>45-54</v>
      </c>
      <c r="X709" t="str">
        <f t="shared" si="11"/>
        <v>5,000-7,999</v>
      </c>
    </row>
    <row r="710" spans="1:24" x14ac:dyDescent="0.3">
      <c r="A710">
        <v>990</v>
      </c>
      <c r="B710">
        <v>36</v>
      </c>
      <c r="C710" t="s">
        <v>36</v>
      </c>
      <c r="D710" t="s">
        <v>54</v>
      </c>
      <c r="E710" t="s">
        <v>24</v>
      </c>
      <c r="F710">
        <v>8</v>
      </c>
      <c r="G710" t="s">
        <v>47</v>
      </c>
      <c r="H710" t="s">
        <v>60</v>
      </c>
      <c r="I710" t="s">
        <v>34</v>
      </c>
      <c r="J710" t="s">
        <v>40</v>
      </c>
      <c r="K710" t="s">
        <v>29</v>
      </c>
      <c r="L710" t="s">
        <v>30</v>
      </c>
      <c r="M710" t="s">
        <v>31</v>
      </c>
      <c r="N710" t="s">
        <v>51</v>
      </c>
      <c r="O710">
        <v>5079</v>
      </c>
      <c r="P710">
        <v>4</v>
      </c>
      <c r="Q710" t="s">
        <v>36</v>
      </c>
      <c r="R710">
        <v>13</v>
      </c>
      <c r="S710" t="s">
        <v>33</v>
      </c>
      <c r="T710" t="s">
        <v>31</v>
      </c>
      <c r="U710">
        <v>3</v>
      </c>
      <c r="V710" t="s">
        <v>44</v>
      </c>
      <c r="W710" t="str">
        <f>IF(HR_Data[[#This Row],[age]]&lt;25,"Under 25",IF(HR_Data[[#This Row],[age]]&lt;35,"25-34",IF(HR_Data[[#This Row],[age]]&lt;45,"35-44",IF(HR_Data[[#This Row],[age]]&lt;55,"45-54","55+"))))</f>
        <v>35-44</v>
      </c>
      <c r="X710" t="str">
        <f t="shared" si="11"/>
        <v>5,000-7,999</v>
      </c>
    </row>
    <row r="711" spans="1:24" x14ac:dyDescent="0.3">
      <c r="A711">
        <v>991</v>
      </c>
      <c r="B711">
        <v>31</v>
      </c>
      <c r="C711" t="s">
        <v>22</v>
      </c>
      <c r="D711" t="s">
        <v>54</v>
      </c>
      <c r="E711" t="s">
        <v>38</v>
      </c>
      <c r="F711">
        <v>9</v>
      </c>
      <c r="G711" t="s">
        <v>25</v>
      </c>
      <c r="H711" t="s">
        <v>48</v>
      </c>
      <c r="I711" t="s">
        <v>29</v>
      </c>
      <c r="J711" t="s">
        <v>40</v>
      </c>
      <c r="K711" t="s">
        <v>27</v>
      </c>
      <c r="L711" t="s">
        <v>41</v>
      </c>
      <c r="M711" t="s">
        <v>34</v>
      </c>
      <c r="N711" t="s">
        <v>32</v>
      </c>
      <c r="O711">
        <v>2321</v>
      </c>
      <c r="P711">
        <v>0</v>
      </c>
      <c r="Q711" t="s">
        <v>22</v>
      </c>
      <c r="R711">
        <v>22</v>
      </c>
      <c r="S711" t="s">
        <v>43</v>
      </c>
      <c r="T711" t="s">
        <v>34</v>
      </c>
      <c r="U711">
        <v>0</v>
      </c>
      <c r="V711" t="s">
        <v>44</v>
      </c>
      <c r="W711" t="str">
        <f>IF(HR_Data[[#This Row],[age]]&lt;25,"Under 25",IF(HR_Data[[#This Row],[age]]&lt;35,"25-34",IF(HR_Data[[#This Row],[age]]&lt;45,"35-44",IF(HR_Data[[#This Row],[age]]&lt;55,"45-54","55+"))))</f>
        <v>25-34</v>
      </c>
      <c r="X711" t="str">
        <f t="shared" si="11"/>
        <v>Below 3,000</v>
      </c>
    </row>
    <row r="712" spans="1:24" x14ac:dyDescent="0.3">
      <c r="A712">
        <v>992</v>
      </c>
      <c r="B712">
        <v>33</v>
      </c>
      <c r="C712" t="s">
        <v>36</v>
      </c>
      <c r="D712" t="s">
        <v>54</v>
      </c>
      <c r="E712" t="s">
        <v>24</v>
      </c>
      <c r="F712">
        <v>17</v>
      </c>
      <c r="G712" t="s">
        <v>50</v>
      </c>
      <c r="H712" t="s">
        <v>26</v>
      </c>
      <c r="I712" t="s">
        <v>31</v>
      </c>
      <c r="J712" t="s">
        <v>40</v>
      </c>
      <c r="K712" t="s">
        <v>29</v>
      </c>
      <c r="L712" t="s">
        <v>55</v>
      </c>
      <c r="M712" t="s">
        <v>29</v>
      </c>
      <c r="N712" t="s">
        <v>32</v>
      </c>
      <c r="O712">
        <v>17444</v>
      </c>
      <c r="P712">
        <v>1</v>
      </c>
      <c r="Q712" t="s">
        <v>36</v>
      </c>
      <c r="R712">
        <v>11</v>
      </c>
      <c r="S712" t="s">
        <v>33</v>
      </c>
      <c r="T712" t="s">
        <v>31</v>
      </c>
      <c r="U712">
        <v>2</v>
      </c>
      <c r="V712" t="s">
        <v>44</v>
      </c>
      <c r="W712" t="str">
        <f>IF(HR_Data[[#This Row],[age]]&lt;25,"Under 25",IF(HR_Data[[#This Row],[age]]&lt;35,"25-34",IF(HR_Data[[#This Row],[age]]&lt;45,"35-44",IF(HR_Data[[#This Row],[age]]&lt;55,"45-54","55+"))))</f>
        <v>25-34</v>
      </c>
      <c r="X712" t="str">
        <f t="shared" si="11"/>
        <v>8,000+</v>
      </c>
    </row>
    <row r="713" spans="1:24" x14ac:dyDescent="0.3">
      <c r="A713">
        <v>994</v>
      </c>
      <c r="B713">
        <v>29</v>
      </c>
      <c r="C713" t="s">
        <v>22</v>
      </c>
      <c r="D713" t="s">
        <v>23</v>
      </c>
      <c r="E713" t="s">
        <v>38</v>
      </c>
      <c r="F713">
        <v>10</v>
      </c>
      <c r="G713" t="s">
        <v>50</v>
      </c>
      <c r="H713" t="s">
        <v>26</v>
      </c>
      <c r="I713" t="s">
        <v>31</v>
      </c>
      <c r="J713" t="s">
        <v>28</v>
      </c>
      <c r="K713" t="s">
        <v>27</v>
      </c>
      <c r="L713" t="s">
        <v>41</v>
      </c>
      <c r="M713" t="s">
        <v>34</v>
      </c>
      <c r="N713" t="s">
        <v>32</v>
      </c>
      <c r="O713">
        <v>2404</v>
      </c>
      <c r="P713">
        <v>6</v>
      </c>
      <c r="Q713" t="s">
        <v>22</v>
      </c>
      <c r="R713">
        <v>20</v>
      </c>
      <c r="S713" t="s">
        <v>43</v>
      </c>
      <c r="T713" t="s">
        <v>29</v>
      </c>
      <c r="U713">
        <v>5</v>
      </c>
      <c r="V713" t="s">
        <v>44</v>
      </c>
      <c r="W713" t="str">
        <f>IF(HR_Data[[#This Row],[age]]&lt;25,"Under 25",IF(HR_Data[[#This Row],[age]]&lt;35,"25-34",IF(HR_Data[[#This Row],[age]]&lt;45,"35-44",IF(HR_Data[[#This Row],[age]]&lt;55,"45-54","55+"))))</f>
        <v>25-34</v>
      </c>
      <c r="X713" t="str">
        <f t="shared" si="11"/>
        <v>Below 3,000</v>
      </c>
    </row>
    <row r="714" spans="1:24" x14ac:dyDescent="0.3">
      <c r="A714">
        <v>995</v>
      </c>
      <c r="B714">
        <v>33</v>
      </c>
      <c r="C714" t="s">
        <v>36</v>
      </c>
      <c r="D714" t="s">
        <v>23</v>
      </c>
      <c r="E714" t="s">
        <v>38</v>
      </c>
      <c r="F714">
        <v>13</v>
      </c>
      <c r="G714" t="s">
        <v>39</v>
      </c>
      <c r="H714" t="s">
        <v>26</v>
      </c>
      <c r="I714" t="s">
        <v>27</v>
      </c>
      <c r="J714" t="s">
        <v>28</v>
      </c>
      <c r="K714" t="s">
        <v>29</v>
      </c>
      <c r="L714" t="s">
        <v>41</v>
      </c>
      <c r="M714" t="s">
        <v>31</v>
      </c>
      <c r="N714" t="s">
        <v>32</v>
      </c>
      <c r="O714">
        <v>3452</v>
      </c>
      <c r="P714">
        <v>3</v>
      </c>
      <c r="Q714" t="s">
        <v>36</v>
      </c>
      <c r="R714">
        <v>18</v>
      </c>
      <c r="S714" t="s">
        <v>33</v>
      </c>
      <c r="T714" t="s">
        <v>34</v>
      </c>
      <c r="U714">
        <v>4</v>
      </c>
      <c r="V714" t="s">
        <v>44</v>
      </c>
      <c r="W714" t="str">
        <f>IF(HR_Data[[#This Row],[age]]&lt;25,"Under 25",IF(HR_Data[[#This Row],[age]]&lt;35,"25-34",IF(HR_Data[[#This Row],[age]]&lt;45,"35-44",IF(HR_Data[[#This Row],[age]]&lt;55,"45-54","55+"))))</f>
        <v>25-34</v>
      </c>
      <c r="X714" t="str">
        <f t="shared" si="11"/>
        <v>3,000-4,999</v>
      </c>
    </row>
    <row r="715" spans="1:24" x14ac:dyDescent="0.3">
      <c r="A715">
        <v>996</v>
      </c>
      <c r="B715">
        <v>45</v>
      </c>
      <c r="C715" t="s">
        <v>36</v>
      </c>
      <c r="D715" t="s">
        <v>23</v>
      </c>
      <c r="E715" t="s">
        <v>38</v>
      </c>
      <c r="F715">
        <v>1</v>
      </c>
      <c r="G715" t="s">
        <v>47</v>
      </c>
      <c r="H715" t="s">
        <v>48</v>
      </c>
      <c r="I715" t="s">
        <v>31</v>
      </c>
      <c r="J715" t="s">
        <v>28</v>
      </c>
      <c r="K715" t="s">
        <v>29</v>
      </c>
      <c r="L715" t="s">
        <v>46</v>
      </c>
      <c r="M715" t="s">
        <v>31</v>
      </c>
      <c r="N715" t="s">
        <v>51</v>
      </c>
      <c r="O715">
        <v>2270</v>
      </c>
      <c r="P715">
        <v>3</v>
      </c>
      <c r="Q715" t="s">
        <v>36</v>
      </c>
      <c r="R715">
        <v>14</v>
      </c>
      <c r="S715" t="s">
        <v>33</v>
      </c>
      <c r="T715" t="s">
        <v>31</v>
      </c>
      <c r="U715">
        <v>2</v>
      </c>
      <c r="V715" t="s">
        <v>44</v>
      </c>
      <c r="W715" t="str">
        <f>IF(HR_Data[[#This Row],[age]]&lt;25,"Under 25",IF(HR_Data[[#This Row],[age]]&lt;35,"25-34",IF(HR_Data[[#This Row],[age]]&lt;45,"35-44",IF(HR_Data[[#This Row],[age]]&lt;55,"45-54","55+"))))</f>
        <v>45-54</v>
      </c>
      <c r="X715" t="str">
        <f t="shared" si="11"/>
        <v>Below 3,000</v>
      </c>
    </row>
    <row r="716" spans="1:24" x14ac:dyDescent="0.3">
      <c r="A716">
        <v>997</v>
      </c>
      <c r="B716">
        <v>50</v>
      </c>
      <c r="C716" t="s">
        <v>36</v>
      </c>
      <c r="D716" t="s">
        <v>23</v>
      </c>
      <c r="E716" t="s">
        <v>38</v>
      </c>
      <c r="F716">
        <v>1</v>
      </c>
      <c r="G716" t="s">
        <v>25</v>
      </c>
      <c r="H716" t="s">
        <v>48</v>
      </c>
      <c r="I716" t="s">
        <v>31</v>
      </c>
      <c r="J716" t="s">
        <v>40</v>
      </c>
      <c r="K716" t="s">
        <v>29</v>
      </c>
      <c r="L716" t="s">
        <v>57</v>
      </c>
      <c r="M716" t="s">
        <v>31</v>
      </c>
      <c r="N716" t="s">
        <v>51</v>
      </c>
      <c r="O716">
        <v>17399</v>
      </c>
      <c r="P716">
        <v>9</v>
      </c>
      <c r="Q716" t="s">
        <v>36</v>
      </c>
      <c r="R716">
        <v>22</v>
      </c>
      <c r="S716" t="s">
        <v>43</v>
      </c>
      <c r="T716" t="s">
        <v>29</v>
      </c>
      <c r="U716">
        <v>1</v>
      </c>
      <c r="V716" t="s">
        <v>49</v>
      </c>
      <c r="W716" t="str">
        <f>IF(HR_Data[[#This Row],[age]]&lt;25,"Under 25",IF(HR_Data[[#This Row],[age]]&lt;35,"25-34",IF(HR_Data[[#This Row],[age]]&lt;45,"35-44",IF(HR_Data[[#This Row],[age]]&lt;55,"45-54","55+"))))</f>
        <v>45-54</v>
      </c>
      <c r="X716" t="str">
        <f t="shared" si="11"/>
        <v>8,000+</v>
      </c>
    </row>
    <row r="717" spans="1:24" x14ac:dyDescent="0.3">
      <c r="A717">
        <v>998</v>
      </c>
      <c r="B717">
        <v>33</v>
      </c>
      <c r="C717" t="s">
        <v>36</v>
      </c>
      <c r="D717" t="s">
        <v>37</v>
      </c>
      <c r="E717" t="s">
        <v>38</v>
      </c>
      <c r="F717">
        <v>1</v>
      </c>
      <c r="G717" t="s">
        <v>47</v>
      </c>
      <c r="H717" t="s">
        <v>45</v>
      </c>
      <c r="I717" t="s">
        <v>29</v>
      </c>
      <c r="J717" t="s">
        <v>28</v>
      </c>
      <c r="K717" t="s">
        <v>31</v>
      </c>
      <c r="L717" t="s">
        <v>53</v>
      </c>
      <c r="M717" t="s">
        <v>27</v>
      </c>
      <c r="N717" t="s">
        <v>42</v>
      </c>
      <c r="O717">
        <v>5488</v>
      </c>
      <c r="P717">
        <v>1</v>
      </c>
      <c r="Q717" t="s">
        <v>22</v>
      </c>
      <c r="R717">
        <v>13</v>
      </c>
      <c r="S717" t="s">
        <v>33</v>
      </c>
      <c r="T717" t="s">
        <v>34</v>
      </c>
      <c r="U717">
        <v>2</v>
      </c>
      <c r="V717" t="s">
        <v>44</v>
      </c>
      <c r="W717" t="str">
        <f>IF(HR_Data[[#This Row],[age]]&lt;25,"Under 25",IF(HR_Data[[#This Row],[age]]&lt;35,"25-34",IF(HR_Data[[#This Row],[age]]&lt;45,"35-44",IF(HR_Data[[#This Row],[age]]&lt;55,"45-54","55+"))))</f>
        <v>25-34</v>
      </c>
      <c r="X717" t="str">
        <f t="shared" si="11"/>
        <v>5,000-7,999</v>
      </c>
    </row>
    <row r="718" spans="1:24" x14ac:dyDescent="0.3">
      <c r="A718">
        <v>999</v>
      </c>
      <c r="B718">
        <v>41</v>
      </c>
      <c r="C718" t="s">
        <v>36</v>
      </c>
      <c r="D718" t="s">
        <v>37</v>
      </c>
      <c r="E718" t="s">
        <v>38</v>
      </c>
      <c r="F718">
        <v>9</v>
      </c>
      <c r="G718" t="s">
        <v>50</v>
      </c>
      <c r="H718" t="s">
        <v>48</v>
      </c>
      <c r="I718" t="s">
        <v>34</v>
      </c>
      <c r="J718" t="s">
        <v>40</v>
      </c>
      <c r="K718" t="s">
        <v>29</v>
      </c>
      <c r="L718" t="s">
        <v>57</v>
      </c>
      <c r="M718" t="s">
        <v>29</v>
      </c>
      <c r="N718" t="s">
        <v>51</v>
      </c>
      <c r="O718">
        <v>19419</v>
      </c>
      <c r="P718">
        <v>2</v>
      </c>
      <c r="Q718" t="s">
        <v>36</v>
      </c>
      <c r="R718">
        <v>17</v>
      </c>
      <c r="S718" t="s">
        <v>33</v>
      </c>
      <c r="T718" t="s">
        <v>27</v>
      </c>
      <c r="U718">
        <v>2</v>
      </c>
      <c r="V718" t="s">
        <v>59</v>
      </c>
      <c r="W718" t="str">
        <f>IF(HR_Data[[#This Row],[age]]&lt;25,"Under 25",IF(HR_Data[[#This Row],[age]]&lt;35,"25-34",IF(HR_Data[[#This Row],[age]]&lt;45,"35-44",IF(HR_Data[[#This Row],[age]]&lt;55,"45-54","55+"))))</f>
        <v>35-44</v>
      </c>
      <c r="X718" t="str">
        <f t="shared" si="11"/>
        <v>8,000+</v>
      </c>
    </row>
    <row r="719" spans="1:24" x14ac:dyDescent="0.3">
      <c r="A719">
        <v>1001</v>
      </c>
      <c r="B719">
        <v>27</v>
      </c>
      <c r="C719" t="s">
        <v>36</v>
      </c>
      <c r="D719" t="s">
        <v>23</v>
      </c>
      <c r="E719" t="s">
        <v>38</v>
      </c>
      <c r="F719">
        <v>16</v>
      </c>
      <c r="G719" t="s">
        <v>47</v>
      </c>
      <c r="H719" t="s">
        <v>60</v>
      </c>
      <c r="I719" t="s">
        <v>29</v>
      </c>
      <c r="J719" t="s">
        <v>28</v>
      </c>
      <c r="K719" t="s">
        <v>29</v>
      </c>
      <c r="L719" t="s">
        <v>46</v>
      </c>
      <c r="M719" t="s">
        <v>27</v>
      </c>
      <c r="N719" t="s">
        <v>42</v>
      </c>
      <c r="O719">
        <v>2811</v>
      </c>
      <c r="P719">
        <v>9</v>
      </c>
      <c r="Q719" t="s">
        <v>36</v>
      </c>
      <c r="R719">
        <v>14</v>
      </c>
      <c r="S719" t="s">
        <v>33</v>
      </c>
      <c r="T719" t="s">
        <v>27</v>
      </c>
      <c r="U719">
        <v>2</v>
      </c>
      <c r="V719" t="s">
        <v>44</v>
      </c>
      <c r="W719" t="str">
        <f>IF(HR_Data[[#This Row],[age]]&lt;25,"Under 25",IF(HR_Data[[#This Row],[age]]&lt;35,"25-34",IF(HR_Data[[#This Row],[age]]&lt;45,"35-44",IF(HR_Data[[#This Row],[age]]&lt;55,"45-54","55+"))))</f>
        <v>25-34</v>
      </c>
      <c r="X719" t="str">
        <f t="shared" si="11"/>
        <v>Below 3,000</v>
      </c>
    </row>
    <row r="720" spans="1:24" x14ac:dyDescent="0.3">
      <c r="A720">
        <v>1002</v>
      </c>
      <c r="B720">
        <v>45</v>
      </c>
      <c r="C720" t="s">
        <v>36</v>
      </c>
      <c r="D720" t="s">
        <v>54</v>
      </c>
      <c r="E720" t="s">
        <v>38</v>
      </c>
      <c r="F720">
        <v>23</v>
      </c>
      <c r="G720" t="s">
        <v>25</v>
      </c>
      <c r="H720" t="s">
        <v>26</v>
      </c>
      <c r="I720" t="s">
        <v>31</v>
      </c>
      <c r="J720" t="s">
        <v>40</v>
      </c>
      <c r="K720" t="s">
        <v>29</v>
      </c>
      <c r="L720" t="s">
        <v>46</v>
      </c>
      <c r="M720" t="s">
        <v>34</v>
      </c>
      <c r="N720" t="s">
        <v>42</v>
      </c>
      <c r="O720">
        <v>3633</v>
      </c>
      <c r="P720">
        <v>1</v>
      </c>
      <c r="Q720" t="s">
        <v>22</v>
      </c>
      <c r="R720">
        <v>15</v>
      </c>
      <c r="S720" t="s">
        <v>33</v>
      </c>
      <c r="T720" t="s">
        <v>29</v>
      </c>
      <c r="U720">
        <v>2</v>
      </c>
      <c r="V720" t="s">
        <v>44</v>
      </c>
      <c r="W720" t="str">
        <f>IF(HR_Data[[#This Row],[age]]&lt;25,"Under 25",IF(HR_Data[[#This Row],[age]]&lt;35,"25-34",IF(HR_Data[[#This Row],[age]]&lt;45,"35-44",IF(HR_Data[[#This Row],[age]]&lt;55,"45-54","55+"))))</f>
        <v>45-54</v>
      </c>
      <c r="X720" t="str">
        <f t="shared" si="11"/>
        <v>3,000-4,999</v>
      </c>
    </row>
    <row r="721" spans="1:24" x14ac:dyDescent="0.3">
      <c r="A721">
        <v>1003</v>
      </c>
      <c r="B721">
        <v>47</v>
      </c>
      <c r="C721" t="s">
        <v>36</v>
      </c>
      <c r="D721" t="s">
        <v>23</v>
      </c>
      <c r="E721" t="s">
        <v>24</v>
      </c>
      <c r="F721">
        <v>4</v>
      </c>
      <c r="G721" t="s">
        <v>25</v>
      </c>
      <c r="H721" t="s">
        <v>26</v>
      </c>
      <c r="I721" t="s">
        <v>31</v>
      </c>
      <c r="J721" t="s">
        <v>28</v>
      </c>
      <c r="K721" t="s">
        <v>29</v>
      </c>
      <c r="L721" t="s">
        <v>30</v>
      </c>
      <c r="M721" t="s">
        <v>31</v>
      </c>
      <c r="N721" t="s">
        <v>32</v>
      </c>
      <c r="O721">
        <v>4163</v>
      </c>
      <c r="P721">
        <v>1</v>
      </c>
      <c r="Q721" t="s">
        <v>22</v>
      </c>
      <c r="R721">
        <v>17</v>
      </c>
      <c r="S721" t="s">
        <v>33</v>
      </c>
      <c r="T721" t="s">
        <v>29</v>
      </c>
      <c r="U721">
        <v>0</v>
      </c>
      <c r="V721" t="s">
        <v>44</v>
      </c>
      <c r="W721" t="str">
        <f>IF(HR_Data[[#This Row],[age]]&lt;25,"Under 25",IF(HR_Data[[#This Row],[age]]&lt;35,"25-34",IF(HR_Data[[#This Row],[age]]&lt;45,"35-44",IF(HR_Data[[#This Row],[age]]&lt;55,"45-54","55+"))))</f>
        <v>45-54</v>
      </c>
      <c r="X721" t="str">
        <f t="shared" si="11"/>
        <v>3,000-4,999</v>
      </c>
    </row>
    <row r="722" spans="1:24" x14ac:dyDescent="0.3">
      <c r="A722">
        <v>1004</v>
      </c>
      <c r="B722">
        <v>30</v>
      </c>
      <c r="C722" t="s">
        <v>22</v>
      </c>
      <c r="D722" t="s">
        <v>23</v>
      </c>
      <c r="E722" t="s">
        <v>38</v>
      </c>
      <c r="F722">
        <v>22</v>
      </c>
      <c r="G722" t="s">
        <v>50</v>
      </c>
      <c r="H722" t="s">
        <v>26</v>
      </c>
      <c r="I722" t="s">
        <v>34</v>
      </c>
      <c r="J722" t="s">
        <v>28</v>
      </c>
      <c r="K722" t="s">
        <v>29</v>
      </c>
      <c r="L722" t="s">
        <v>41</v>
      </c>
      <c r="M722" t="s">
        <v>29</v>
      </c>
      <c r="N722" t="s">
        <v>42</v>
      </c>
      <c r="O722">
        <v>2132</v>
      </c>
      <c r="P722">
        <v>4</v>
      </c>
      <c r="Q722" t="s">
        <v>22</v>
      </c>
      <c r="R722">
        <v>11</v>
      </c>
      <c r="S722" t="s">
        <v>33</v>
      </c>
      <c r="T722" t="s">
        <v>27</v>
      </c>
      <c r="U722">
        <v>2</v>
      </c>
      <c r="V722" t="s">
        <v>44</v>
      </c>
      <c r="W722" t="str">
        <f>IF(HR_Data[[#This Row],[age]]&lt;25,"Under 25",IF(HR_Data[[#This Row],[age]]&lt;35,"25-34",IF(HR_Data[[#This Row],[age]]&lt;45,"35-44",IF(HR_Data[[#This Row],[age]]&lt;55,"45-54","55+"))))</f>
        <v>25-34</v>
      </c>
      <c r="X722" t="str">
        <f t="shared" si="11"/>
        <v>Below 3,000</v>
      </c>
    </row>
    <row r="723" spans="1:24" x14ac:dyDescent="0.3">
      <c r="A723">
        <v>1005</v>
      </c>
      <c r="B723">
        <v>50</v>
      </c>
      <c r="C723" t="s">
        <v>36</v>
      </c>
      <c r="D723" t="s">
        <v>23</v>
      </c>
      <c r="E723" t="s">
        <v>38</v>
      </c>
      <c r="F723">
        <v>24</v>
      </c>
      <c r="G723" t="s">
        <v>50</v>
      </c>
      <c r="H723" t="s">
        <v>26</v>
      </c>
      <c r="I723" t="s">
        <v>31</v>
      </c>
      <c r="J723" t="s">
        <v>40</v>
      </c>
      <c r="K723" t="s">
        <v>29</v>
      </c>
      <c r="L723" t="s">
        <v>52</v>
      </c>
      <c r="M723" t="s">
        <v>29</v>
      </c>
      <c r="N723" t="s">
        <v>42</v>
      </c>
      <c r="O723">
        <v>13973</v>
      </c>
      <c r="P723">
        <v>3</v>
      </c>
      <c r="Q723" t="s">
        <v>22</v>
      </c>
      <c r="R723">
        <v>18</v>
      </c>
      <c r="S723" t="s">
        <v>33</v>
      </c>
      <c r="T723" t="s">
        <v>31</v>
      </c>
      <c r="U723">
        <v>2</v>
      </c>
      <c r="V723" t="s">
        <v>44</v>
      </c>
      <c r="W723" t="str">
        <f>IF(HR_Data[[#This Row],[age]]&lt;25,"Under 25",IF(HR_Data[[#This Row],[age]]&lt;35,"25-34",IF(HR_Data[[#This Row],[age]]&lt;45,"35-44",IF(HR_Data[[#This Row],[age]]&lt;55,"45-54","55+"))))</f>
        <v>45-54</v>
      </c>
      <c r="X723" t="str">
        <f t="shared" si="11"/>
        <v>8,000+</v>
      </c>
    </row>
    <row r="724" spans="1:24" x14ac:dyDescent="0.3">
      <c r="A724">
        <v>1006</v>
      </c>
      <c r="B724">
        <v>38</v>
      </c>
      <c r="C724" t="s">
        <v>36</v>
      </c>
      <c r="D724" t="s">
        <v>37</v>
      </c>
      <c r="E724" t="s">
        <v>38</v>
      </c>
      <c r="F724">
        <v>10</v>
      </c>
      <c r="G724" t="s">
        <v>39</v>
      </c>
      <c r="H724" t="s">
        <v>48</v>
      </c>
      <c r="I724" t="s">
        <v>29</v>
      </c>
      <c r="J724" t="s">
        <v>40</v>
      </c>
      <c r="K724" t="s">
        <v>29</v>
      </c>
      <c r="L724" t="s">
        <v>41</v>
      </c>
      <c r="M724" t="s">
        <v>29</v>
      </c>
      <c r="N724" t="s">
        <v>42</v>
      </c>
      <c r="O724">
        <v>2684</v>
      </c>
      <c r="P724">
        <v>0</v>
      </c>
      <c r="Q724" t="s">
        <v>36</v>
      </c>
      <c r="R724">
        <v>17</v>
      </c>
      <c r="S724" t="s">
        <v>33</v>
      </c>
      <c r="T724" t="s">
        <v>27</v>
      </c>
      <c r="U724">
        <v>0</v>
      </c>
      <c r="V724" t="s">
        <v>49</v>
      </c>
      <c r="W724" t="str">
        <f>IF(HR_Data[[#This Row],[age]]&lt;25,"Under 25",IF(HR_Data[[#This Row],[age]]&lt;35,"25-34",IF(HR_Data[[#This Row],[age]]&lt;45,"35-44",IF(HR_Data[[#This Row],[age]]&lt;55,"45-54","55+"))))</f>
        <v>35-44</v>
      </c>
      <c r="X724" t="str">
        <f t="shared" si="11"/>
        <v>Below 3,000</v>
      </c>
    </row>
    <row r="725" spans="1:24" x14ac:dyDescent="0.3">
      <c r="A725">
        <v>1007</v>
      </c>
      <c r="B725">
        <v>46</v>
      </c>
      <c r="C725" t="s">
        <v>36</v>
      </c>
      <c r="D725" t="s">
        <v>23</v>
      </c>
      <c r="E725" t="s">
        <v>38</v>
      </c>
      <c r="F725">
        <v>7</v>
      </c>
      <c r="G725" t="s">
        <v>25</v>
      </c>
      <c r="H725" t="s">
        <v>48</v>
      </c>
      <c r="I725" t="s">
        <v>31</v>
      </c>
      <c r="J725" t="s">
        <v>40</v>
      </c>
      <c r="K725" t="s">
        <v>29</v>
      </c>
      <c r="L725" t="s">
        <v>52</v>
      </c>
      <c r="M725" t="s">
        <v>29</v>
      </c>
      <c r="N725" t="s">
        <v>51</v>
      </c>
      <c r="O725">
        <v>10845</v>
      </c>
      <c r="P725">
        <v>6</v>
      </c>
      <c r="Q725" t="s">
        <v>36</v>
      </c>
      <c r="R725">
        <v>13</v>
      </c>
      <c r="S725" t="s">
        <v>33</v>
      </c>
      <c r="T725" t="s">
        <v>27</v>
      </c>
      <c r="U725">
        <v>3</v>
      </c>
      <c r="V725" t="s">
        <v>44</v>
      </c>
      <c r="W725" t="str">
        <f>IF(HR_Data[[#This Row],[age]]&lt;25,"Under 25",IF(HR_Data[[#This Row],[age]]&lt;35,"25-34",IF(HR_Data[[#This Row],[age]]&lt;45,"35-44",IF(HR_Data[[#This Row],[age]]&lt;55,"45-54","55+"))))</f>
        <v>45-54</v>
      </c>
      <c r="X725" t="str">
        <f t="shared" si="11"/>
        <v>8,000+</v>
      </c>
    </row>
    <row r="726" spans="1:24" x14ac:dyDescent="0.3">
      <c r="A726">
        <v>1009</v>
      </c>
      <c r="B726">
        <v>24</v>
      </c>
      <c r="C726" t="s">
        <v>36</v>
      </c>
      <c r="D726" t="s">
        <v>23</v>
      </c>
      <c r="E726" t="s">
        <v>38</v>
      </c>
      <c r="F726">
        <v>17</v>
      </c>
      <c r="G726" t="s">
        <v>39</v>
      </c>
      <c r="H726" t="s">
        <v>48</v>
      </c>
      <c r="I726" t="s">
        <v>31</v>
      </c>
      <c r="J726" t="s">
        <v>28</v>
      </c>
      <c r="K726" t="s">
        <v>27</v>
      </c>
      <c r="L726" t="s">
        <v>52</v>
      </c>
      <c r="M726" t="s">
        <v>29</v>
      </c>
      <c r="N726" t="s">
        <v>51</v>
      </c>
      <c r="O726">
        <v>4377</v>
      </c>
      <c r="P726">
        <v>1</v>
      </c>
      <c r="Q726" t="s">
        <v>36</v>
      </c>
      <c r="R726">
        <v>15</v>
      </c>
      <c r="S726" t="s">
        <v>33</v>
      </c>
      <c r="T726" t="s">
        <v>27</v>
      </c>
      <c r="U726">
        <v>6</v>
      </c>
      <c r="V726" t="s">
        <v>44</v>
      </c>
      <c r="W726" t="str">
        <f>IF(HR_Data[[#This Row],[age]]&lt;25,"Under 25",IF(HR_Data[[#This Row],[age]]&lt;35,"25-34",IF(HR_Data[[#This Row],[age]]&lt;45,"35-44",IF(HR_Data[[#This Row],[age]]&lt;55,"45-54","55+"))))</f>
        <v>Under 25</v>
      </c>
      <c r="X726" t="str">
        <f t="shared" si="11"/>
        <v>3,000-4,999</v>
      </c>
    </row>
    <row r="727" spans="1:24" x14ac:dyDescent="0.3">
      <c r="A727">
        <v>1010</v>
      </c>
      <c r="B727">
        <v>35</v>
      </c>
      <c r="C727" t="s">
        <v>22</v>
      </c>
      <c r="D727" t="s">
        <v>23</v>
      </c>
      <c r="E727" t="s">
        <v>38</v>
      </c>
      <c r="F727">
        <v>14</v>
      </c>
      <c r="G727" t="s">
        <v>47</v>
      </c>
      <c r="H727" t="s">
        <v>45</v>
      </c>
      <c r="I727" t="s">
        <v>29</v>
      </c>
      <c r="J727" t="s">
        <v>40</v>
      </c>
      <c r="K727" t="s">
        <v>27</v>
      </c>
      <c r="L727" t="s">
        <v>46</v>
      </c>
      <c r="M727" t="s">
        <v>27</v>
      </c>
      <c r="N727" t="s">
        <v>51</v>
      </c>
      <c r="O727">
        <v>3743</v>
      </c>
      <c r="P727">
        <v>1</v>
      </c>
      <c r="Q727" t="s">
        <v>22</v>
      </c>
      <c r="R727">
        <v>24</v>
      </c>
      <c r="S727" t="s">
        <v>43</v>
      </c>
      <c r="T727" t="s">
        <v>31</v>
      </c>
      <c r="U727">
        <v>2</v>
      </c>
      <c r="V727" t="s">
        <v>35</v>
      </c>
      <c r="W727" t="str">
        <f>IF(HR_Data[[#This Row],[age]]&lt;25,"Under 25",IF(HR_Data[[#This Row],[age]]&lt;35,"25-34",IF(HR_Data[[#This Row],[age]]&lt;45,"35-44",IF(HR_Data[[#This Row],[age]]&lt;55,"45-54","55+"))))</f>
        <v>35-44</v>
      </c>
      <c r="X727" t="str">
        <f t="shared" si="11"/>
        <v>3,000-4,999</v>
      </c>
    </row>
    <row r="728" spans="1:24" x14ac:dyDescent="0.3">
      <c r="A728">
        <v>1011</v>
      </c>
      <c r="B728">
        <v>31</v>
      </c>
      <c r="C728" t="s">
        <v>36</v>
      </c>
      <c r="D728" t="s">
        <v>37</v>
      </c>
      <c r="E728" t="s">
        <v>38</v>
      </c>
      <c r="F728">
        <v>1</v>
      </c>
      <c r="G728" t="s">
        <v>39</v>
      </c>
      <c r="H728" t="s">
        <v>26</v>
      </c>
      <c r="I728" t="s">
        <v>29</v>
      </c>
      <c r="J728" t="s">
        <v>28</v>
      </c>
      <c r="K728" t="s">
        <v>29</v>
      </c>
      <c r="L728" t="s">
        <v>52</v>
      </c>
      <c r="M728" t="s">
        <v>34</v>
      </c>
      <c r="N728" t="s">
        <v>42</v>
      </c>
      <c r="O728">
        <v>4148</v>
      </c>
      <c r="P728">
        <v>1</v>
      </c>
      <c r="Q728" t="s">
        <v>36</v>
      </c>
      <c r="R728">
        <v>12</v>
      </c>
      <c r="S728" t="s">
        <v>33</v>
      </c>
      <c r="T728" t="s">
        <v>29</v>
      </c>
      <c r="U728">
        <v>1</v>
      </c>
      <c r="V728" t="s">
        <v>44</v>
      </c>
      <c r="W728" t="str">
        <f>IF(HR_Data[[#This Row],[age]]&lt;25,"Under 25",IF(HR_Data[[#This Row],[age]]&lt;35,"25-34",IF(HR_Data[[#This Row],[age]]&lt;45,"35-44",IF(HR_Data[[#This Row],[age]]&lt;55,"45-54","55+"))))</f>
        <v>25-34</v>
      </c>
      <c r="X728" t="str">
        <f t="shared" si="11"/>
        <v>3,000-4,999</v>
      </c>
    </row>
    <row r="729" spans="1:24" x14ac:dyDescent="0.3">
      <c r="A729">
        <v>1012</v>
      </c>
      <c r="B729">
        <v>18</v>
      </c>
      <c r="C729" t="s">
        <v>36</v>
      </c>
      <c r="D729" t="s">
        <v>54</v>
      </c>
      <c r="E729" t="s">
        <v>38</v>
      </c>
      <c r="F729">
        <v>5</v>
      </c>
      <c r="G729" t="s">
        <v>25</v>
      </c>
      <c r="H729" t="s">
        <v>26</v>
      </c>
      <c r="I729" t="s">
        <v>27</v>
      </c>
      <c r="J729" t="s">
        <v>40</v>
      </c>
      <c r="K729" t="s">
        <v>29</v>
      </c>
      <c r="L729" t="s">
        <v>41</v>
      </c>
      <c r="M729" t="s">
        <v>31</v>
      </c>
      <c r="N729" t="s">
        <v>32</v>
      </c>
      <c r="O729">
        <v>1051</v>
      </c>
      <c r="P729">
        <v>1</v>
      </c>
      <c r="Q729" t="s">
        <v>36</v>
      </c>
      <c r="R729">
        <v>15</v>
      </c>
      <c r="S729" t="s">
        <v>33</v>
      </c>
      <c r="T729" t="s">
        <v>31</v>
      </c>
      <c r="U729">
        <v>2</v>
      </c>
      <c r="V729" t="s">
        <v>44</v>
      </c>
      <c r="W729" t="str">
        <f>IF(HR_Data[[#This Row],[age]]&lt;25,"Under 25",IF(HR_Data[[#This Row],[age]]&lt;35,"25-34",IF(HR_Data[[#This Row],[age]]&lt;45,"35-44",IF(HR_Data[[#This Row],[age]]&lt;55,"45-54","55+"))))</f>
        <v>Under 25</v>
      </c>
      <c r="X729" t="str">
        <f t="shared" si="11"/>
        <v>Below 3,000</v>
      </c>
    </row>
    <row r="730" spans="1:24" x14ac:dyDescent="0.3">
      <c r="A730">
        <v>1013</v>
      </c>
      <c r="B730">
        <v>54</v>
      </c>
      <c r="C730" t="s">
        <v>36</v>
      </c>
      <c r="D730" t="s">
        <v>23</v>
      </c>
      <c r="E730" t="s">
        <v>38</v>
      </c>
      <c r="F730">
        <v>17</v>
      </c>
      <c r="G730" t="s">
        <v>50</v>
      </c>
      <c r="H730" t="s">
        <v>60</v>
      </c>
      <c r="I730" t="s">
        <v>29</v>
      </c>
      <c r="J730" t="s">
        <v>28</v>
      </c>
      <c r="K730" t="s">
        <v>29</v>
      </c>
      <c r="L730" t="s">
        <v>52</v>
      </c>
      <c r="M730" t="s">
        <v>29</v>
      </c>
      <c r="N730" t="s">
        <v>42</v>
      </c>
      <c r="O730">
        <v>10739</v>
      </c>
      <c r="P730">
        <v>8</v>
      </c>
      <c r="Q730" t="s">
        <v>36</v>
      </c>
      <c r="R730">
        <v>11</v>
      </c>
      <c r="S730" t="s">
        <v>33</v>
      </c>
      <c r="T730" t="s">
        <v>29</v>
      </c>
      <c r="U730">
        <v>2</v>
      </c>
      <c r="V730" t="s">
        <v>44</v>
      </c>
      <c r="W730" t="str">
        <f>IF(HR_Data[[#This Row],[age]]&lt;25,"Under 25",IF(HR_Data[[#This Row],[age]]&lt;35,"25-34",IF(HR_Data[[#This Row],[age]]&lt;45,"35-44",IF(HR_Data[[#This Row],[age]]&lt;55,"45-54","55+"))))</f>
        <v>45-54</v>
      </c>
      <c r="X730" t="str">
        <f t="shared" si="11"/>
        <v>8,000+</v>
      </c>
    </row>
    <row r="731" spans="1:24" x14ac:dyDescent="0.3">
      <c r="A731">
        <v>1014</v>
      </c>
      <c r="B731">
        <v>35</v>
      </c>
      <c r="C731" t="s">
        <v>36</v>
      </c>
      <c r="D731" t="s">
        <v>23</v>
      </c>
      <c r="E731" t="s">
        <v>38</v>
      </c>
      <c r="F731">
        <v>25</v>
      </c>
      <c r="G731" t="s">
        <v>47</v>
      </c>
      <c r="H731" t="s">
        <v>48</v>
      </c>
      <c r="I731" t="s">
        <v>29</v>
      </c>
      <c r="J731" t="s">
        <v>28</v>
      </c>
      <c r="K731" t="s">
        <v>29</v>
      </c>
      <c r="L731" t="s">
        <v>53</v>
      </c>
      <c r="M731" t="s">
        <v>29</v>
      </c>
      <c r="N731" t="s">
        <v>51</v>
      </c>
      <c r="O731">
        <v>10388</v>
      </c>
      <c r="P731">
        <v>1</v>
      </c>
      <c r="Q731" t="s">
        <v>22</v>
      </c>
      <c r="R731">
        <v>11</v>
      </c>
      <c r="S731" t="s">
        <v>33</v>
      </c>
      <c r="T731" t="s">
        <v>29</v>
      </c>
      <c r="U731">
        <v>3</v>
      </c>
      <c r="V731" t="s">
        <v>49</v>
      </c>
      <c r="W731" t="str">
        <f>IF(HR_Data[[#This Row],[age]]&lt;25,"Under 25",IF(HR_Data[[#This Row],[age]]&lt;35,"25-34",IF(HR_Data[[#This Row],[age]]&lt;45,"35-44",IF(HR_Data[[#This Row],[age]]&lt;55,"45-54","55+"))))</f>
        <v>35-44</v>
      </c>
      <c r="X731" t="str">
        <f t="shared" si="11"/>
        <v>8,000+</v>
      </c>
    </row>
    <row r="732" spans="1:24" x14ac:dyDescent="0.3">
      <c r="A732">
        <v>1015</v>
      </c>
      <c r="B732">
        <v>30</v>
      </c>
      <c r="C732" t="s">
        <v>36</v>
      </c>
      <c r="D732" t="s">
        <v>23</v>
      </c>
      <c r="E732" t="s">
        <v>38</v>
      </c>
      <c r="F732">
        <v>8</v>
      </c>
      <c r="G732" t="s">
        <v>25</v>
      </c>
      <c r="H732" t="s">
        <v>26</v>
      </c>
      <c r="I732" t="s">
        <v>27</v>
      </c>
      <c r="J732" t="s">
        <v>28</v>
      </c>
      <c r="K732" t="s">
        <v>31</v>
      </c>
      <c r="L732" t="s">
        <v>57</v>
      </c>
      <c r="M732" t="s">
        <v>34</v>
      </c>
      <c r="N732" t="s">
        <v>42</v>
      </c>
      <c r="O732">
        <v>11416</v>
      </c>
      <c r="P732">
        <v>0</v>
      </c>
      <c r="Q732" t="s">
        <v>22</v>
      </c>
      <c r="R732">
        <v>12</v>
      </c>
      <c r="S732" t="s">
        <v>33</v>
      </c>
      <c r="T732" t="s">
        <v>29</v>
      </c>
      <c r="U732">
        <v>4</v>
      </c>
      <c r="V732" t="s">
        <v>49</v>
      </c>
      <c r="W732" t="str">
        <f>IF(HR_Data[[#This Row],[age]]&lt;25,"Under 25",IF(HR_Data[[#This Row],[age]]&lt;35,"25-34",IF(HR_Data[[#This Row],[age]]&lt;45,"35-44",IF(HR_Data[[#This Row],[age]]&lt;55,"45-54","55+"))))</f>
        <v>25-34</v>
      </c>
      <c r="X732" t="str">
        <f t="shared" si="11"/>
        <v>8,000+</v>
      </c>
    </row>
    <row r="733" spans="1:24" x14ac:dyDescent="0.3">
      <c r="A733">
        <v>1016</v>
      </c>
      <c r="B733">
        <v>20</v>
      </c>
      <c r="C733" t="s">
        <v>22</v>
      </c>
      <c r="D733" t="s">
        <v>23</v>
      </c>
      <c r="E733" t="s">
        <v>38</v>
      </c>
      <c r="F733">
        <v>11</v>
      </c>
      <c r="G733" t="s">
        <v>50</v>
      </c>
      <c r="H733" t="s">
        <v>48</v>
      </c>
      <c r="I733" t="s">
        <v>31</v>
      </c>
      <c r="J733" t="s">
        <v>28</v>
      </c>
      <c r="K733" t="s">
        <v>27</v>
      </c>
      <c r="L733" t="s">
        <v>41</v>
      </c>
      <c r="M733" t="s">
        <v>34</v>
      </c>
      <c r="N733" t="s">
        <v>32</v>
      </c>
      <c r="O733">
        <v>2600</v>
      </c>
      <c r="P733">
        <v>1</v>
      </c>
      <c r="Q733" t="s">
        <v>22</v>
      </c>
      <c r="R733">
        <v>15</v>
      </c>
      <c r="S733" t="s">
        <v>33</v>
      </c>
      <c r="T733" t="s">
        <v>34</v>
      </c>
      <c r="U733">
        <v>2</v>
      </c>
      <c r="V733" t="s">
        <v>44</v>
      </c>
      <c r="W733" t="str">
        <f>IF(HR_Data[[#This Row],[age]]&lt;25,"Under 25",IF(HR_Data[[#This Row],[age]]&lt;35,"25-34",IF(HR_Data[[#This Row],[age]]&lt;45,"35-44",IF(HR_Data[[#This Row],[age]]&lt;55,"45-54","55+"))))</f>
        <v>Under 25</v>
      </c>
      <c r="X733" t="str">
        <f t="shared" si="11"/>
        <v>Below 3,000</v>
      </c>
    </row>
    <row r="734" spans="1:24" x14ac:dyDescent="0.3">
      <c r="A734">
        <v>1017</v>
      </c>
      <c r="B734">
        <v>30</v>
      </c>
      <c r="C734" t="s">
        <v>22</v>
      </c>
      <c r="D734" t="s">
        <v>37</v>
      </c>
      <c r="E734" t="s">
        <v>38</v>
      </c>
      <c r="F734">
        <v>5</v>
      </c>
      <c r="G734" t="s">
        <v>50</v>
      </c>
      <c r="H734" t="s">
        <v>48</v>
      </c>
      <c r="I734" t="s">
        <v>27</v>
      </c>
      <c r="J734" t="s">
        <v>28</v>
      </c>
      <c r="K734" t="s">
        <v>29</v>
      </c>
      <c r="L734" t="s">
        <v>46</v>
      </c>
      <c r="M734" t="s">
        <v>27</v>
      </c>
      <c r="N734" t="s">
        <v>32</v>
      </c>
      <c r="O734">
        <v>2422</v>
      </c>
      <c r="P734">
        <v>0</v>
      </c>
      <c r="Q734" t="s">
        <v>36</v>
      </c>
      <c r="R734">
        <v>17</v>
      </c>
      <c r="S734" t="s">
        <v>33</v>
      </c>
      <c r="T734" t="s">
        <v>34</v>
      </c>
      <c r="U734">
        <v>3</v>
      </c>
      <c r="V734" t="s">
        <v>44</v>
      </c>
      <c r="W734" t="str">
        <f>IF(HR_Data[[#This Row],[age]]&lt;25,"Under 25",IF(HR_Data[[#This Row],[age]]&lt;35,"25-34",IF(HR_Data[[#This Row],[age]]&lt;45,"35-44",IF(HR_Data[[#This Row],[age]]&lt;55,"45-54","55+"))))</f>
        <v>25-34</v>
      </c>
      <c r="X734" t="str">
        <f t="shared" si="11"/>
        <v>Below 3,000</v>
      </c>
    </row>
    <row r="735" spans="1:24" x14ac:dyDescent="0.3">
      <c r="A735">
        <v>1018</v>
      </c>
      <c r="B735">
        <v>26</v>
      </c>
      <c r="C735" t="s">
        <v>36</v>
      </c>
      <c r="D735" t="s">
        <v>23</v>
      </c>
      <c r="E735" t="s">
        <v>38</v>
      </c>
      <c r="F735">
        <v>2</v>
      </c>
      <c r="G735" t="s">
        <v>25</v>
      </c>
      <c r="H735" t="s">
        <v>48</v>
      </c>
      <c r="I735" t="s">
        <v>31</v>
      </c>
      <c r="J735" t="s">
        <v>40</v>
      </c>
      <c r="K735" t="s">
        <v>31</v>
      </c>
      <c r="L735" t="s">
        <v>52</v>
      </c>
      <c r="M735" t="s">
        <v>31</v>
      </c>
      <c r="N735" t="s">
        <v>42</v>
      </c>
      <c r="O735">
        <v>5472</v>
      </c>
      <c r="P735">
        <v>1</v>
      </c>
      <c r="Q735" t="s">
        <v>36</v>
      </c>
      <c r="R735">
        <v>12</v>
      </c>
      <c r="S735" t="s">
        <v>33</v>
      </c>
      <c r="T735" t="s">
        <v>27</v>
      </c>
      <c r="U735">
        <v>2</v>
      </c>
      <c r="V735" t="s">
        <v>44</v>
      </c>
      <c r="W735" t="str">
        <f>IF(HR_Data[[#This Row],[age]]&lt;25,"Under 25",IF(HR_Data[[#This Row],[age]]&lt;35,"25-34",IF(HR_Data[[#This Row],[age]]&lt;45,"35-44",IF(HR_Data[[#This Row],[age]]&lt;55,"45-54","55+"))))</f>
        <v>25-34</v>
      </c>
      <c r="X735" t="str">
        <f t="shared" si="11"/>
        <v>5,000-7,999</v>
      </c>
    </row>
    <row r="736" spans="1:24" x14ac:dyDescent="0.3">
      <c r="A736">
        <v>1019</v>
      </c>
      <c r="B736">
        <v>22</v>
      </c>
      <c r="C736" t="s">
        <v>36</v>
      </c>
      <c r="D736" t="s">
        <v>23</v>
      </c>
      <c r="E736" t="s">
        <v>38</v>
      </c>
      <c r="F736">
        <v>8</v>
      </c>
      <c r="G736" t="s">
        <v>39</v>
      </c>
      <c r="H736" t="s">
        <v>26</v>
      </c>
      <c r="I736" t="s">
        <v>27</v>
      </c>
      <c r="J736" t="s">
        <v>40</v>
      </c>
      <c r="K736" t="s">
        <v>34</v>
      </c>
      <c r="L736" t="s">
        <v>46</v>
      </c>
      <c r="M736" t="s">
        <v>34</v>
      </c>
      <c r="N736" t="s">
        <v>42</v>
      </c>
      <c r="O736">
        <v>2451</v>
      </c>
      <c r="P736">
        <v>1</v>
      </c>
      <c r="Q736" t="s">
        <v>36</v>
      </c>
      <c r="R736">
        <v>15</v>
      </c>
      <c r="S736" t="s">
        <v>33</v>
      </c>
      <c r="T736" t="s">
        <v>34</v>
      </c>
      <c r="U736">
        <v>3</v>
      </c>
      <c r="V736" t="s">
        <v>49</v>
      </c>
      <c r="W736" t="str">
        <f>IF(HR_Data[[#This Row],[age]]&lt;25,"Under 25",IF(HR_Data[[#This Row],[age]]&lt;35,"25-34",IF(HR_Data[[#This Row],[age]]&lt;45,"35-44",IF(HR_Data[[#This Row],[age]]&lt;55,"45-54","55+"))))</f>
        <v>Under 25</v>
      </c>
      <c r="X736" t="str">
        <f t="shared" si="11"/>
        <v>Below 3,000</v>
      </c>
    </row>
    <row r="737" spans="1:24" x14ac:dyDescent="0.3">
      <c r="A737">
        <v>1022</v>
      </c>
      <c r="B737">
        <v>48</v>
      </c>
      <c r="C737" t="s">
        <v>36</v>
      </c>
      <c r="D737" t="s">
        <v>23</v>
      </c>
      <c r="E737" t="s">
        <v>38</v>
      </c>
      <c r="F737">
        <v>6</v>
      </c>
      <c r="G737" t="s">
        <v>50</v>
      </c>
      <c r="H737" t="s">
        <v>26</v>
      </c>
      <c r="I737" t="s">
        <v>34</v>
      </c>
      <c r="J737" t="s">
        <v>40</v>
      </c>
      <c r="K737" t="s">
        <v>27</v>
      </c>
      <c r="L737" t="s">
        <v>53</v>
      </c>
      <c r="M737" t="s">
        <v>29</v>
      </c>
      <c r="N737" t="s">
        <v>32</v>
      </c>
      <c r="O737">
        <v>4240</v>
      </c>
      <c r="P737">
        <v>2</v>
      </c>
      <c r="Q737" t="s">
        <v>36</v>
      </c>
      <c r="R737">
        <v>13</v>
      </c>
      <c r="S737" t="s">
        <v>33</v>
      </c>
      <c r="T737" t="s">
        <v>31</v>
      </c>
      <c r="U737">
        <v>0</v>
      </c>
      <c r="V737" t="s">
        <v>44</v>
      </c>
      <c r="W737" t="str">
        <f>IF(HR_Data[[#This Row],[age]]&lt;25,"Under 25",IF(HR_Data[[#This Row],[age]]&lt;35,"25-34",IF(HR_Data[[#This Row],[age]]&lt;45,"35-44",IF(HR_Data[[#This Row],[age]]&lt;55,"45-54","55+"))))</f>
        <v>45-54</v>
      </c>
      <c r="X737" t="str">
        <f t="shared" si="11"/>
        <v>3,000-4,999</v>
      </c>
    </row>
    <row r="738" spans="1:24" x14ac:dyDescent="0.3">
      <c r="A738">
        <v>1024</v>
      </c>
      <c r="B738">
        <v>48</v>
      </c>
      <c r="C738" t="s">
        <v>36</v>
      </c>
      <c r="D738" t="s">
        <v>23</v>
      </c>
      <c r="E738" t="s">
        <v>38</v>
      </c>
      <c r="F738">
        <v>4</v>
      </c>
      <c r="G738" t="s">
        <v>47</v>
      </c>
      <c r="H738" t="s">
        <v>26</v>
      </c>
      <c r="I738" t="s">
        <v>29</v>
      </c>
      <c r="J738" t="s">
        <v>40</v>
      </c>
      <c r="K738" t="s">
        <v>27</v>
      </c>
      <c r="L738" t="s">
        <v>53</v>
      </c>
      <c r="M738" t="s">
        <v>29</v>
      </c>
      <c r="N738" t="s">
        <v>32</v>
      </c>
      <c r="O738">
        <v>10999</v>
      </c>
      <c r="P738">
        <v>7</v>
      </c>
      <c r="Q738" t="s">
        <v>36</v>
      </c>
      <c r="R738">
        <v>14</v>
      </c>
      <c r="S738" t="s">
        <v>33</v>
      </c>
      <c r="T738" t="s">
        <v>27</v>
      </c>
      <c r="U738">
        <v>3</v>
      </c>
      <c r="V738" t="s">
        <v>44</v>
      </c>
      <c r="W738" t="str">
        <f>IF(HR_Data[[#This Row],[age]]&lt;25,"Under 25",IF(HR_Data[[#This Row],[age]]&lt;35,"25-34",IF(HR_Data[[#This Row],[age]]&lt;45,"35-44",IF(HR_Data[[#This Row],[age]]&lt;55,"45-54","55+"))))</f>
        <v>45-54</v>
      </c>
      <c r="X738" t="str">
        <f t="shared" si="11"/>
        <v>8,000+</v>
      </c>
    </row>
    <row r="739" spans="1:24" x14ac:dyDescent="0.3">
      <c r="A739">
        <v>1025</v>
      </c>
      <c r="B739">
        <v>41</v>
      </c>
      <c r="C739" t="s">
        <v>36</v>
      </c>
      <c r="D739" t="s">
        <v>23</v>
      </c>
      <c r="E739" t="s">
        <v>38</v>
      </c>
      <c r="F739">
        <v>7</v>
      </c>
      <c r="G739" t="s">
        <v>25</v>
      </c>
      <c r="H739" t="s">
        <v>48</v>
      </c>
      <c r="I739" t="s">
        <v>31</v>
      </c>
      <c r="J739" t="s">
        <v>28</v>
      </c>
      <c r="K739" t="s">
        <v>29</v>
      </c>
      <c r="L739" t="s">
        <v>52</v>
      </c>
      <c r="M739" t="s">
        <v>29</v>
      </c>
      <c r="N739" t="s">
        <v>32</v>
      </c>
      <c r="O739">
        <v>5003</v>
      </c>
      <c r="P739">
        <v>6</v>
      </c>
      <c r="Q739" t="s">
        <v>36</v>
      </c>
      <c r="R739">
        <v>14</v>
      </c>
      <c r="S739" t="s">
        <v>33</v>
      </c>
      <c r="T739" t="s">
        <v>27</v>
      </c>
      <c r="U739">
        <v>6</v>
      </c>
      <c r="V739" t="s">
        <v>44</v>
      </c>
      <c r="W739" t="str">
        <f>IF(HR_Data[[#This Row],[age]]&lt;25,"Under 25",IF(HR_Data[[#This Row],[age]]&lt;35,"25-34",IF(HR_Data[[#This Row],[age]]&lt;45,"35-44",IF(HR_Data[[#This Row],[age]]&lt;55,"45-54","55+"))))</f>
        <v>35-44</v>
      </c>
      <c r="X739" t="str">
        <f t="shared" si="11"/>
        <v>5,000-7,999</v>
      </c>
    </row>
    <row r="740" spans="1:24" x14ac:dyDescent="0.3">
      <c r="A740">
        <v>1026</v>
      </c>
      <c r="B740">
        <v>39</v>
      </c>
      <c r="C740" t="s">
        <v>36</v>
      </c>
      <c r="D740" t="s">
        <v>23</v>
      </c>
      <c r="E740" t="s">
        <v>38</v>
      </c>
      <c r="F740">
        <v>1</v>
      </c>
      <c r="G740" t="s">
        <v>39</v>
      </c>
      <c r="H740" t="s">
        <v>26</v>
      </c>
      <c r="I740" t="s">
        <v>31</v>
      </c>
      <c r="J740" t="s">
        <v>28</v>
      </c>
      <c r="K740" t="s">
        <v>27</v>
      </c>
      <c r="L740" t="s">
        <v>52</v>
      </c>
      <c r="M740" t="s">
        <v>31</v>
      </c>
      <c r="N740" t="s">
        <v>42</v>
      </c>
      <c r="O740">
        <v>12742</v>
      </c>
      <c r="P740">
        <v>1</v>
      </c>
      <c r="Q740" t="s">
        <v>36</v>
      </c>
      <c r="R740">
        <v>16</v>
      </c>
      <c r="S740" t="s">
        <v>33</v>
      </c>
      <c r="T740" t="s">
        <v>29</v>
      </c>
      <c r="U740">
        <v>3</v>
      </c>
      <c r="V740" t="s">
        <v>44</v>
      </c>
      <c r="W740" t="str">
        <f>IF(HR_Data[[#This Row],[age]]&lt;25,"Under 25",IF(HR_Data[[#This Row],[age]]&lt;35,"25-34",IF(HR_Data[[#This Row],[age]]&lt;45,"35-44",IF(HR_Data[[#This Row],[age]]&lt;55,"45-54","55+"))))</f>
        <v>35-44</v>
      </c>
      <c r="X740" t="str">
        <f t="shared" si="11"/>
        <v>8,000+</v>
      </c>
    </row>
    <row r="741" spans="1:24" x14ac:dyDescent="0.3">
      <c r="A741">
        <v>1027</v>
      </c>
      <c r="B741">
        <v>27</v>
      </c>
      <c r="C741" t="s">
        <v>36</v>
      </c>
      <c r="D741" t="s">
        <v>23</v>
      </c>
      <c r="E741" t="s">
        <v>38</v>
      </c>
      <c r="F741">
        <v>2</v>
      </c>
      <c r="G741" t="s">
        <v>47</v>
      </c>
      <c r="H741" t="s">
        <v>26</v>
      </c>
      <c r="I741" t="s">
        <v>34</v>
      </c>
      <c r="J741" t="s">
        <v>28</v>
      </c>
      <c r="K741" t="s">
        <v>29</v>
      </c>
      <c r="L741" t="s">
        <v>52</v>
      </c>
      <c r="M741" t="s">
        <v>31</v>
      </c>
      <c r="N741" t="s">
        <v>42</v>
      </c>
      <c r="O741">
        <v>4227</v>
      </c>
      <c r="P741">
        <v>0</v>
      </c>
      <c r="Q741" t="s">
        <v>36</v>
      </c>
      <c r="R741">
        <v>18</v>
      </c>
      <c r="S741" t="s">
        <v>33</v>
      </c>
      <c r="T741" t="s">
        <v>27</v>
      </c>
      <c r="U741">
        <v>2</v>
      </c>
      <c r="V741" t="s">
        <v>44</v>
      </c>
      <c r="W741" t="str">
        <f>IF(HR_Data[[#This Row],[age]]&lt;25,"Under 25",IF(HR_Data[[#This Row],[age]]&lt;35,"25-34",IF(HR_Data[[#This Row],[age]]&lt;45,"35-44",IF(HR_Data[[#This Row],[age]]&lt;55,"45-54","55+"))))</f>
        <v>25-34</v>
      </c>
      <c r="X741" t="str">
        <f t="shared" si="11"/>
        <v>3,000-4,999</v>
      </c>
    </row>
    <row r="742" spans="1:24" x14ac:dyDescent="0.3">
      <c r="A742">
        <v>1028</v>
      </c>
      <c r="B742">
        <v>35</v>
      </c>
      <c r="C742" t="s">
        <v>36</v>
      </c>
      <c r="D742" t="s">
        <v>23</v>
      </c>
      <c r="E742" t="s">
        <v>38</v>
      </c>
      <c r="F742">
        <v>10</v>
      </c>
      <c r="G742" t="s">
        <v>50</v>
      </c>
      <c r="H742" t="s">
        <v>45</v>
      </c>
      <c r="I742" t="s">
        <v>27</v>
      </c>
      <c r="J742" t="s">
        <v>40</v>
      </c>
      <c r="K742" t="s">
        <v>29</v>
      </c>
      <c r="L742" t="s">
        <v>46</v>
      </c>
      <c r="M742" t="s">
        <v>31</v>
      </c>
      <c r="N742" t="s">
        <v>51</v>
      </c>
      <c r="O742">
        <v>3917</v>
      </c>
      <c r="P742">
        <v>1</v>
      </c>
      <c r="Q742" t="s">
        <v>36</v>
      </c>
      <c r="R742">
        <v>20</v>
      </c>
      <c r="S742" t="s">
        <v>43</v>
      </c>
      <c r="T742" t="s">
        <v>34</v>
      </c>
      <c r="U742">
        <v>4</v>
      </c>
      <c r="V742" t="s">
        <v>49</v>
      </c>
      <c r="W742" t="str">
        <f>IF(HR_Data[[#This Row],[age]]&lt;25,"Under 25",IF(HR_Data[[#This Row],[age]]&lt;35,"25-34",IF(HR_Data[[#This Row],[age]]&lt;45,"35-44",IF(HR_Data[[#This Row],[age]]&lt;55,"45-54","55+"))))</f>
        <v>35-44</v>
      </c>
      <c r="X742" t="str">
        <f t="shared" si="11"/>
        <v>3,000-4,999</v>
      </c>
    </row>
    <row r="743" spans="1:24" x14ac:dyDescent="0.3">
      <c r="A743">
        <v>1029</v>
      </c>
      <c r="B743">
        <v>42</v>
      </c>
      <c r="C743" t="s">
        <v>36</v>
      </c>
      <c r="D743" t="s">
        <v>23</v>
      </c>
      <c r="E743" t="s">
        <v>24</v>
      </c>
      <c r="F743">
        <v>5</v>
      </c>
      <c r="G743" t="s">
        <v>25</v>
      </c>
      <c r="H743" t="s">
        <v>58</v>
      </c>
      <c r="I743" t="s">
        <v>31</v>
      </c>
      <c r="J743" t="s">
        <v>40</v>
      </c>
      <c r="K743" t="s">
        <v>29</v>
      </c>
      <c r="L743" t="s">
        <v>55</v>
      </c>
      <c r="M743" t="s">
        <v>29</v>
      </c>
      <c r="N743" t="s">
        <v>42</v>
      </c>
      <c r="O743">
        <v>18303</v>
      </c>
      <c r="P743">
        <v>6</v>
      </c>
      <c r="Q743" t="s">
        <v>36</v>
      </c>
      <c r="R743">
        <v>13</v>
      </c>
      <c r="S743" t="s">
        <v>33</v>
      </c>
      <c r="T743" t="s">
        <v>27</v>
      </c>
      <c r="U743">
        <v>3</v>
      </c>
      <c r="V743" t="s">
        <v>59</v>
      </c>
      <c r="W743" t="str">
        <f>IF(HR_Data[[#This Row],[age]]&lt;25,"Under 25",IF(HR_Data[[#This Row],[age]]&lt;35,"25-34",IF(HR_Data[[#This Row],[age]]&lt;45,"35-44",IF(HR_Data[[#This Row],[age]]&lt;55,"45-54","55+"))))</f>
        <v>35-44</v>
      </c>
      <c r="X743" t="str">
        <f t="shared" si="11"/>
        <v>8,000+</v>
      </c>
    </row>
    <row r="744" spans="1:24" x14ac:dyDescent="0.3">
      <c r="A744">
        <v>1030</v>
      </c>
      <c r="B744">
        <v>50</v>
      </c>
      <c r="C744" t="s">
        <v>36</v>
      </c>
      <c r="D744" t="s">
        <v>23</v>
      </c>
      <c r="E744" t="s">
        <v>38</v>
      </c>
      <c r="F744">
        <v>9</v>
      </c>
      <c r="G744" t="s">
        <v>50</v>
      </c>
      <c r="H744" t="s">
        <v>26</v>
      </c>
      <c r="I744" t="s">
        <v>34</v>
      </c>
      <c r="J744" t="s">
        <v>40</v>
      </c>
      <c r="K744" t="s">
        <v>29</v>
      </c>
      <c r="L744" t="s">
        <v>46</v>
      </c>
      <c r="M744" t="s">
        <v>31</v>
      </c>
      <c r="N744" t="s">
        <v>42</v>
      </c>
      <c r="O744">
        <v>2380</v>
      </c>
      <c r="P744">
        <v>4</v>
      </c>
      <c r="Q744" t="s">
        <v>36</v>
      </c>
      <c r="R744">
        <v>18</v>
      </c>
      <c r="S744" t="s">
        <v>33</v>
      </c>
      <c r="T744" t="s">
        <v>27</v>
      </c>
      <c r="U744">
        <v>5</v>
      </c>
      <c r="V744" t="s">
        <v>44</v>
      </c>
      <c r="W744" t="str">
        <f>IF(HR_Data[[#This Row],[age]]&lt;25,"Under 25",IF(HR_Data[[#This Row],[age]]&lt;35,"25-34",IF(HR_Data[[#This Row],[age]]&lt;45,"35-44",IF(HR_Data[[#This Row],[age]]&lt;55,"45-54","55+"))))</f>
        <v>45-54</v>
      </c>
      <c r="X744" t="str">
        <f t="shared" si="11"/>
        <v>Below 3,000</v>
      </c>
    </row>
    <row r="745" spans="1:24" x14ac:dyDescent="0.3">
      <c r="A745">
        <v>1032</v>
      </c>
      <c r="B745">
        <v>59</v>
      </c>
      <c r="C745" t="s">
        <v>36</v>
      </c>
      <c r="D745" t="s">
        <v>23</v>
      </c>
      <c r="E745" t="s">
        <v>38</v>
      </c>
      <c r="F745">
        <v>2</v>
      </c>
      <c r="G745" t="s">
        <v>50</v>
      </c>
      <c r="H745" t="s">
        <v>26</v>
      </c>
      <c r="I745" t="s">
        <v>29</v>
      </c>
      <c r="J745" t="s">
        <v>28</v>
      </c>
      <c r="K745" t="s">
        <v>27</v>
      </c>
      <c r="L745" t="s">
        <v>52</v>
      </c>
      <c r="M745" t="s">
        <v>31</v>
      </c>
      <c r="N745" t="s">
        <v>32</v>
      </c>
      <c r="O745">
        <v>13726</v>
      </c>
      <c r="P745">
        <v>3</v>
      </c>
      <c r="Q745" t="s">
        <v>22</v>
      </c>
      <c r="R745">
        <v>13</v>
      </c>
      <c r="S745" t="s">
        <v>33</v>
      </c>
      <c r="T745" t="s">
        <v>34</v>
      </c>
      <c r="U745">
        <v>4</v>
      </c>
      <c r="V745" t="s">
        <v>44</v>
      </c>
      <c r="W745" t="str">
        <f>IF(HR_Data[[#This Row],[age]]&lt;25,"Under 25",IF(HR_Data[[#This Row],[age]]&lt;35,"25-34",IF(HR_Data[[#This Row],[age]]&lt;45,"35-44",IF(HR_Data[[#This Row],[age]]&lt;55,"45-54","55+"))))</f>
        <v>55+</v>
      </c>
      <c r="X745" t="str">
        <f t="shared" si="11"/>
        <v>8,000+</v>
      </c>
    </row>
    <row r="746" spans="1:24" x14ac:dyDescent="0.3">
      <c r="A746">
        <v>1033</v>
      </c>
      <c r="B746">
        <v>37</v>
      </c>
      <c r="C746" t="s">
        <v>22</v>
      </c>
      <c r="D746" t="s">
        <v>23</v>
      </c>
      <c r="E746" t="s">
        <v>38</v>
      </c>
      <c r="F746">
        <v>11</v>
      </c>
      <c r="G746" t="s">
        <v>25</v>
      </c>
      <c r="H746" t="s">
        <v>48</v>
      </c>
      <c r="I746" t="s">
        <v>34</v>
      </c>
      <c r="J746" t="s">
        <v>28</v>
      </c>
      <c r="K746" t="s">
        <v>34</v>
      </c>
      <c r="L746" t="s">
        <v>53</v>
      </c>
      <c r="M746" t="s">
        <v>27</v>
      </c>
      <c r="N746" t="s">
        <v>42</v>
      </c>
      <c r="O746">
        <v>4777</v>
      </c>
      <c r="P746">
        <v>5</v>
      </c>
      <c r="Q746" t="s">
        <v>36</v>
      </c>
      <c r="R746">
        <v>15</v>
      </c>
      <c r="S746" t="s">
        <v>33</v>
      </c>
      <c r="T746" t="s">
        <v>34</v>
      </c>
      <c r="U746">
        <v>2</v>
      </c>
      <c r="V746" t="s">
        <v>35</v>
      </c>
      <c r="W746" t="str">
        <f>IF(HR_Data[[#This Row],[age]]&lt;25,"Under 25",IF(HR_Data[[#This Row],[age]]&lt;35,"25-34",IF(HR_Data[[#This Row],[age]]&lt;45,"35-44",IF(HR_Data[[#This Row],[age]]&lt;55,"45-54","55+"))))</f>
        <v>35-44</v>
      </c>
      <c r="X746" t="str">
        <f t="shared" si="11"/>
        <v>3,000-4,999</v>
      </c>
    </row>
    <row r="747" spans="1:24" x14ac:dyDescent="0.3">
      <c r="A747">
        <v>1034</v>
      </c>
      <c r="B747">
        <v>55</v>
      </c>
      <c r="C747" t="s">
        <v>36</v>
      </c>
      <c r="D747" t="s">
        <v>37</v>
      </c>
      <c r="E747" t="s">
        <v>38</v>
      </c>
      <c r="F747">
        <v>18</v>
      </c>
      <c r="G747" t="s">
        <v>47</v>
      </c>
      <c r="H747" t="s">
        <v>48</v>
      </c>
      <c r="I747" t="s">
        <v>29</v>
      </c>
      <c r="J747" t="s">
        <v>40</v>
      </c>
      <c r="K747" t="s">
        <v>29</v>
      </c>
      <c r="L747" t="s">
        <v>53</v>
      </c>
      <c r="M747" t="s">
        <v>27</v>
      </c>
      <c r="N747" t="s">
        <v>42</v>
      </c>
      <c r="O747">
        <v>6385</v>
      </c>
      <c r="P747">
        <v>3</v>
      </c>
      <c r="Q747" t="s">
        <v>22</v>
      </c>
      <c r="R747">
        <v>14</v>
      </c>
      <c r="S747" t="s">
        <v>33</v>
      </c>
      <c r="T747" t="s">
        <v>31</v>
      </c>
      <c r="U747">
        <v>3</v>
      </c>
      <c r="V747" t="s">
        <v>44</v>
      </c>
      <c r="W747" t="str">
        <f>IF(HR_Data[[#This Row],[age]]&lt;25,"Under 25",IF(HR_Data[[#This Row],[age]]&lt;35,"25-34",IF(HR_Data[[#This Row],[age]]&lt;45,"35-44",IF(HR_Data[[#This Row],[age]]&lt;55,"45-54","55+"))))</f>
        <v>55+</v>
      </c>
      <c r="X747" t="str">
        <f t="shared" si="11"/>
        <v>5,000-7,999</v>
      </c>
    </row>
    <row r="748" spans="1:24" x14ac:dyDescent="0.3">
      <c r="A748">
        <v>1035</v>
      </c>
      <c r="B748">
        <v>41</v>
      </c>
      <c r="C748" t="s">
        <v>36</v>
      </c>
      <c r="D748" t="s">
        <v>54</v>
      </c>
      <c r="E748" t="s">
        <v>38</v>
      </c>
      <c r="F748">
        <v>7</v>
      </c>
      <c r="G748" t="s">
        <v>39</v>
      </c>
      <c r="H748" t="s">
        <v>26</v>
      </c>
      <c r="I748" t="s">
        <v>27</v>
      </c>
      <c r="J748" t="s">
        <v>28</v>
      </c>
      <c r="K748" t="s">
        <v>34</v>
      </c>
      <c r="L748" t="s">
        <v>57</v>
      </c>
      <c r="M748" t="s">
        <v>29</v>
      </c>
      <c r="N748" t="s">
        <v>51</v>
      </c>
      <c r="O748">
        <v>19973</v>
      </c>
      <c r="P748">
        <v>1</v>
      </c>
      <c r="Q748" t="s">
        <v>36</v>
      </c>
      <c r="R748">
        <v>22</v>
      </c>
      <c r="S748" t="s">
        <v>43</v>
      </c>
      <c r="T748" t="s">
        <v>27</v>
      </c>
      <c r="U748">
        <v>3</v>
      </c>
      <c r="V748" t="s">
        <v>44</v>
      </c>
      <c r="W748" t="str">
        <f>IF(HR_Data[[#This Row],[age]]&lt;25,"Under 25",IF(HR_Data[[#This Row],[age]]&lt;35,"25-34",IF(HR_Data[[#This Row],[age]]&lt;45,"35-44",IF(HR_Data[[#This Row],[age]]&lt;55,"45-54","55+"))))</f>
        <v>35-44</v>
      </c>
      <c r="X748" t="str">
        <f t="shared" si="11"/>
        <v>8,000+</v>
      </c>
    </row>
    <row r="749" spans="1:24" x14ac:dyDescent="0.3">
      <c r="A749">
        <v>1036</v>
      </c>
      <c r="B749">
        <v>38</v>
      </c>
      <c r="C749" t="s">
        <v>36</v>
      </c>
      <c r="D749" t="s">
        <v>23</v>
      </c>
      <c r="E749" t="s">
        <v>24</v>
      </c>
      <c r="F749">
        <v>3</v>
      </c>
      <c r="G749" t="s">
        <v>47</v>
      </c>
      <c r="H749" t="s">
        <v>26</v>
      </c>
      <c r="I749" t="s">
        <v>27</v>
      </c>
      <c r="J749" t="s">
        <v>40</v>
      </c>
      <c r="K749" t="s">
        <v>29</v>
      </c>
      <c r="L749" t="s">
        <v>30</v>
      </c>
      <c r="M749" t="s">
        <v>31</v>
      </c>
      <c r="N749" t="s">
        <v>32</v>
      </c>
      <c r="O749">
        <v>6861</v>
      </c>
      <c r="P749">
        <v>8</v>
      </c>
      <c r="Q749" t="s">
        <v>22</v>
      </c>
      <c r="R749">
        <v>12</v>
      </c>
      <c r="S749" t="s">
        <v>33</v>
      </c>
      <c r="T749" t="s">
        <v>29</v>
      </c>
      <c r="U749">
        <v>1</v>
      </c>
      <c r="V749" t="s">
        <v>44</v>
      </c>
      <c r="W749" t="str">
        <f>IF(HR_Data[[#This Row],[age]]&lt;25,"Under 25",IF(HR_Data[[#This Row],[age]]&lt;35,"25-34",IF(HR_Data[[#This Row],[age]]&lt;45,"35-44",IF(HR_Data[[#This Row],[age]]&lt;55,"45-54","55+"))))</f>
        <v>35-44</v>
      </c>
      <c r="X749" t="str">
        <f t="shared" si="11"/>
        <v>5,000-7,999</v>
      </c>
    </row>
    <row r="750" spans="1:24" x14ac:dyDescent="0.3">
      <c r="A750">
        <v>1037</v>
      </c>
      <c r="B750">
        <v>26</v>
      </c>
      <c r="C750" t="s">
        <v>22</v>
      </c>
      <c r="D750" t="s">
        <v>54</v>
      </c>
      <c r="E750" t="s">
        <v>24</v>
      </c>
      <c r="F750">
        <v>29</v>
      </c>
      <c r="G750" t="s">
        <v>25</v>
      </c>
      <c r="H750" t="s">
        <v>48</v>
      </c>
      <c r="I750" t="s">
        <v>27</v>
      </c>
      <c r="J750" t="s">
        <v>40</v>
      </c>
      <c r="K750" t="s">
        <v>34</v>
      </c>
      <c r="L750" t="s">
        <v>30</v>
      </c>
      <c r="M750" t="s">
        <v>34</v>
      </c>
      <c r="N750" t="s">
        <v>32</v>
      </c>
      <c r="O750">
        <v>4969</v>
      </c>
      <c r="P750">
        <v>8</v>
      </c>
      <c r="Q750" t="s">
        <v>36</v>
      </c>
      <c r="R750">
        <v>18</v>
      </c>
      <c r="S750" t="s">
        <v>33</v>
      </c>
      <c r="T750" t="s">
        <v>31</v>
      </c>
      <c r="U750">
        <v>6</v>
      </c>
      <c r="V750" t="s">
        <v>44</v>
      </c>
      <c r="W750" t="str">
        <f>IF(HR_Data[[#This Row],[age]]&lt;25,"Under 25",IF(HR_Data[[#This Row],[age]]&lt;35,"25-34",IF(HR_Data[[#This Row],[age]]&lt;45,"35-44",IF(HR_Data[[#This Row],[age]]&lt;55,"45-54","55+"))))</f>
        <v>25-34</v>
      </c>
      <c r="X750" t="str">
        <f t="shared" si="11"/>
        <v>3,000-4,999</v>
      </c>
    </row>
    <row r="751" spans="1:24" x14ac:dyDescent="0.3">
      <c r="A751">
        <v>1038</v>
      </c>
      <c r="B751">
        <v>52</v>
      </c>
      <c r="C751" t="s">
        <v>22</v>
      </c>
      <c r="D751" t="s">
        <v>23</v>
      </c>
      <c r="E751" t="s">
        <v>24</v>
      </c>
      <c r="F751">
        <v>2</v>
      </c>
      <c r="G751" t="s">
        <v>39</v>
      </c>
      <c r="H751" t="s">
        <v>58</v>
      </c>
      <c r="I751" t="s">
        <v>34</v>
      </c>
      <c r="J751" t="s">
        <v>28</v>
      </c>
      <c r="K751" t="s">
        <v>34</v>
      </c>
      <c r="L751" t="s">
        <v>55</v>
      </c>
      <c r="M751" t="s">
        <v>31</v>
      </c>
      <c r="N751" t="s">
        <v>42</v>
      </c>
      <c r="O751">
        <v>19845</v>
      </c>
      <c r="P751">
        <v>1</v>
      </c>
      <c r="Q751" t="s">
        <v>36</v>
      </c>
      <c r="R751">
        <v>15</v>
      </c>
      <c r="S751" t="s">
        <v>33</v>
      </c>
      <c r="T751" t="s">
        <v>31</v>
      </c>
      <c r="U751">
        <v>3</v>
      </c>
      <c r="V751" t="s">
        <v>44</v>
      </c>
      <c r="W751" t="str">
        <f>IF(HR_Data[[#This Row],[age]]&lt;25,"Under 25",IF(HR_Data[[#This Row],[age]]&lt;35,"25-34",IF(HR_Data[[#This Row],[age]]&lt;45,"35-44",IF(HR_Data[[#This Row],[age]]&lt;55,"45-54","55+"))))</f>
        <v>45-54</v>
      </c>
      <c r="X751" t="str">
        <f t="shared" si="11"/>
        <v>8,000+</v>
      </c>
    </row>
    <row r="752" spans="1:24" x14ac:dyDescent="0.3">
      <c r="A752">
        <v>1039</v>
      </c>
      <c r="B752">
        <v>44</v>
      </c>
      <c r="C752" t="s">
        <v>36</v>
      </c>
      <c r="D752" t="s">
        <v>23</v>
      </c>
      <c r="E752" t="s">
        <v>24</v>
      </c>
      <c r="F752">
        <v>28</v>
      </c>
      <c r="G752" t="s">
        <v>50</v>
      </c>
      <c r="H752" t="s">
        <v>48</v>
      </c>
      <c r="I752" t="s">
        <v>31</v>
      </c>
      <c r="J752" t="s">
        <v>28</v>
      </c>
      <c r="K752" t="s">
        <v>31</v>
      </c>
      <c r="L752" t="s">
        <v>30</v>
      </c>
      <c r="M752" t="s">
        <v>31</v>
      </c>
      <c r="N752" t="s">
        <v>42</v>
      </c>
      <c r="O752">
        <v>13320</v>
      </c>
      <c r="P752">
        <v>3</v>
      </c>
      <c r="Q752" t="s">
        <v>22</v>
      </c>
      <c r="R752">
        <v>18</v>
      </c>
      <c r="S752" t="s">
        <v>33</v>
      </c>
      <c r="T752" t="s">
        <v>29</v>
      </c>
      <c r="U752">
        <v>2</v>
      </c>
      <c r="V752" t="s">
        <v>44</v>
      </c>
      <c r="W752" t="str">
        <f>IF(HR_Data[[#This Row],[age]]&lt;25,"Under 25",IF(HR_Data[[#This Row],[age]]&lt;35,"25-34",IF(HR_Data[[#This Row],[age]]&lt;45,"35-44",IF(HR_Data[[#This Row],[age]]&lt;55,"45-54","55+"))))</f>
        <v>35-44</v>
      </c>
      <c r="X752" t="str">
        <f t="shared" si="11"/>
        <v>8,000+</v>
      </c>
    </row>
    <row r="753" spans="1:24" x14ac:dyDescent="0.3">
      <c r="A753">
        <v>1040</v>
      </c>
      <c r="B753">
        <v>50</v>
      </c>
      <c r="C753" t="s">
        <v>36</v>
      </c>
      <c r="D753" t="s">
        <v>54</v>
      </c>
      <c r="E753" t="s">
        <v>24</v>
      </c>
      <c r="F753">
        <v>1</v>
      </c>
      <c r="G753" t="s">
        <v>50</v>
      </c>
      <c r="H753" t="s">
        <v>26</v>
      </c>
      <c r="I753" t="s">
        <v>31</v>
      </c>
      <c r="J753" t="s">
        <v>28</v>
      </c>
      <c r="K753" t="s">
        <v>29</v>
      </c>
      <c r="L753" t="s">
        <v>30</v>
      </c>
      <c r="M753" t="s">
        <v>29</v>
      </c>
      <c r="N753" t="s">
        <v>42</v>
      </c>
      <c r="O753">
        <v>6347</v>
      </c>
      <c r="P753">
        <v>0</v>
      </c>
      <c r="Q753" t="s">
        <v>36</v>
      </c>
      <c r="R753">
        <v>12</v>
      </c>
      <c r="S753" t="s">
        <v>33</v>
      </c>
      <c r="T753" t="s">
        <v>34</v>
      </c>
      <c r="U753">
        <v>3</v>
      </c>
      <c r="V753" t="s">
        <v>44</v>
      </c>
      <c r="W753" t="str">
        <f>IF(HR_Data[[#This Row],[age]]&lt;25,"Under 25",IF(HR_Data[[#This Row],[age]]&lt;35,"25-34",IF(HR_Data[[#This Row],[age]]&lt;45,"35-44",IF(HR_Data[[#This Row],[age]]&lt;55,"45-54","55+"))))</f>
        <v>45-54</v>
      </c>
      <c r="X753" t="str">
        <f t="shared" si="11"/>
        <v>5,000-7,999</v>
      </c>
    </row>
    <row r="754" spans="1:24" x14ac:dyDescent="0.3">
      <c r="A754">
        <v>1042</v>
      </c>
      <c r="B754">
        <v>36</v>
      </c>
      <c r="C754" t="s">
        <v>22</v>
      </c>
      <c r="D754" t="s">
        <v>23</v>
      </c>
      <c r="E754" t="s">
        <v>38</v>
      </c>
      <c r="F754">
        <v>16</v>
      </c>
      <c r="G754" t="s">
        <v>47</v>
      </c>
      <c r="H754" t="s">
        <v>26</v>
      </c>
      <c r="I754" t="s">
        <v>29</v>
      </c>
      <c r="J754" t="s">
        <v>28</v>
      </c>
      <c r="K754" t="s">
        <v>31</v>
      </c>
      <c r="L754" t="s">
        <v>46</v>
      </c>
      <c r="M754" t="s">
        <v>34</v>
      </c>
      <c r="N754" t="s">
        <v>32</v>
      </c>
      <c r="O754">
        <v>2743</v>
      </c>
      <c r="P754">
        <v>1</v>
      </c>
      <c r="Q754" t="s">
        <v>36</v>
      </c>
      <c r="R754">
        <v>16</v>
      </c>
      <c r="S754" t="s">
        <v>33</v>
      </c>
      <c r="T754" t="s">
        <v>29</v>
      </c>
      <c r="U754">
        <v>1</v>
      </c>
      <c r="V754" t="s">
        <v>44</v>
      </c>
      <c r="W754" t="str">
        <f>IF(HR_Data[[#This Row],[age]]&lt;25,"Under 25",IF(HR_Data[[#This Row],[age]]&lt;35,"25-34",IF(HR_Data[[#This Row],[age]]&lt;45,"35-44",IF(HR_Data[[#This Row],[age]]&lt;55,"45-54","55+"))))</f>
        <v>35-44</v>
      </c>
      <c r="X754" t="str">
        <f t="shared" si="11"/>
        <v>Below 3,000</v>
      </c>
    </row>
    <row r="755" spans="1:24" x14ac:dyDescent="0.3">
      <c r="A755">
        <v>1043</v>
      </c>
      <c r="B755">
        <v>39</v>
      </c>
      <c r="C755" t="s">
        <v>36</v>
      </c>
      <c r="D755" t="s">
        <v>37</v>
      </c>
      <c r="E755" t="s">
        <v>38</v>
      </c>
      <c r="F755">
        <v>22</v>
      </c>
      <c r="G755" t="s">
        <v>50</v>
      </c>
      <c r="H755" t="s">
        <v>48</v>
      </c>
      <c r="I755" t="s">
        <v>31</v>
      </c>
      <c r="J755" t="s">
        <v>28</v>
      </c>
      <c r="K755" t="s">
        <v>29</v>
      </c>
      <c r="L755" t="s">
        <v>52</v>
      </c>
      <c r="M755" t="s">
        <v>34</v>
      </c>
      <c r="N755" t="s">
        <v>32</v>
      </c>
      <c r="O755">
        <v>10880</v>
      </c>
      <c r="P755">
        <v>1</v>
      </c>
      <c r="Q755" t="s">
        <v>22</v>
      </c>
      <c r="R755">
        <v>13</v>
      </c>
      <c r="S755" t="s">
        <v>33</v>
      </c>
      <c r="T755" t="s">
        <v>29</v>
      </c>
      <c r="U755">
        <v>2</v>
      </c>
      <c r="V755" t="s">
        <v>44</v>
      </c>
      <c r="W755" t="str">
        <f>IF(HR_Data[[#This Row],[age]]&lt;25,"Under 25",IF(HR_Data[[#This Row],[age]]&lt;35,"25-34",IF(HR_Data[[#This Row],[age]]&lt;45,"35-44",IF(HR_Data[[#This Row],[age]]&lt;55,"45-54","55+"))))</f>
        <v>35-44</v>
      </c>
      <c r="X755" t="str">
        <f t="shared" si="11"/>
        <v>8,000+</v>
      </c>
    </row>
    <row r="756" spans="1:24" x14ac:dyDescent="0.3">
      <c r="A756">
        <v>1044</v>
      </c>
      <c r="B756">
        <v>33</v>
      </c>
      <c r="C756" t="s">
        <v>36</v>
      </c>
      <c r="D756" t="s">
        <v>54</v>
      </c>
      <c r="E756" t="s">
        <v>24</v>
      </c>
      <c r="F756">
        <v>8</v>
      </c>
      <c r="G756" t="s">
        <v>39</v>
      </c>
      <c r="H756" t="s">
        <v>26</v>
      </c>
      <c r="I756" t="s">
        <v>27</v>
      </c>
      <c r="J756" t="s">
        <v>28</v>
      </c>
      <c r="K756" t="s">
        <v>27</v>
      </c>
      <c r="L756" t="s">
        <v>56</v>
      </c>
      <c r="M756" t="s">
        <v>31</v>
      </c>
      <c r="N756" t="s">
        <v>32</v>
      </c>
      <c r="O756">
        <v>2342</v>
      </c>
      <c r="P756">
        <v>0</v>
      </c>
      <c r="Q756" t="s">
        <v>36</v>
      </c>
      <c r="R756">
        <v>19</v>
      </c>
      <c r="S756" t="s">
        <v>33</v>
      </c>
      <c r="T756" t="s">
        <v>31</v>
      </c>
      <c r="U756">
        <v>2</v>
      </c>
      <c r="V756" t="s">
        <v>49</v>
      </c>
      <c r="W756" t="str">
        <f>IF(HR_Data[[#This Row],[age]]&lt;25,"Under 25",IF(HR_Data[[#This Row],[age]]&lt;35,"25-34",IF(HR_Data[[#This Row],[age]]&lt;45,"35-44",IF(HR_Data[[#This Row],[age]]&lt;55,"45-54","55+"))))</f>
        <v>25-34</v>
      </c>
      <c r="X756" t="str">
        <f t="shared" si="11"/>
        <v>Below 3,000</v>
      </c>
    </row>
    <row r="757" spans="1:24" x14ac:dyDescent="0.3">
      <c r="A757">
        <v>1045</v>
      </c>
      <c r="B757">
        <v>45</v>
      </c>
      <c r="C757" t="s">
        <v>36</v>
      </c>
      <c r="D757" t="s">
        <v>23</v>
      </c>
      <c r="E757" t="s">
        <v>24</v>
      </c>
      <c r="F757">
        <v>11</v>
      </c>
      <c r="G757" t="s">
        <v>25</v>
      </c>
      <c r="H757" t="s">
        <v>26</v>
      </c>
      <c r="I757" t="s">
        <v>31</v>
      </c>
      <c r="J757" t="s">
        <v>28</v>
      </c>
      <c r="K757" t="s">
        <v>29</v>
      </c>
      <c r="L757" t="s">
        <v>55</v>
      </c>
      <c r="M757" t="s">
        <v>31</v>
      </c>
      <c r="N757" t="s">
        <v>42</v>
      </c>
      <c r="O757">
        <v>17650</v>
      </c>
      <c r="P757">
        <v>3</v>
      </c>
      <c r="Q757" t="s">
        <v>36</v>
      </c>
      <c r="R757">
        <v>13</v>
      </c>
      <c r="S757" t="s">
        <v>33</v>
      </c>
      <c r="T757" t="s">
        <v>27</v>
      </c>
      <c r="U757">
        <v>4</v>
      </c>
      <c r="V757" t="s">
        <v>59</v>
      </c>
      <c r="W757" t="str">
        <f>IF(HR_Data[[#This Row],[age]]&lt;25,"Under 25",IF(HR_Data[[#This Row],[age]]&lt;35,"25-34",IF(HR_Data[[#This Row],[age]]&lt;45,"35-44",IF(HR_Data[[#This Row],[age]]&lt;55,"45-54","55+"))))</f>
        <v>45-54</v>
      </c>
      <c r="X757" t="str">
        <f t="shared" si="11"/>
        <v>8,000+</v>
      </c>
    </row>
    <row r="758" spans="1:24" x14ac:dyDescent="0.3">
      <c r="A758">
        <v>1046</v>
      </c>
      <c r="B758">
        <v>32</v>
      </c>
      <c r="C758" t="s">
        <v>36</v>
      </c>
      <c r="D758" t="s">
        <v>54</v>
      </c>
      <c r="E758" t="s">
        <v>38</v>
      </c>
      <c r="F758">
        <v>29</v>
      </c>
      <c r="G758" t="s">
        <v>47</v>
      </c>
      <c r="H758" t="s">
        <v>48</v>
      </c>
      <c r="I758" t="s">
        <v>31</v>
      </c>
      <c r="J758" t="s">
        <v>28</v>
      </c>
      <c r="K758" t="s">
        <v>29</v>
      </c>
      <c r="L758" t="s">
        <v>46</v>
      </c>
      <c r="M758" t="s">
        <v>29</v>
      </c>
      <c r="N758" t="s">
        <v>32</v>
      </c>
      <c r="O758">
        <v>4025</v>
      </c>
      <c r="P758">
        <v>9</v>
      </c>
      <c r="Q758" t="s">
        <v>36</v>
      </c>
      <c r="R758">
        <v>12</v>
      </c>
      <c r="S758" t="s">
        <v>33</v>
      </c>
      <c r="T758" t="s">
        <v>27</v>
      </c>
      <c r="U758">
        <v>2</v>
      </c>
      <c r="V758" t="s">
        <v>44</v>
      </c>
      <c r="W758" t="str">
        <f>IF(HR_Data[[#This Row],[age]]&lt;25,"Under 25",IF(HR_Data[[#This Row],[age]]&lt;35,"25-34",IF(HR_Data[[#This Row],[age]]&lt;45,"35-44",IF(HR_Data[[#This Row],[age]]&lt;55,"45-54","55+"))))</f>
        <v>25-34</v>
      </c>
      <c r="X758" t="str">
        <f t="shared" si="11"/>
        <v>3,000-4,999</v>
      </c>
    </row>
    <row r="759" spans="1:24" x14ac:dyDescent="0.3">
      <c r="A759">
        <v>1047</v>
      </c>
      <c r="B759">
        <v>34</v>
      </c>
      <c r="C759" t="s">
        <v>36</v>
      </c>
      <c r="D759" t="s">
        <v>23</v>
      </c>
      <c r="E759" t="s">
        <v>24</v>
      </c>
      <c r="F759">
        <v>1</v>
      </c>
      <c r="G759" t="s">
        <v>47</v>
      </c>
      <c r="H759" t="s">
        <v>58</v>
      </c>
      <c r="I759" t="s">
        <v>27</v>
      </c>
      <c r="J759" t="s">
        <v>40</v>
      </c>
      <c r="K759" t="s">
        <v>31</v>
      </c>
      <c r="L759" t="s">
        <v>30</v>
      </c>
      <c r="M759" t="s">
        <v>31</v>
      </c>
      <c r="N759" t="s">
        <v>51</v>
      </c>
      <c r="O759">
        <v>9725</v>
      </c>
      <c r="P759">
        <v>0</v>
      </c>
      <c r="Q759" t="s">
        <v>36</v>
      </c>
      <c r="R759">
        <v>11</v>
      </c>
      <c r="S759" t="s">
        <v>33</v>
      </c>
      <c r="T759" t="s">
        <v>31</v>
      </c>
      <c r="U759">
        <v>2</v>
      </c>
      <c r="V759" t="s">
        <v>49</v>
      </c>
      <c r="W759" t="str">
        <f>IF(HR_Data[[#This Row],[age]]&lt;25,"Under 25",IF(HR_Data[[#This Row],[age]]&lt;35,"25-34",IF(HR_Data[[#This Row],[age]]&lt;45,"35-44",IF(HR_Data[[#This Row],[age]]&lt;55,"45-54","55+"))))</f>
        <v>25-34</v>
      </c>
      <c r="X759" t="str">
        <f t="shared" si="11"/>
        <v>8,000+</v>
      </c>
    </row>
    <row r="760" spans="1:24" x14ac:dyDescent="0.3">
      <c r="A760">
        <v>1048</v>
      </c>
      <c r="B760">
        <v>59</v>
      </c>
      <c r="C760" t="s">
        <v>36</v>
      </c>
      <c r="D760" t="s">
        <v>23</v>
      </c>
      <c r="E760" t="s">
        <v>24</v>
      </c>
      <c r="F760">
        <v>1</v>
      </c>
      <c r="G760" t="s">
        <v>25</v>
      </c>
      <c r="H760" t="s">
        <v>60</v>
      </c>
      <c r="I760" t="s">
        <v>27</v>
      </c>
      <c r="J760" t="s">
        <v>40</v>
      </c>
      <c r="K760" t="s">
        <v>29</v>
      </c>
      <c r="L760" t="s">
        <v>55</v>
      </c>
      <c r="M760" t="s">
        <v>31</v>
      </c>
      <c r="N760" t="s">
        <v>42</v>
      </c>
      <c r="O760">
        <v>11904</v>
      </c>
      <c r="P760">
        <v>3</v>
      </c>
      <c r="Q760" t="s">
        <v>22</v>
      </c>
      <c r="R760">
        <v>14</v>
      </c>
      <c r="S760" t="s">
        <v>33</v>
      </c>
      <c r="T760" t="s">
        <v>29</v>
      </c>
      <c r="U760">
        <v>1</v>
      </c>
      <c r="V760" t="s">
        <v>35</v>
      </c>
      <c r="W760" t="str">
        <f>IF(HR_Data[[#This Row],[age]]&lt;25,"Under 25",IF(HR_Data[[#This Row],[age]]&lt;35,"25-34",IF(HR_Data[[#This Row],[age]]&lt;45,"35-44",IF(HR_Data[[#This Row],[age]]&lt;55,"45-54","55+"))))</f>
        <v>55+</v>
      </c>
      <c r="X760" t="str">
        <f t="shared" si="11"/>
        <v>8,000+</v>
      </c>
    </row>
    <row r="761" spans="1:24" x14ac:dyDescent="0.3">
      <c r="A761">
        <v>1049</v>
      </c>
      <c r="B761">
        <v>45</v>
      </c>
      <c r="C761" t="s">
        <v>36</v>
      </c>
      <c r="D761" t="s">
        <v>23</v>
      </c>
      <c r="E761" t="s">
        <v>62</v>
      </c>
      <c r="F761">
        <v>24</v>
      </c>
      <c r="G761" t="s">
        <v>47</v>
      </c>
      <c r="H761" t="s">
        <v>48</v>
      </c>
      <c r="I761" t="s">
        <v>27</v>
      </c>
      <c r="J761" t="s">
        <v>40</v>
      </c>
      <c r="K761" t="s">
        <v>29</v>
      </c>
      <c r="L761" t="s">
        <v>62</v>
      </c>
      <c r="M761" t="s">
        <v>27</v>
      </c>
      <c r="N761" t="s">
        <v>32</v>
      </c>
      <c r="O761">
        <v>2177</v>
      </c>
      <c r="P761">
        <v>1</v>
      </c>
      <c r="Q761" t="s">
        <v>36</v>
      </c>
      <c r="R761">
        <v>16</v>
      </c>
      <c r="S761" t="s">
        <v>33</v>
      </c>
      <c r="T761" t="s">
        <v>34</v>
      </c>
      <c r="U761">
        <v>3</v>
      </c>
      <c r="V761" t="s">
        <v>44</v>
      </c>
      <c r="W761" t="str">
        <f>IF(HR_Data[[#This Row],[age]]&lt;25,"Under 25",IF(HR_Data[[#This Row],[age]]&lt;35,"25-34",IF(HR_Data[[#This Row],[age]]&lt;45,"35-44",IF(HR_Data[[#This Row],[age]]&lt;55,"45-54","55+"))))</f>
        <v>45-54</v>
      </c>
      <c r="X761" t="str">
        <f t="shared" si="11"/>
        <v>Below 3,000</v>
      </c>
    </row>
    <row r="762" spans="1:24" x14ac:dyDescent="0.3">
      <c r="A762">
        <v>1050</v>
      </c>
      <c r="B762">
        <v>53</v>
      </c>
      <c r="C762" t="s">
        <v>36</v>
      </c>
      <c r="D762" t="s">
        <v>37</v>
      </c>
      <c r="E762" t="s">
        <v>24</v>
      </c>
      <c r="F762">
        <v>2</v>
      </c>
      <c r="G762" t="s">
        <v>50</v>
      </c>
      <c r="H762" t="s">
        <v>58</v>
      </c>
      <c r="I762" t="s">
        <v>29</v>
      </c>
      <c r="J762" t="s">
        <v>28</v>
      </c>
      <c r="K762" t="s">
        <v>27</v>
      </c>
      <c r="L762" t="s">
        <v>30</v>
      </c>
      <c r="M762" t="s">
        <v>27</v>
      </c>
      <c r="N762" t="s">
        <v>42</v>
      </c>
      <c r="O762">
        <v>7525</v>
      </c>
      <c r="P762">
        <v>2</v>
      </c>
      <c r="Q762" t="s">
        <v>36</v>
      </c>
      <c r="R762">
        <v>12</v>
      </c>
      <c r="S762" t="s">
        <v>33</v>
      </c>
      <c r="T762" t="s">
        <v>34</v>
      </c>
      <c r="U762">
        <v>2</v>
      </c>
      <c r="V762" t="s">
        <v>44</v>
      </c>
      <c r="W762" t="str">
        <f>IF(HR_Data[[#This Row],[age]]&lt;25,"Under 25",IF(HR_Data[[#This Row],[age]]&lt;35,"25-34",IF(HR_Data[[#This Row],[age]]&lt;45,"35-44",IF(HR_Data[[#This Row],[age]]&lt;55,"45-54","55+"))))</f>
        <v>45-54</v>
      </c>
      <c r="X762" t="str">
        <f t="shared" si="11"/>
        <v>5,000-7,999</v>
      </c>
    </row>
    <row r="763" spans="1:24" x14ac:dyDescent="0.3">
      <c r="A763">
        <v>1052</v>
      </c>
      <c r="B763">
        <v>36</v>
      </c>
      <c r="C763" t="s">
        <v>22</v>
      </c>
      <c r="D763" t="s">
        <v>23</v>
      </c>
      <c r="E763" t="s">
        <v>38</v>
      </c>
      <c r="F763">
        <v>15</v>
      </c>
      <c r="G763" t="s">
        <v>50</v>
      </c>
      <c r="H763" t="s">
        <v>45</v>
      </c>
      <c r="I763" t="s">
        <v>34</v>
      </c>
      <c r="J763" t="s">
        <v>40</v>
      </c>
      <c r="K763" t="s">
        <v>29</v>
      </c>
      <c r="L763" t="s">
        <v>46</v>
      </c>
      <c r="M763" t="s">
        <v>29</v>
      </c>
      <c r="N763" t="s">
        <v>51</v>
      </c>
      <c r="O763">
        <v>4834</v>
      </c>
      <c r="P763">
        <v>7</v>
      </c>
      <c r="Q763" t="s">
        <v>36</v>
      </c>
      <c r="R763">
        <v>14</v>
      </c>
      <c r="S763" t="s">
        <v>33</v>
      </c>
      <c r="T763" t="s">
        <v>27</v>
      </c>
      <c r="U763">
        <v>3</v>
      </c>
      <c r="V763" t="s">
        <v>49</v>
      </c>
      <c r="W763" t="str">
        <f>IF(HR_Data[[#This Row],[age]]&lt;25,"Under 25",IF(HR_Data[[#This Row],[age]]&lt;35,"25-34",IF(HR_Data[[#This Row],[age]]&lt;45,"35-44",IF(HR_Data[[#This Row],[age]]&lt;55,"45-54","55+"))))</f>
        <v>35-44</v>
      </c>
      <c r="X763" t="str">
        <f t="shared" si="11"/>
        <v>3,000-4,999</v>
      </c>
    </row>
    <row r="764" spans="1:24" x14ac:dyDescent="0.3">
      <c r="A764">
        <v>1053</v>
      </c>
      <c r="B764">
        <v>26</v>
      </c>
      <c r="C764" t="s">
        <v>22</v>
      </c>
      <c r="D764" t="s">
        <v>37</v>
      </c>
      <c r="E764" t="s">
        <v>38</v>
      </c>
      <c r="F764">
        <v>2</v>
      </c>
      <c r="G764" t="s">
        <v>50</v>
      </c>
      <c r="H764" t="s">
        <v>26</v>
      </c>
      <c r="I764" t="s">
        <v>34</v>
      </c>
      <c r="J764" t="s">
        <v>40</v>
      </c>
      <c r="K764" t="s">
        <v>29</v>
      </c>
      <c r="L764" t="s">
        <v>41</v>
      </c>
      <c r="M764" t="s">
        <v>34</v>
      </c>
      <c r="N764" t="s">
        <v>42</v>
      </c>
      <c r="O764">
        <v>2042</v>
      </c>
      <c r="P764">
        <v>6</v>
      </c>
      <c r="Q764" t="s">
        <v>22</v>
      </c>
      <c r="R764">
        <v>14</v>
      </c>
      <c r="S764" t="s">
        <v>33</v>
      </c>
      <c r="T764" t="s">
        <v>27</v>
      </c>
      <c r="U764">
        <v>2</v>
      </c>
      <c r="V764" t="s">
        <v>44</v>
      </c>
      <c r="W764" t="str">
        <f>IF(HR_Data[[#This Row],[age]]&lt;25,"Under 25",IF(HR_Data[[#This Row],[age]]&lt;35,"25-34",IF(HR_Data[[#This Row],[age]]&lt;45,"35-44",IF(HR_Data[[#This Row],[age]]&lt;55,"45-54","55+"))))</f>
        <v>25-34</v>
      </c>
      <c r="X764" t="str">
        <f t="shared" si="11"/>
        <v>Below 3,000</v>
      </c>
    </row>
    <row r="765" spans="1:24" x14ac:dyDescent="0.3">
      <c r="A765">
        <v>1055</v>
      </c>
      <c r="B765">
        <v>34</v>
      </c>
      <c r="C765" t="s">
        <v>36</v>
      </c>
      <c r="D765" t="s">
        <v>23</v>
      </c>
      <c r="E765" t="s">
        <v>24</v>
      </c>
      <c r="F765">
        <v>10</v>
      </c>
      <c r="G765" t="s">
        <v>47</v>
      </c>
      <c r="H765" t="s">
        <v>26</v>
      </c>
      <c r="I765" t="s">
        <v>29</v>
      </c>
      <c r="J765" t="s">
        <v>28</v>
      </c>
      <c r="K765" t="s">
        <v>29</v>
      </c>
      <c r="L765" t="s">
        <v>56</v>
      </c>
      <c r="M765" t="s">
        <v>29</v>
      </c>
      <c r="N765" t="s">
        <v>42</v>
      </c>
      <c r="O765">
        <v>2220</v>
      </c>
      <c r="P765">
        <v>1</v>
      </c>
      <c r="Q765" t="s">
        <v>22</v>
      </c>
      <c r="R765">
        <v>19</v>
      </c>
      <c r="S765" t="s">
        <v>33</v>
      </c>
      <c r="T765" t="s">
        <v>31</v>
      </c>
      <c r="U765">
        <v>2</v>
      </c>
      <c r="V765" t="s">
        <v>44</v>
      </c>
      <c r="W765" t="str">
        <f>IF(HR_Data[[#This Row],[age]]&lt;25,"Under 25",IF(HR_Data[[#This Row],[age]]&lt;35,"25-34",IF(HR_Data[[#This Row],[age]]&lt;45,"35-44",IF(HR_Data[[#This Row],[age]]&lt;55,"45-54","55+"))))</f>
        <v>25-34</v>
      </c>
      <c r="X765" t="str">
        <f t="shared" si="11"/>
        <v>Below 3,000</v>
      </c>
    </row>
    <row r="766" spans="1:24" x14ac:dyDescent="0.3">
      <c r="A766">
        <v>1056</v>
      </c>
      <c r="B766">
        <v>28</v>
      </c>
      <c r="C766" t="s">
        <v>36</v>
      </c>
      <c r="D766" t="s">
        <v>23</v>
      </c>
      <c r="E766" t="s">
        <v>24</v>
      </c>
      <c r="F766">
        <v>10</v>
      </c>
      <c r="G766" t="s">
        <v>39</v>
      </c>
      <c r="H766" t="s">
        <v>48</v>
      </c>
      <c r="I766" t="s">
        <v>31</v>
      </c>
      <c r="J766" t="s">
        <v>40</v>
      </c>
      <c r="K766" t="s">
        <v>29</v>
      </c>
      <c r="L766" t="s">
        <v>56</v>
      </c>
      <c r="M766" t="s">
        <v>27</v>
      </c>
      <c r="N766" t="s">
        <v>42</v>
      </c>
      <c r="O766">
        <v>1052</v>
      </c>
      <c r="P766">
        <v>1</v>
      </c>
      <c r="Q766" t="s">
        <v>36</v>
      </c>
      <c r="R766">
        <v>22</v>
      </c>
      <c r="S766" t="s">
        <v>43</v>
      </c>
      <c r="T766" t="s">
        <v>27</v>
      </c>
      <c r="U766">
        <v>5</v>
      </c>
      <c r="V766" t="s">
        <v>44</v>
      </c>
      <c r="W766" t="str">
        <f>IF(HR_Data[[#This Row],[age]]&lt;25,"Under 25",IF(HR_Data[[#This Row],[age]]&lt;35,"25-34",IF(HR_Data[[#This Row],[age]]&lt;45,"35-44",IF(HR_Data[[#This Row],[age]]&lt;55,"45-54","55+"))))</f>
        <v>25-34</v>
      </c>
      <c r="X766" t="str">
        <f t="shared" si="11"/>
        <v>Below 3,000</v>
      </c>
    </row>
    <row r="767" spans="1:24" x14ac:dyDescent="0.3">
      <c r="A767">
        <v>1060</v>
      </c>
      <c r="B767">
        <v>38</v>
      </c>
      <c r="C767" t="s">
        <v>36</v>
      </c>
      <c r="D767" t="s">
        <v>37</v>
      </c>
      <c r="E767" t="s">
        <v>38</v>
      </c>
      <c r="F767">
        <v>3</v>
      </c>
      <c r="G767" t="s">
        <v>47</v>
      </c>
      <c r="H767" t="s">
        <v>45</v>
      </c>
      <c r="I767" t="s">
        <v>29</v>
      </c>
      <c r="J767" t="s">
        <v>40</v>
      </c>
      <c r="K767" t="s">
        <v>29</v>
      </c>
      <c r="L767" t="s">
        <v>41</v>
      </c>
      <c r="M767" t="s">
        <v>29</v>
      </c>
      <c r="N767" t="s">
        <v>42</v>
      </c>
      <c r="O767">
        <v>2821</v>
      </c>
      <c r="P767">
        <v>3</v>
      </c>
      <c r="Q767" t="s">
        <v>36</v>
      </c>
      <c r="R767">
        <v>16</v>
      </c>
      <c r="S767" t="s">
        <v>33</v>
      </c>
      <c r="T767" t="s">
        <v>34</v>
      </c>
      <c r="U767">
        <v>2</v>
      </c>
      <c r="V767" t="s">
        <v>44</v>
      </c>
      <c r="W767" t="str">
        <f>IF(HR_Data[[#This Row],[age]]&lt;25,"Under 25",IF(HR_Data[[#This Row],[age]]&lt;35,"25-34",IF(HR_Data[[#This Row],[age]]&lt;45,"35-44",IF(HR_Data[[#This Row],[age]]&lt;55,"45-54","55+"))))</f>
        <v>35-44</v>
      </c>
      <c r="X767" t="str">
        <f t="shared" si="11"/>
        <v>Below 3,000</v>
      </c>
    </row>
    <row r="768" spans="1:24" x14ac:dyDescent="0.3">
      <c r="A768">
        <v>1061</v>
      </c>
      <c r="B768">
        <v>50</v>
      </c>
      <c r="C768" t="s">
        <v>36</v>
      </c>
      <c r="D768" t="s">
        <v>23</v>
      </c>
      <c r="E768" t="s">
        <v>38</v>
      </c>
      <c r="F768">
        <v>2</v>
      </c>
      <c r="G768" t="s">
        <v>47</v>
      </c>
      <c r="H768" t="s">
        <v>48</v>
      </c>
      <c r="I768" t="s">
        <v>27</v>
      </c>
      <c r="J768" t="s">
        <v>40</v>
      </c>
      <c r="K768" t="s">
        <v>29</v>
      </c>
      <c r="L768" t="s">
        <v>57</v>
      </c>
      <c r="M768" t="s">
        <v>29</v>
      </c>
      <c r="N768" t="s">
        <v>42</v>
      </c>
      <c r="O768">
        <v>19237</v>
      </c>
      <c r="P768">
        <v>2</v>
      </c>
      <c r="Q768" t="s">
        <v>22</v>
      </c>
      <c r="R768">
        <v>11</v>
      </c>
      <c r="S768" t="s">
        <v>33</v>
      </c>
      <c r="T768" t="s">
        <v>31</v>
      </c>
      <c r="U768">
        <v>2</v>
      </c>
      <c r="V768" t="s">
        <v>49</v>
      </c>
      <c r="W768" t="str">
        <f>IF(HR_Data[[#This Row],[age]]&lt;25,"Under 25",IF(HR_Data[[#This Row],[age]]&lt;35,"25-34",IF(HR_Data[[#This Row],[age]]&lt;45,"35-44",IF(HR_Data[[#This Row],[age]]&lt;55,"45-54","55+"))))</f>
        <v>45-54</v>
      </c>
      <c r="X768" t="str">
        <f t="shared" si="11"/>
        <v>8,000+</v>
      </c>
    </row>
    <row r="769" spans="1:24" x14ac:dyDescent="0.3">
      <c r="A769">
        <v>1062</v>
      </c>
      <c r="B769">
        <v>37</v>
      </c>
      <c r="C769" t="s">
        <v>36</v>
      </c>
      <c r="D769" t="s">
        <v>23</v>
      </c>
      <c r="E769" t="s">
        <v>38</v>
      </c>
      <c r="F769">
        <v>3</v>
      </c>
      <c r="G769" t="s">
        <v>50</v>
      </c>
      <c r="H769" t="s">
        <v>45</v>
      </c>
      <c r="I769" t="s">
        <v>31</v>
      </c>
      <c r="J769" t="s">
        <v>28</v>
      </c>
      <c r="K769" t="s">
        <v>29</v>
      </c>
      <c r="L769" t="s">
        <v>53</v>
      </c>
      <c r="M769" t="s">
        <v>27</v>
      </c>
      <c r="N769" t="s">
        <v>32</v>
      </c>
      <c r="O769">
        <v>4107</v>
      </c>
      <c r="P769">
        <v>3</v>
      </c>
      <c r="Q769" t="s">
        <v>36</v>
      </c>
      <c r="R769">
        <v>15</v>
      </c>
      <c r="S769" t="s">
        <v>33</v>
      </c>
      <c r="T769" t="s">
        <v>34</v>
      </c>
      <c r="U769">
        <v>3</v>
      </c>
      <c r="V769" t="s">
        <v>49</v>
      </c>
      <c r="W769" t="str">
        <f>IF(HR_Data[[#This Row],[age]]&lt;25,"Under 25",IF(HR_Data[[#This Row],[age]]&lt;35,"25-34",IF(HR_Data[[#This Row],[age]]&lt;45,"35-44",IF(HR_Data[[#This Row],[age]]&lt;55,"45-54","55+"))))</f>
        <v>35-44</v>
      </c>
      <c r="X769" t="str">
        <f t="shared" si="11"/>
        <v>3,000-4,999</v>
      </c>
    </row>
    <row r="770" spans="1:24" x14ac:dyDescent="0.3">
      <c r="A770">
        <v>1066</v>
      </c>
      <c r="B770">
        <v>40</v>
      </c>
      <c r="C770" t="s">
        <v>36</v>
      </c>
      <c r="D770" t="s">
        <v>23</v>
      </c>
      <c r="E770" t="s">
        <v>24</v>
      </c>
      <c r="F770">
        <v>26</v>
      </c>
      <c r="G770" t="s">
        <v>50</v>
      </c>
      <c r="H770" t="s">
        <v>58</v>
      </c>
      <c r="I770" t="s">
        <v>29</v>
      </c>
      <c r="J770" t="s">
        <v>40</v>
      </c>
      <c r="K770" t="s">
        <v>29</v>
      </c>
      <c r="L770" t="s">
        <v>30</v>
      </c>
      <c r="M770" t="s">
        <v>34</v>
      </c>
      <c r="N770" t="s">
        <v>42</v>
      </c>
      <c r="O770">
        <v>8396</v>
      </c>
      <c r="P770">
        <v>1</v>
      </c>
      <c r="Q770" t="s">
        <v>36</v>
      </c>
      <c r="R770">
        <v>14</v>
      </c>
      <c r="S770" t="s">
        <v>33</v>
      </c>
      <c r="T770" t="s">
        <v>27</v>
      </c>
      <c r="U770">
        <v>3</v>
      </c>
      <c r="V770" t="s">
        <v>49</v>
      </c>
      <c r="W770" t="str">
        <f>IF(HR_Data[[#This Row],[age]]&lt;25,"Under 25",IF(HR_Data[[#This Row],[age]]&lt;35,"25-34",IF(HR_Data[[#This Row],[age]]&lt;45,"35-44",IF(HR_Data[[#This Row],[age]]&lt;55,"45-54","55+"))))</f>
        <v>35-44</v>
      </c>
      <c r="X770" t="str">
        <f t="shared" si="11"/>
        <v>8,000+</v>
      </c>
    </row>
    <row r="771" spans="1:24" x14ac:dyDescent="0.3">
      <c r="A771">
        <v>1068</v>
      </c>
      <c r="B771">
        <v>26</v>
      </c>
      <c r="C771" t="s">
        <v>36</v>
      </c>
      <c r="D771" t="s">
        <v>37</v>
      </c>
      <c r="E771" t="s">
        <v>38</v>
      </c>
      <c r="F771">
        <v>1</v>
      </c>
      <c r="G771" t="s">
        <v>39</v>
      </c>
      <c r="H771" t="s">
        <v>48</v>
      </c>
      <c r="I771" t="s">
        <v>34</v>
      </c>
      <c r="J771" t="s">
        <v>28</v>
      </c>
      <c r="K771" t="s">
        <v>27</v>
      </c>
      <c r="L771" t="s">
        <v>41</v>
      </c>
      <c r="M771" t="s">
        <v>29</v>
      </c>
      <c r="N771" t="s">
        <v>51</v>
      </c>
      <c r="O771">
        <v>2007</v>
      </c>
      <c r="P771">
        <v>1</v>
      </c>
      <c r="Q771" t="s">
        <v>36</v>
      </c>
      <c r="R771">
        <v>13</v>
      </c>
      <c r="S771" t="s">
        <v>33</v>
      </c>
      <c r="T771" t="s">
        <v>29</v>
      </c>
      <c r="U771">
        <v>5</v>
      </c>
      <c r="V771" t="s">
        <v>44</v>
      </c>
      <c r="W771" t="str">
        <f>IF(HR_Data[[#This Row],[age]]&lt;25,"Under 25",IF(HR_Data[[#This Row],[age]]&lt;35,"25-34",IF(HR_Data[[#This Row],[age]]&lt;45,"35-44",IF(HR_Data[[#This Row],[age]]&lt;55,"45-54","55+"))))</f>
        <v>25-34</v>
      </c>
      <c r="X771" t="str">
        <f t="shared" ref="X771:X834" si="12">IF(O771&lt;3000,"Below 3,000",IF(O771&lt;5000,"3,000-4,999",IF(O771&lt;8000,"5,000-7,999","8,000+")))</f>
        <v>Below 3,000</v>
      </c>
    </row>
    <row r="772" spans="1:24" x14ac:dyDescent="0.3">
      <c r="A772">
        <v>1069</v>
      </c>
      <c r="B772">
        <v>46</v>
      </c>
      <c r="C772" t="s">
        <v>36</v>
      </c>
      <c r="D772" t="s">
        <v>23</v>
      </c>
      <c r="E772" t="s">
        <v>38</v>
      </c>
      <c r="F772">
        <v>1</v>
      </c>
      <c r="G772" t="s">
        <v>47</v>
      </c>
      <c r="H772" t="s">
        <v>48</v>
      </c>
      <c r="I772" t="s">
        <v>31</v>
      </c>
      <c r="J772" t="s">
        <v>40</v>
      </c>
      <c r="K772" t="s">
        <v>29</v>
      </c>
      <c r="L772" t="s">
        <v>57</v>
      </c>
      <c r="M772" t="s">
        <v>31</v>
      </c>
      <c r="N772" t="s">
        <v>51</v>
      </c>
      <c r="O772">
        <v>19627</v>
      </c>
      <c r="P772">
        <v>9</v>
      </c>
      <c r="Q772" t="s">
        <v>36</v>
      </c>
      <c r="R772">
        <v>17</v>
      </c>
      <c r="S772" t="s">
        <v>33</v>
      </c>
      <c r="T772" t="s">
        <v>31</v>
      </c>
      <c r="U772">
        <v>0</v>
      </c>
      <c r="V772" t="s">
        <v>44</v>
      </c>
      <c r="W772" t="str">
        <f>IF(HR_Data[[#This Row],[age]]&lt;25,"Under 25",IF(HR_Data[[#This Row],[age]]&lt;35,"25-34",IF(HR_Data[[#This Row],[age]]&lt;45,"35-44",IF(HR_Data[[#This Row],[age]]&lt;55,"45-54","55+"))))</f>
        <v>45-54</v>
      </c>
      <c r="X772" t="str">
        <f t="shared" si="12"/>
        <v>8,000+</v>
      </c>
    </row>
    <row r="773" spans="1:24" x14ac:dyDescent="0.3">
      <c r="A773">
        <v>1070</v>
      </c>
      <c r="B773">
        <v>54</v>
      </c>
      <c r="C773" t="s">
        <v>36</v>
      </c>
      <c r="D773" t="s">
        <v>23</v>
      </c>
      <c r="E773" t="s">
        <v>24</v>
      </c>
      <c r="F773">
        <v>2</v>
      </c>
      <c r="G773" t="s">
        <v>47</v>
      </c>
      <c r="H773" t="s">
        <v>26</v>
      </c>
      <c r="I773" t="s">
        <v>29</v>
      </c>
      <c r="J773" t="s">
        <v>28</v>
      </c>
      <c r="K773" t="s">
        <v>27</v>
      </c>
      <c r="L773" t="s">
        <v>30</v>
      </c>
      <c r="M773" t="s">
        <v>29</v>
      </c>
      <c r="N773" t="s">
        <v>42</v>
      </c>
      <c r="O773">
        <v>10686</v>
      </c>
      <c r="P773">
        <v>6</v>
      </c>
      <c r="Q773" t="s">
        <v>36</v>
      </c>
      <c r="R773">
        <v>11</v>
      </c>
      <c r="S773" t="s">
        <v>33</v>
      </c>
      <c r="T773" t="s">
        <v>27</v>
      </c>
      <c r="U773">
        <v>4</v>
      </c>
      <c r="V773" t="s">
        <v>44</v>
      </c>
      <c r="W773" t="str">
        <f>IF(HR_Data[[#This Row],[age]]&lt;25,"Under 25",IF(HR_Data[[#This Row],[age]]&lt;35,"25-34",IF(HR_Data[[#This Row],[age]]&lt;45,"35-44",IF(HR_Data[[#This Row],[age]]&lt;55,"45-54","55+"))))</f>
        <v>45-54</v>
      </c>
      <c r="X773" t="str">
        <f t="shared" si="12"/>
        <v>8,000+</v>
      </c>
    </row>
    <row r="774" spans="1:24" x14ac:dyDescent="0.3">
      <c r="A774">
        <v>1071</v>
      </c>
      <c r="B774">
        <v>56</v>
      </c>
      <c r="C774" t="s">
        <v>36</v>
      </c>
      <c r="D774" t="s">
        <v>37</v>
      </c>
      <c r="E774" t="s">
        <v>38</v>
      </c>
      <c r="F774">
        <v>9</v>
      </c>
      <c r="G774" t="s">
        <v>50</v>
      </c>
      <c r="H774" t="s">
        <v>48</v>
      </c>
      <c r="I774" t="s">
        <v>34</v>
      </c>
      <c r="J774" t="s">
        <v>28</v>
      </c>
      <c r="K774" t="s">
        <v>29</v>
      </c>
      <c r="L774" t="s">
        <v>41</v>
      </c>
      <c r="M774" t="s">
        <v>29</v>
      </c>
      <c r="N774" t="s">
        <v>42</v>
      </c>
      <c r="O774">
        <v>2942</v>
      </c>
      <c r="P774">
        <v>2</v>
      </c>
      <c r="Q774" t="s">
        <v>36</v>
      </c>
      <c r="R774">
        <v>19</v>
      </c>
      <c r="S774" t="s">
        <v>33</v>
      </c>
      <c r="T774" t="s">
        <v>27</v>
      </c>
      <c r="U774">
        <v>4</v>
      </c>
      <c r="V774" t="s">
        <v>44</v>
      </c>
      <c r="W774" t="str">
        <f>IF(HR_Data[[#This Row],[age]]&lt;25,"Under 25",IF(HR_Data[[#This Row],[age]]&lt;35,"25-34",IF(HR_Data[[#This Row],[age]]&lt;45,"35-44",IF(HR_Data[[#This Row],[age]]&lt;55,"45-54","55+"))))</f>
        <v>55+</v>
      </c>
      <c r="X774" t="str">
        <f t="shared" si="12"/>
        <v>Below 3,000</v>
      </c>
    </row>
    <row r="775" spans="1:24" x14ac:dyDescent="0.3">
      <c r="A775">
        <v>1073</v>
      </c>
      <c r="B775">
        <v>36</v>
      </c>
      <c r="C775" t="s">
        <v>36</v>
      </c>
      <c r="D775" t="s">
        <v>23</v>
      </c>
      <c r="E775" t="s">
        <v>38</v>
      </c>
      <c r="F775">
        <v>12</v>
      </c>
      <c r="G775" t="s">
        <v>61</v>
      </c>
      <c r="H775" t="s">
        <v>48</v>
      </c>
      <c r="I775" t="s">
        <v>31</v>
      </c>
      <c r="J775" t="s">
        <v>28</v>
      </c>
      <c r="K775" t="s">
        <v>27</v>
      </c>
      <c r="L775" t="s">
        <v>52</v>
      </c>
      <c r="M775" t="s">
        <v>31</v>
      </c>
      <c r="N775" t="s">
        <v>32</v>
      </c>
      <c r="O775">
        <v>8858</v>
      </c>
      <c r="P775">
        <v>0</v>
      </c>
      <c r="Q775" t="s">
        <v>36</v>
      </c>
      <c r="R775">
        <v>11</v>
      </c>
      <c r="S775" t="s">
        <v>33</v>
      </c>
      <c r="T775" t="s">
        <v>27</v>
      </c>
      <c r="U775">
        <v>2</v>
      </c>
      <c r="V775" t="s">
        <v>49</v>
      </c>
      <c r="W775" t="str">
        <f>IF(HR_Data[[#This Row],[age]]&lt;25,"Under 25",IF(HR_Data[[#This Row],[age]]&lt;35,"25-34",IF(HR_Data[[#This Row],[age]]&lt;45,"35-44",IF(HR_Data[[#This Row],[age]]&lt;55,"45-54","55+"))))</f>
        <v>35-44</v>
      </c>
      <c r="X775" t="str">
        <f t="shared" si="12"/>
        <v>8,000+</v>
      </c>
    </row>
    <row r="776" spans="1:24" x14ac:dyDescent="0.3">
      <c r="A776">
        <v>1074</v>
      </c>
      <c r="B776">
        <v>55</v>
      </c>
      <c r="C776" t="s">
        <v>36</v>
      </c>
      <c r="D776" t="s">
        <v>54</v>
      </c>
      <c r="E776" t="s">
        <v>38</v>
      </c>
      <c r="F776">
        <v>2</v>
      </c>
      <c r="G776" t="s">
        <v>39</v>
      </c>
      <c r="H776" t="s">
        <v>48</v>
      </c>
      <c r="I776" t="s">
        <v>29</v>
      </c>
      <c r="J776" t="s">
        <v>40</v>
      </c>
      <c r="K776" t="s">
        <v>27</v>
      </c>
      <c r="L776" t="s">
        <v>55</v>
      </c>
      <c r="M776" t="s">
        <v>34</v>
      </c>
      <c r="N776" t="s">
        <v>32</v>
      </c>
      <c r="O776">
        <v>16756</v>
      </c>
      <c r="P776">
        <v>7</v>
      </c>
      <c r="Q776" t="s">
        <v>36</v>
      </c>
      <c r="R776">
        <v>15</v>
      </c>
      <c r="S776" t="s">
        <v>33</v>
      </c>
      <c r="T776" t="s">
        <v>27</v>
      </c>
      <c r="U776">
        <v>3</v>
      </c>
      <c r="V776" t="s">
        <v>59</v>
      </c>
      <c r="W776" t="str">
        <f>IF(HR_Data[[#This Row],[age]]&lt;25,"Under 25",IF(HR_Data[[#This Row],[age]]&lt;35,"25-34",IF(HR_Data[[#This Row],[age]]&lt;45,"35-44",IF(HR_Data[[#This Row],[age]]&lt;55,"45-54","55+"))))</f>
        <v>55+</v>
      </c>
      <c r="X776" t="str">
        <f t="shared" si="12"/>
        <v>8,000+</v>
      </c>
    </row>
    <row r="777" spans="1:24" x14ac:dyDescent="0.3">
      <c r="A777">
        <v>1076</v>
      </c>
      <c r="B777">
        <v>43</v>
      </c>
      <c r="C777" t="s">
        <v>36</v>
      </c>
      <c r="D777" t="s">
        <v>23</v>
      </c>
      <c r="E777" t="s">
        <v>24</v>
      </c>
      <c r="F777">
        <v>25</v>
      </c>
      <c r="G777" t="s">
        <v>50</v>
      </c>
      <c r="H777" t="s">
        <v>48</v>
      </c>
      <c r="I777" t="s">
        <v>29</v>
      </c>
      <c r="J777" t="s">
        <v>40</v>
      </c>
      <c r="K777" t="s">
        <v>27</v>
      </c>
      <c r="L777" t="s">
        <v>30</v>
      </c>
      <c r="M777" t="s">
        <v>31</v>
      </c>
      <c r="N777" t="s">
        <v>51</v>
      </c>
      <c r="O777">
        <v>10798</v>
      </c>
      <c r="P777">
        <v>5</v>
      </c>
      <c r="Q777" t="s">
        <v>36</v>
      </c>
      <c r="R777">
        <v>13</v>
      </c>
      <c r="S777" t="s">
        <v>33</v>
      </c>
      <c r="T777" t="s">
        <v>29</v>
      </c>
      <c r="U777">
        <v>5</v>
      </c>
      <c r="V777" t="s">
        <v>44</v>
      </c>
      <c r="W777" t="str">
        <f>IF(HR_Data[[#This Row],[age]]&lt;25,"Under 25",IF(HR_Data[[#This Row],[age]]&lt;35,"25-34",IF(HR_Data[[#This Row],[age]]&lt;45,"35-44",IF(HR_Data[[#This Row],[age]]&lt;55,"45-54","55+"))))</f>
        <v>35-44</v>
      </c>
      <c r="X777" t="str">
        <f t="shared" si="12"/>
        <v>8,000+</v>
      </c>
    </row>
    <row r="778" spans="1:24" x14ac:dyDescent="0.3">
      <c r="A778">
        <v>1077</v>
      </c>
      <c r="B778">
        <v>20</v>
      </c>
      <c r="C778" t="s">
        <v>22</v>
      </c>
      <c r="D778" t="s">
        <v>37</v>
      </c>
      <c r="E778" t="s">
        <v>24</v>
      </c>
      <c r="F778">
        <v>9</v>
      </c>
      <c r="G778" t="s">
        <v>50</v>
      </c>
      <c r="H778" t="s">
        <v>58</v>
      </c>
      <c r="I778" t="s">
        <v>31</v>
      </c>
      <c r="J778" t="s">
        <v>28</v>
      </c>
      <c r="K778" t="s">
        <v>29</v>
      </c>
      <c r="L778" t="s">
        <v>56</v>
      </c>
      <c r="M778" t="s">
        <v>31</v>
      </c>
      <c r="N778" t="s">
        <v>32</v>
      </c>
      <c r="O778">
        <v>2323</v>
      </c>
      <c r="P778">
        <v>1</v>
      </c>
      <c r="Q778" t="s">
        <v>22</v>
      </c>
      <c r="R778">
        <v>14</v>
      </c>
      <c r="S778" t="s">
        <v>33</v>
      </c>
      <c r="T778" t="s">
        <v>27</v>
      </c>
      <c r="U778">
        <v>3</v>
      </c>
      <c r="V778" t="s">
        <v>44</v>
      </c>
      <c r="W778" t="str">
        <f>IF(HR_Data[[#This Row],[age]]&lt;25,"Under 25",IF(HR_Data[[#This Row],[age]]&lt;35,"25-34",IF(HR_Data[[#This Row],[age]]&lt;45,"35-44",IF(HR_Data[[#This Row],[age]]&lt;55,"45-54","55+"))))</f>
        <v>Under 25</v>
      </c>
      <c r="X778" t="str">
        <f t="shared" si="12"/>
        <v>Below 3,000</v>
      </c>
    </row>
    <row r="779" spans="1:24" x14ac:dyDescent="0.3">
      <c r="A779">
        <v>1079</v>
      </c>
      <c r="B779">
        <v>21</v>
      </c>
      <c r="C779" t="s">
        <v>22</v>
      </c>
      <c r="D779" t="s">
        <v>23</v>
      </c>
      <c r="E779" t="s">
        <v>38</v>
      </c>
      <c r="F779">
        <v>10</v>
      </c>
      <c r="G779" t="s">
        <v>50</v>
      </c>
      <c r="H779" t="s">
        <v>26</v>
      </c>
      <c r="I779" t="s">
        <v>29</v>
      </c>
      <c r="J779" t="s">
        <v>28</v>
      </c>
      <c r="K779" t="s">
        <v>27</v>
      </c>
      <c r="L779" t="s">
        <v>46</v>
      </c>
      <c r="M779" t="s">
        <v>34</v>
      </c>
      <c r="N779" t="s">
        <v>32</v>
      </c>
      <c r="O779">
        <v>1416</v>
      </c>
      <c r="P779">
        <v>1</v>
      </c>
      <c r="Q779" t="s">
        <v>36</v>
      </c>
      <c r="R779">
        <v>13</v>
      </c>
      <c r="S779" t="s">
        <v>33</v>
      </c>
      <c r="T779" t="s">
        <v>34</v>
      </c>
      <c r="U779">
        <v>6</v>
      </c>
      <c r="V779" t="s">
        <v>49</v>
      </c>
      <c r="W779" t="str">
        <f>IF(HR_Data[[#This Row],[age]]&lt;25,"Under 25",IF(HR_Data[[#This Row],[age]]&lt;35,"25-34",IF(HR_Data[[#This Row],[age]]&lt;45,"35-44",IF(HR_Data[[#This Row],[age]]&lt;55,"45-54","55+"))))</f>
        <v>Under 25</v>
      </c>
      <c r="X779" t="str">
        <f t="shared" si="12"/>
        <v>Below 3,000</v>
      </c>
    </row>
    <row r="780" spans="1:24" x14ac:dyDescent="0.3">
      <c r="A780">
        <v>1080</v>
      </c>
      <c r="B780">
        <v>46</v>
      </c>
      <c r="C780" t="s">
        <v>36</v>
      </c>
      <c r="D780" t="s">
        <v>23</v>
      </c>
      <c r="E780" t="s">
        <v>38</v>
      </c>
      <c r="F780">
        <v>8</v>
      </c>
      <c r="G780" t="s">
        <v>47</v>
      </c>
      <c r="H780" t="s">
        <v>26</v>
      </c>
      <c r="I780" t="s">
        <v>31</v>
      </c>
      <c r="J780" t="s">
        <v>28</v>
      </c>
      <c r="K780" t="s">
        <v>27</v>
      </c>
      <c r="L780" t="s">
        <v>41</v>
      </c>
      <c r="M780" t="s">
        <v>34</v>
      </c>
      <c r="N780" t="s">
        <v>51</v>
      </c>
      <c r="O780">
        <v>4615</v>
      </c>
      <c r="P780">
        <v>8</v>
      </c>
      <c r="Q780" t="s">
        <v>22</v>
      </c>
      <c r="R780">
        <v>23</v>
      </c>
      <c r="S780" t="s">
        <v>43</v>
      </c>
      <c r="T780" t="s">
        <v>34</v>
      </c>
      <c r="U780">
        <v>2</v>
      </c>
      <c r="V780" t="s">
        <v>44</v>
      </c>
      <c r="W780" t="str">
        <f>IF(HR_Data[[#This Row],[age]]&lt;25,"Under 25",IF(HR_Data[[#This Row],[age]]&lt;35,"25-34",IF(HR_Data[[#This Row],[age]]&lt;45,"35-44",IF(HR_Data[[#This Row],[age]]&lt;55,"45-54","55+"))))</f>
        <v>45-54</v>
      </c>
      <c r="X780" t="str">
        <f t="shared" si="12"/>
        <v>3,000-4,999</v>
      </c>
    </row>
    <row r="781" spans="1:24" x14ac:dyDescent="0.3">
      <c r="A781">
        <v>1081</v>
      </c>
      <c r="B781">
        <v>51</v>
      </c>
      <c r="C781" t="s">
        <v>22</v>
      </c>
      <c r="D781" t="s">
        <v>23</v>
      </c>
      <c r="E781" t="s">
        <v>38</v>
      </c>
      <c r="F781">
        <v>4</v>
      </c>
      <c r="G781" t="s">
        <v>47</v>
      </c>
      <c r="H781" t="s">
        <v>26</v>
      </c>
      <c r="I781" t="s">
        <v>34</v>
      </c>
      <c r="J781" t="s">
        <v>40</v>
      </c>
      <c r="K781" t="s">
        <v>29</v>
      </c>
      <c r="L781" t="s">
        <v>41</v>
      </c>
      <c r="M781" t="s">
        <v>29</v>
      </c>
      <c r="N781" t="s">
        <v>42</v>
      </c>
      <c r="O781">
        <v>2461</v>
      </c>
      <c r="P781">
        <v>9</v>
      </c>
      <c r="Q781" t="s">
        <v>22</v>
      </c>
      <c r="R781">
        <v>12</v>
      </c>
      <c r="S781" t="s">
        <v>33</v>
      </c>
      <c r="T781" t="s">
        <v>29</v>
      </c>
      <c r="U781">
        <v>2</v>
      </c>
      <c r="V781" t="s">
        <v>59</v>
      </c>
      <c r="W781" t="str">
        <f>IF(HR_Data[[#This Row],[age]]&lt;25,"Under 25",IF(HR_Data[[#This Row],[age]]&lt;35,"25-34",IF(HR_Data[[#This Row],[age]]&lt;45,"35-44",IF(HR_Data[[#This Row],[age]]&lt;55,"45-54","55+"))))</f>
        <v>45-54</v>
      </c>
      <c r="X781" t="str">
        <f t="shared" si="12"/>
        <v>Below 3,000</v>
      </c>
    </row>
    <row r="782" spans="1:24" x14ac:dyDescent="0.3">
      <c r="A782">
        <v>1082</v>
      </c>
      <c r="B782">
        <v>28</v>
      </c>
      <c r="C782" t="s">
        <v>22</v>
      </c>
      <c r="D782" t="s">
        <v>54</v>
      </c>
      <c r="E782" t="s">
        <v>38</v>
      </c>
      <c r="F782">
        <v>24</v>
      </c>
      <c r="G782" t="s">
        <v>25</v>
      </c>
      <c r="H782" t="s">
        <v>60</v>
      </c>
      <c r="I782" t="s">
        <v>27</v>
      </c>
      <c r="J782" t="s">
        <v>40</v>
      </c>
      <c r="K782" t="s">
        <v>27</v>
      </c>
      <c r="L782" t="s">
        <v>53</v>
      </c>
      <c r="M782" t="s">
        <v>34</v>
      </c>
      <c r="N782" t="s">
        <v>32</v>
      </c>
      <c r="O782">
        <v>8722</v>
      </c>
      <c r="P782">
        <v>1</v>
      </c>
      <c r="Q782" t="s">
        <v>36</v>
      </c>
      <c r="R782">
        <v>12</v>
      </c>
      <c r="S782" t="s">
        <v>33</v>
      </c>
      <c r="T782" t="s">
        <v>34</v>
      </c>
      <c r="U782">
        <v>2</v>
      </c>
      <c r="V782" t="s">
        <v>49</v>
      </c>
      <c r="W782" t="str">
        <f>IF(HR_Data[[#This Row],[age]]&lt;25,"Under 25",IF(HR_Data[[#This Row],[age]]&lt;35,"25-34",IF(HR_Data[[#This Row],[age]]&lt;45,"35-44",IF(HR_Data[[#This Row],[age]]&lt;55,"45-54","55+"))))</f>
        <v>25-34</v>
      </c>
      <c r="X782" t="str">
        <f t="shared" si="12"/>
        <v>8,000+</v>
      </c>
    </row>
    <row r="783" spans="1:24" x14ac:dyDescent="0.3">
      <c r="A783">
        <v>1083</v>
      </c>
      <c r="B783">
        <v>26</v>
      </c>
      <c r="C783" t="s">
        <v>36</v>
      </c>
      <c r="D783" t="s">
        <v>23</v>
      </c>
      <c r="E783" t="s">
        <v>38</v>
      </c>
      <c r="F783">
        <v>1</v>
      </c>
      <c r="G783" t="s">
        <v>25</v>
      </c>
      <c r="H783" t="s">
        <v>48</v>
      </c>
      <c r="I783" t="s">
        <v>34</v>
      </c>
      <c r="J783" t="s">
        <v>40</v>
      </c>
      <c r="K783" t="s">
        <v>27</v>
      </c>
      <c r="L783" t="s">
        <v>46</v>
      </c>
      <c r="M783" t="s">
        <v>34</v>
      </c>
      <c r="N783" t="s">
        <v>42</v>
      </c>
      <c r="O783">
        <v>3955</v>
      </c>
      <c r="P783">
        <v>1</v>
      </c>
      <c r="Q783" t="s">
        <v>36</v>
      </c>
      <c r="R783">
        <v>16</v>
      </c>
      <c r="S783" t="s">
        <v>33</v>
      </c>
      <c r="T783" t="s">
        <v>34</v>
      </c>
      <c r="U783">
        <v>2</v>
      </c>
      <c r="V783" t="s">
        <v>44</v>
      </c>
      <c r="W783" t="str">
        <f>IF(HR_Data[[#This Row],[age]]&lt;25,"Under 25",IF(HR_Data[[#This Row],[age]]&lt;35,"25-34",IF(HR_Data[[#This Row],[age]]&lt;45,"35-44",IF(HR_Data[[#This Row],[age]]&lt;55,"45-54","55+"))))</f>
        <v>25-34</v>
      </c>
      <c r="X783" t="str">
        <f t="shared" si="12"/>
        <v>3,000-4,999</v>
      </c>
    </row>
    <row r="784" spans="1:24" x14ac:dyDescent="0.3">
      <c r="A784">
        <v>1084</v>
      </c>
      <c r="B784">
        <v>30</v>
      </c>
      <c r="C784" t="s">
        <v>36</v>
      </c>
      <c r="D784" t="s">
        <v>23</v>
      </c>
      <c r="E784" t="s">
        <v>38</v>
      </c>
      <c r="F784">
        <v>20</v>
      </c>
      <c r="G784" t="s">
        <v>50</v>
      </c>
      <c r="H784" t="s">
        <v>45</v>
      </c>
      <c r="I784" t="s">
        <v>29</v>
      </c>
      <c r="J784" t="s">
        <v>40</v>
      </c>
      <c r="K784" t="s">
        <v>29</v>
      </c>
      <c r="L784" t="s">
        <v>52</v>
      </c>
      <c r="M784" t="s">
        <v>34</v>
      </c>
      <c r="N784" t="s">
        <v>42</v>
      </c>
      <c r="O784">
        <v>9957</v>
      </c>
      <c r="P784">
        <v>0</v>
      </c>
      <c r="Q784" t="s">
        <v>36</v>
      </c>
      <c r="R784">
        <v>15</v>
      </c>
      <c r="S784" t="s">
        <v>33</v>
      </c>
      <c r="T784" t="s">
        <v>29</v>
      </c>
      <c r="U784">
        <v>1</v>
      </c>
      <c r="V784" t="s">
        <v>49</v>
      </c>
      <c r="W784" t="str">
        <f>IF(HR_Data[[#This Row],[age]]&lt;25,"Under 25",IF(HR_Data[[#This Row],[age]]&lt;35,"25-34",IF(HR_Data[[#This Row],[age]]&lt;45,"35-44",IF(HR_Data[[#This Row],[age]]&lt;55,"45-54","55+"))))</f>
        <v>25-34</v>
      </c>
      <c r="X784" t="str">
        <f t="shared" si="12"/>
        <v>8,000+</v>
      </c>
    </row>
    <row r="785" spans="1:24" x14ac:dyDescent="0.3">
      <c r="A785">
        <v>1085</v>
      </c>
      <c r="B785">
        <v>41</v>
      </c>
      <c r="C785" t="s">
        <v>36</v>
      </c>
      <c r="D785" t="s">
        <v>23</v>
      </c>
      <c r="E785" t="s">
        <v>38</v>
      </c>
      <c r="F785">
        <v>7</v>
      </c>
      <c r="G785" t="s">
        <v>25</v>
      </c>
      <c r="H785" t="s">
        <v>60</v>
      </c>
      <c r="I785" t="s">
        <v>27</v>
      </c>
      <c r="J785" t="s">
        <v>28</v>
      </c>
      <c r="K785" t="s">
        <v>31</v>
      </c>
      <c r="L785" t="s">
        <v>41</v>
      </c>
      <c r="M785" t="s">
        <v>29</v>
      </c>
      <c r="N785" t="s">
        <v>42</v>
      </c>
      <c r="O785">
        <v>3376</v>
      </c>
      <c r="P785">
        <v>1</v>
      </c>
      <c r="Q785" t="s">
        <v>36</v>
      </c>
      <c r="R785">
        <v>13</v>
      </c>
      <c r="S785" t="s">
        <v>33</v>
      </c>
      <c r="T785" t="s">
        <v>29</v>
      </c>
      <c r="U785">
        <v>3</v>
      </c>
      <c r="V785" t="s">
        <v>44</v>
      </c>
      <c r="W785" t="str">
        <f>IF(HR_Data[[#This Row],[age]]&lt;25,"Under 25",IF(HR_Data[[#This Row],[age]]&lt;35,"25-34",IF(HR_Data[[#This Row],[age]]&lt;45,"35-44",IF(HR_Data[[#This Row],[age]]&lt;55,"45-54","55+"))))</f>
        <v>35-44</v>
      </c>
      <c r="X785" t="str">
        <f t="shared" si="12"/>
        <v>3,000-4,999</v>
      </c>
    </row>
    <row r="786" spans="1:24" x14ac:dyDescent="0.3">
      <c r="A786">
        <v>1088</v>
      </c>
      <c r="B786">
        <v>38</v>
      </c>
      <c r="C786" t="s">
        <v>36</v>
      </c>
      <c r="D786" t="s">
        <v>23</v>
      </c>
      <c r="E786" t="s">
        <v>38</v>
      </c>
      <c r="F786">
        <v>17</v>
      </c>
      <c r="G786" t="s">
        <v>39</v>
      </c>
      <c r="H786" t="s">
        <v>26</v>
      </c>
      <c r="I786" t="s">
        <v>29</v>
      </c>
      <c r="J786" t="s">
        <v>28</v>
      </c>
      <c r="K786" t="s">
        <v>27</v>
      </c>
      <c r="L786" t="s">
        <v>53</v>
      </c>
      <c r="M786" t="s">
        <v>29</v>
      </c>
      <c r="N786" t="s">
        <v>42</v>
      </c>
      <c r="O786">
        <v>8823</v>
      </c>
      <c r="P786">
        <v>0</v>
      </c>
      <c r="Q786" t="s">
        <v>36</v>
      </c>
      <c r="R786">
        <v>18</v>
      </c>
      <c r="S786" t="s">
        <v>33</v>
      </c>
      <c r="T786" t="s">
        <v>34</v>
      </c>
      <c r="U786">
        <v>4</v>
      </c>
      <c r="V786" t="s">
        <v>49</v>
      </c>
      <c r="W786" t="str">
        <f>IF(HR_Data[[#This Row],[age]]&lt;25,"Under 25",IF(HR_Data[[#This Row],[age]]&lt;35,"25-34",IF(HR_Data[[#This Row],[age]]&lt;45,"35-44",IF(HR_Data[[#This Row],[age]]&lt;55,"45-54","55+"))))</f>
        <v>35-44</v>
      </c>
      <c r="X786" t="str">
        <f t="shared" si="12"/>
        <v>8,000+</v>
      </c>
    </row>
    <row r="787" spans="1:24" x14ac:dyDescent="0.3">
      <c r="A787">
        <v>1092</v>
      </c>
      <c r="B787">
        <v>40</v>
      </c>
      <c r="C787" t="s">
        <v>36</v>
      </c>
      <c r="D787" t="s">
        <v>23</v>
      </c>
      <c r="E787" t="s">
        <v>38</v>
      </c>
      <c r="F787">
        <v>20</v>
      </c>
      <c r="G787" t="s">
        <v>47</v>
      </c>
      <c r="H787" t="s">
        <v>60</v>
      </c>
      <c r="I787" t="s">
        <v>34</v>
      </c>
      <c r="J787" t="s">
        <v>40</v>
      </c>
      <c r="K787" t="s">
        <v>29</v>
      </c>
      <c r="L787" t="s">
        <v>53</v>
      </c>
      <c r="M787" t="s">
        <v>31</v>
      </c>
      <c r="N787" t="s">
        <v>42</v>
      </c>
      <c r="O787">
        <v>10322</v>
      </c>
      <c r="P787">
        <v>4</v>
      </c>
      <c r="Q787" t="s">
        <v>36</v>
      </c>
      <c r="R787">
        <v>20</v>
      </c>
      <c r="S787" t="s">
        <v>43</v>
      </c>
      <c r="T787" t="s">
        <v>31</v>
      </c>
      <c r="U787">
        <v>6</v>
      </c>
      <c r="V787" t="s">
        <v>44</v>
      </c>
      <c r="W787" t="str">
        <f>IF(HR_Data[[#This Row],[age]]&lt;25,"Under 25",IF(HR_Data[[#This Row],[age]]&lt;35,"25-34",IF(HR_Data[[#This Row],[age]]&lt;45,"35-44",IF(HR_Data[[#This Row],[age]]&lt;55,"45-54","55+"))))</f>
        <v>35-44</v>
      </c>
      <c r="X787" t="str">
        <f t="shared" si="12"/>
        <v>8,000+</v>
      </c>
    </row>
    <row r="788" spans="1:24" x14ac:dyDescent="0.3">
      <c r="A788">
        <v>1094</v>
      </c>
      <c r="B788">
        <v>27</v>
      </c>
      <c r="C788" t="s">
        <v>36</v>
      </c>
      <c r="D788" t="s">
        <v>54</v>
      </c>
      <c r="E788" t="s">
        <v>38</v>
      </c>
      <c r="F788">
        <v>8</v>
      </c>
      <c r="G788" t="s">
        <v>61</v>
      </c>
      <c r="H788" t="s">
        <v>26</v>
      </c>
      <c r="I788" t="s">
        <v>34</v>
      </c>
      <c r="J788" t="s">
        <v>40</v>
      </c>
      <c r="K788" t="s">
        <v>34</v>
      </c>
      <c r="L788" t="s">
        <v>46</v>
      </c>
      <c r="M788" t="s">
        <v>29</v>
      </c>
      <c r="N788" t="s">
        <v>42</v>
      </c>
      <c r="O788">
        <v>4621</v>
      </c>
      <c r="P788">
        <v>1</v>
      </c>
      <c r="Q788" t="s">
        <v>36</v>
      </c>
      <c r="R788">
        <v>19</v>
      </c>
      <c r="S788" t="s">
        <v>33</v>
      </c>
      <c r="T788" t="s">
        <v>31</v>
      </c>
      <c r="U788">
        <v>4</v>
      </c>
      <c r="V788" t="s">
        <v>44</v>
      </c>
      <c r="W788" t="str">
        <f>IF(HR_Data[[#This Row],[age]]&lt;25,"Under 25",IF(HR_Data[[#This Row],[age]]&lt;35,"25-34",IF(HR_Data[[#This Row],[age]]&lt;45,"35-44",IF(HR_Data[[#This Row],[age]]&lt;55,"45-54","55+"))))</f>
        <v>25-34</v>
      </c>
      <c r="X788" t="str">
        <f t="shared" si="12"/>
        <v>3,000-4,999</v>
      </c>
    </row>
    <row r="789" spans="1:24" x14ac:dyDescent="0.3">
      <c r="A789">
        <v>1096</v>
      </c>
      <c r="B789">
        <v>55</v>
      </c>
      <c r="C789" t="s">
        <v>36</v>
      </c>
      <c r="D789" t="s">
        <v>37</v>
      </c>
      <c r="E789" t="s">
        <v>38</v>
      </c>
      <c r="F789">
        <v>2</v>
      </c>
      <c r="G789" t="s">
        <v>39</v>
      </c>
      <c r="H789" t="s">
        <v>26</v>
      </c>
      <c r="I789" t="s">
        <v>31</v>
      </c>
      <c r="J789" t="s">
        <v>40</v>
      </c>
      <c r="K789" t="s">
        <v>29</v>
      </c>
      <c r="L789" t="s">
        <v>52</v>
      </c>
      <c r="M789" t="s">
        <v>27</v>
      </c>
      <c r="N789" t="s">
        <v>42</v>
      </c>
      <c r="O789">
        <v>10976</v>
      </c>
      <c r="P789">
        <v>3</v>
      </c>
      <c r="Q789" t="s">
        <v>36</v>
      </c>
      <c r="R789">
        <v>18</v>
      </c>
      <c r="S789" t="s">
        <v>33</v>
      </c>
      <c r="T789" t="s">
        <v>27</v>
      </c>
      <c r="U789">
        <v>4</v>
      </c>
      <c r="V789" t="s">
        <v>44</v>
      </c>
      <c r="W789" t="str">
        <f>IF(HR_Data[[#This Row],[age]]&lt;25,"Under 25",IF(HR_Data[[#This Row],[age]]&lt;35,"25-34",IF(HR_Data[[#This Row],[age]]&lt;45,"35-44",IF(HR_Data[[#This Row],[age]]&lt;55,"45-54","55+"))))</f>
        <v>55+</v>
      </c>
      <c r="X789" t="str">
        <f t="shared" si="12"/>
        <v>8,000+</v>
      </c>
    </row>
    <row r="790" spans="1:24" x14ac:dyDescent="0.3">
      <c r="A790">
        <v>1097</v>
      </c>
      <c r="B790">
        <v>28</v>
      </c>
      <c r="C790" t="s">
        <v>36</v>
      </c>
      <c r="D790" t="s">
        <v>23</v>
      </c>
      <c r="E790" t="s">
        <v>38</v>
      </c>
      <c r="F790">
        <v>10</v>
      </c>
      <c r="G790" t="s">
        <v>50</v>
      </c>
      <c r="H790" t="s">
        <v>45</v>
      </c>
      <c r="I790" t="s">
        <v>29</v>
      </c>
      <c r="J790" t="s">
        <v>28</v>
      </c>
      <c r="K790" t="s">
        <v>29</v>
      </c>
      <c r="L790" t="s">
        <v>41</v>
      </c>
      <c r="M790" t="s">
        <v>29</v>
      </c>
      <c r="N790" t="s">
        <v>32</v>
      </c>
      <c r="O790">
        <v>3660</v>
      </c>
      <c r="P790">
        <v>3</v>
      </c>
      <c r="Q790" t="s">
        <v>36</v>
      </c>
      <c r="R790">
        <v>13</v>
      </c>
      <c r="S790" t="s">
        <v>33</v>
      </c>
      <c r="T790" t="s">
        <v>31</v>
      </c>
      <c r="U790">
        <v>4</v>
      </c>
      <c r="V790" t="s">
        <v>59</v>
      </c>
      <c r="W790" t="str">
        <f>IF(HR_Data[[#This Row],[age]]&lt;25,"Under 25",IF(HR_Data[[#This Row],[age]]&lt;35,"25-34",IF(HR_Data[[#This Row],[age]]&lt;45,"35-44",IF(HR_Data[[#This Row],[age]]&lt;55,"45-54","55+"))))</f>
        <v>25-34</v>
      </c>
      <c r="X790" t="str">
        <f t="shared" si="12"/>
        <v>3,000-4,999</v>
      </c>
    </row>
    <row r="791" spans="1:24" x14ac:dyDescent="0.3">
      <c r="A791">
        <v>1098</v>
      </c>
      <c r="B791">
        <v>44</v>
      </c>
      <c r="C791" t="s">
        <v>22</v>
      </c>
      <c r="D791" t="s">
        <v>23</v>
      </c>
      <c r="E791" t="s">
        <v>62</v>
      </c>
      <c r="F791">
        <v>1</v>
      </c>
      <c r="G791" t="s">
        <v>25</v>
      </c>
      <c r="H791" t="s">
        <v>48</v>
      </c>
      <c r="I791" t="s">
        <v>27</v>
      </c>
      <c r="J791" t="s">
        <v>40</v>
      </c>
      <c r="K791" t="s">
        <v>27</v>
      </c>
      <c r="L791" t="s">
        <v>62</v>
      </c>
      <c r="M791" t="s">
        <v>34</v>
      </c>
      <c r="N791" t="s">
        <v>42</v>
      </c>
      <c r="O791">
        <v>10482</v>
      </c>
      <c r="P791">
        <v>9</v>
      </c>
      <c r="Q791" t="s">
        <v>36</v>
      </c>
      <c r="R791">
        <v>14</v>
      </c>
      <c r="S791" t="s">
        <v>33</v>
      </c>
      <c r="T791" t="s">
        <v>31</v>
      </c>
      <c r="U791">
        <v>1</v>
      </c>
      <c r="V791" t="s">
        <v>44</v>
      </c>
      <c r="W791" t="str">
        <f>IF(HR_Data[[#This Row],[age]]&lt;25,"Under 25",IF(HR_Data[[#This Row],[age]]&lt;35,"25-34",IF(HR_Data[[#This Row],[age]]&lt;45,"35-44",IF(HR_Data[[#This Row],[age]]&lt;55,"45-54","55+"))))</f>
        <v>35-44</v>
      </c>
      <c r="X791" t="str">
        <f t="shared" si="12"/>
        <v>8,000+</v>
      </c>
    </row>
    <row r="792" spans="1:24" x14ac:dyDescent="0.3">
      <c r="A792">
        <v>1099</v>
      </c>
      <c r="B792">
        <v>33</v>
      </c>
      <c r="C792" t="s">
        <v>36</v>
      </c>
      <c r="D792" t="s">
        <v>23</v>
      </c>
      <c r="E792" t="s">
        <v>38</v>
      </c>
      <c r="F792">
        <v>5</v>
      </c>
      <c r="G792" t="s">
        <v>50</v>
      </c>
      <c r="H792" t="s">
        <v>26</v>
      </c>
      <c r="I792" t="s">
        <v>31</v>
      </c>
      <c r="J792" t="s">
        <v>40</v>
      </c>
      <c r="K792" t="s">
        <v>27</v>
      </c>
      <c r="L792" t="s">
        <v>53</v>
      </c>
      <c r="M792" t="s">
        <v>31</v>
      </c>
      <c r="N792" t="s">
        <v>51</v>
      </c>
      <c r="O792">
        <v>7119</v>
      </c>
      <c r="P792">
        <v>4</v>
      </c>
      <c r="Q792" t="s">
        <v>36</v>
      </c>
      <c r="R792">
        <v>15</v>
      </c>
      <c r="S792" t="s">
        <v>33</v>
      </c>
      <c r="T792" t="s">
        <v>29</v>
      </c>
      <c r="U792">
        <v>2</v>
      </c>
      <c r="V792" t="s">
        <v>44</v>
      </c>
      <c r="W792" t="str">
        <f>IF(HR_Data[[#This Row],[age]]&lt;25,"Under 25",IF(HR_Data[[#This Row],[age]]&lt;35,"25-34",IF(HR_Data[[#This Row],[age]]&lt;45,"35-44",IF(HR_Data[[#This Row],[age]]&lt;55,"45-54","55+"))))</f>
        <v>25-34</v>
      </c>
      <c r="X792" t="str">
        <f t="shared" si="12"/>
        <v>5,000-7,999</v>
      </c>
    </row>
    <row r="793" spans="1:24" x14ac:dyDescent="0.3">
      <c r="A793">
        <v>1100</v>
      </c>
      <c r="B793">
        <v>35</v>
      </c>
      <c r="C793" t="s">
        <v>22</v>
      </c>
      <c r="D793" t="s">
        <v>23</v>
      </c>
      <c r="E793" t="s">
        <v>24</v>
      </c>
      <c r="F793">
        <v>4</v>
      </c>
      <c r="G793" t="s">
        <v>50</v>
      </c>
      <c r="H793" t="s">
        <v>60</v>
      </c>
      <c r="I793" t="s">
        <v>31</v>
      </c>
      <c r="J793" t="s">
        <v>40</v>
      </c>
      <c r="K793" t="s">
        <v>29</v>
      </c>
      <c r="L793" t="s">
        <v>30</v>
      </c>
      <c r="M793" t="s">
        <v>34</v>
      </c>
      <c r="N793" t="s">
        <v>32</v>
      </c>
      <c r="O793">
        <v>9582</v>
      </c>
      <c r="P793">
        <v>0</v>
      </c>
      <c r="Q793" t="s">
        <v>22</v>
      </c>
      <c r="R793">
        <v>22</v>
      </c>
      <c r="S793" t="s">
        <v>43</v>
      </c>
      <c r="T793" t="s">
        <v>34</v>
      </c>
      <c r="U793">
        <v>2</v>
      </c>
      <c r="V793" t="s">
        <v>44</v>
      </c>
      <c r="W793" t="str">
        <f>IF(HR_Data[[#This Row],[age]]&lt;25,"Under 25",IF(HR_Data[[#This Row],[age]]&lt;35,"25-34",IF(HR_Data[[#This Row],[age]]&lt;45,"35-44",IF(HR_Data[[#This Row],[age]]&lt;55,"45-54","55+"))))</f>
        <v>35-44</v>
      </c>
      <c r="X793" t="str">
        <f t="shared" si="12"/>
        <v>8,000+</v>
      </c>
    </row>
    <row r="794" spans="1:24" x14ac:dyDescent="0.3">
      <c r="A794">
        <v>1101</v>
      </c>
      <c r="B794">
        <v>33</v>
      </c>
      <c r="C794" t="s">
        <v>22</v>
      </c>
      <c r="D794" t="s">
        <v>37</v>
      </c>
      <c r="E794" t="s">
        <v>38</v>
      </c>
      <c r="F794">
        <v>29</v>
      </c>
      <c r="G794" t="s">
        <v>47</v>
      </c>
      <c r="H794" t="s">
        <v>48</v>
      </c>
      <c r="I794" t="s">
        <v>34</v>
      </c>
      <c r="J794" t="s">
        <v>28</v>
      </c>
      <c r="K794" t="s">
        <v>27</v>
      </c>
      <c r="L794" t="s">
        <v>41</v>
      </c>
      <c r="M794" t="s">
        <v>29</v>
      </c>
      <c r="N794" t="s">
        <v>32</v>
      </c>
      <c r="O794">
        <v>4508</v>
      </c>
      <c r="P794">
        <v>1</v>
      </c>
      <c r="Q794" t="s">
        <v>36</v>
      </c>
      <c r="R794">
        <v>22</v>
      </c>
      <c r="S794" t="s">
        <v>43</v>
      </c>
      <c r="T794" t="s">
        <v>27</v>
      </c>
      <c r="U794">
        <v>4</v>
      </c>
      <c r="V794" t="s">
        <v>44</v>
      </c>
      <c r="W794" t="str">
        <f>IF(HR_Data[[#This Row],[age]]&lt;25,"Under 25",IF(HR_Data[[#This Row],[age]]&lt;35,"25-34",IF(HR_Data[[#This Row],[age]]&lt;45,"35-44",IF(HR_Data[[#This Row],[age]]&lt;55,"45-54","55+"))))</f>
        <v>25-34</v>
      </c>
      <c r="X794" t="str">
        <f t="shared" si="12"/>
        <v>3,000-4,999</v>
      </c>
    </row>
    <row r="795" spans="1:24" x14ac:dyDescent="0.3">
      <c r="A795">
        <v>1102</v>
      </c>
      <c r="B795">
        <v>28</v>
      </c>
      <c r="C795" t="s">
        <v>36</v>
      </c>
      <c r="D795" t="s">
        <v>23</v>
      </c>
      <c r="E795" t="s">
        <v>38</v>
      </c>
      <c r="F795">
        <v>15</v>
      </c>
      <c r="G795" t="s">
        <v>25</v>
      </c>
      <c r="H795" t="s">
        <v>26</v>
      </c>
      <c r="I795" t="s">
        <v>34</v>
      </c>
      <c r="J795" t="s">
        <v>40</v>
      </c>
      <c r="K795" t="s">
        <v>29</v>
      </c>
      <c r="L795" t="s">
        <v>46</v>
      </c>
      <c r="M795" t="s">
        <v>29</v>
      </c>
      <c r="N795" t="s">
        <v>51</v>
      </c>
      <c r="O795">
        <v>2207</v>
      </c>
      <c r="P795">
        <v>1</v>
      </c>
      <c r="Q795" t="s">
        <v>36</v>
      </c>
      <c r="R795">
        <v>16</v>
      </c>
      <c r="S795" t="s">
        <v>33</v>
      </c>
      <c r="T795" t="s">
        <v>31</v>
      </c>
      <c r="U795">
        <v>5</v>
      </c>
      <c r="V795" t="s">
        <v>49</v>
      </c>
      <c r="W795" t="str">
        <f>IF(HR_Data[[#This Row],[age]]&lt;25,"Under 25",IF(HR_Data[[#This Row],[age]]&lt;35,"25-34",IF(HR_Data[[#This Row],[age]]&lt;45,"35-44",IF(HR_Data[[#This Row],[age]]&lt;55,"45-54","55+"))))</f>
        <v>25-34</v>
      </c>
      <c r="X795" t="str">
        <f t="shared" si="12"/>
        <v>Below 3,000</v>
      </c>
    </row>
    <row r="796" spans="1:24" x14ac:dyDescent="0.3">
      <c r="A796">
        <v>1103</v>
      </c>
      <c r="B796">
        <v>34</v>
      </c>
      <c r="C796" t="s">
        <v>36</v>
      </c>
      <c r="D796" t="s">
        <v>37</v>
      </c>
      <c r="E796" t="s">
        <v>38</v>
      </c>
      <c r="F796">
        <v>3</v>
      </c>
      <c r="G796" t="s">
        <v>39</v>
      </c>
      <c r="H796" t="s">
        <v>26</v>
      </c>
      <c r="I796" t="s">
        <v>34</v>
      </c>
      <c r="J796" t="s">
        <v>40</v>
      </c>
      <c r="K796" t="s">
        <v>29</v>
      </c>
      <c r="L796" t="s">
        <v>53</v>
      </c>
      <c r="M796" t="s">
        <v>31</v>
      </c>
      <c r="N796" t="s">
        <v>32</v>
      </c>
      <c r="O796">
        <v>7756</v>
      </c>
      <c r="P796">
        <v>0</v>
      </c>
      <c r="Q796" t="s">
        <v>36</v>
      </c>
      <c r="R796">
        <v>17</v>
      </c>
      <c r="S796" t="s">
        <v>33</v>
      </c>
      <c r="T796" t="s">
        <v>29</v>
      </c>
      <c r="U796">
        <v>1</v>
      </c>
      <c r="V796" t="s">
        <v>49</v>
      </c>
      <c r="W796" t="str">
        <f>IF(HR_Data[[#This Row],[age]]&lt;25,"Under 25",IF(HR_Data[[#This Row],[age]]&lt;35,"25-34",IF(HR_Data[[#This Row],[age]]&lt;45,"35-44",IF(HR_Data[[#This Row],[age]]&lt;55,"45-54","55+"))))</f>
        <v>25-34</v>
      </c>
      <c r="X796" t="str">
        <f t="shared" si="12"/>
        <v>5,000-7,999</v>
      </c>
    </row>
    <row r="797" spans="1:24" x14ac:dyDescent="0.3">
      <c r="A797">
        <v>1105</v>
      </c>
      <c r="B797">
        <v>37</v>
      </c>
      <c r="C797" t="s">
        <v>36</v>
      </c>
      <c r="D797" t="s">
        <v>23</v>
      </c>
      <c r="E797" t="s">
        <v>24</v>
      </c>
      <c r="F797">
        <v>10</v>
      </c>
      <c r="G797" t="s">
        <v>47</v>
      </c>
      <c r="H797" t="s">
        <v>26</v>
      </c>
      <c r="I797" t="s">
        <v>31</v>
      </c>
      <c r="J797" t="s">
        <v>28</v>
      </c>
      <c r="K797" t="s">
        <v>27</v>
      </c>
      <c r="L797" t="s">
        <v>30</v>
      </c>
      <c r="M797" t="s">
        <v>31</v>
      </c>
      <c r="N797" t="s">
        <v>51</v>
      </c>
      <c r="O797">
        <v>6694</v>
      </c>
      <c r="P797">
        <v>2</v>
      </c>
      <c r="Q797" t="s">
        <v>22</v>
      </c>
      <c r="R797">
        <v>14</v>
      </c>
      <c r="S797" t="s">
        <v>33</v>
      </c>
      <c r="T797" t="s">
        <v>29</v>
      </c>
      <c r="U797">
        <v>5</v>
      </c>
      <c r="V797" t="s">
        <v>44</v>
      </c>
      <c r="W797" t="str">
        <f>IF(HR_Data[[#This Row],[age]]&lt;25,"Under 25",IF(HR_Data[[#This Row],[age]]&lt;35,"25-34",IF(HR_Data[[#This Row],[age]]&lt;45,"35-44",IF(HR_Data[[#This Row],[age]]&lt;55,"45-54","55+"))))</f>
        <v>35-44</v>
      </c>
      <c r="X797" t="str">
        <f t="shared" si="12"/>
        <v>5,000-7,999</v>
      </c>
    </row>
    <row r="798" spans="1:24" x14ac:dyDescent="0.3">
      <c r="A798">
        <v>1106</v>
      </c>
      <c r="B798">
        <v>25</v>
      </c>
      <c r="C798" t="s">
        <v>22</v>
      </c>
      <c r="D798" t="s">
        <v>23</v>
      </c>
      <c r="E798" t="s">
        <v>38</v>
      </c>
      <c r="F798">
        <v>4</v>
      </c>
      <c r="G798" t="s">
        <v>39</v>
      </c>
      <c r="H798" t="s">
        <v>60</v>
      </c>
      <c r="I798" t="s">
        <v>31</v>
      </c>
      <c r="J798" t="s">
        <v>40</v>
      </c>
      <c r="K798" t="s">
        <v>29</v>
      </c>
      <c r="L798" t="s">
        <v>46</v>
      </c>
      <c r="M798" t="s">
        <v>31</v>
      </c>
      <c r="N798" t="s">
        <v>42</v>
      </c>
      <c r="O798">
        <v>3691</v>
      </c>
      <c r="P798">
        <v>1</v>
      </c>
      <c r="Q798" t="s">
        <v>22</v>
      </c>
      <c r="R798">
        <v>15</v>
      </c>
      <c r="S798" t="s">
        <v>33</v>
      </c>
      <c r="T798" t="s">
        <v>27</v>
      </c>
      <c r="U798">
        <v>3</v>
      </c>
      <c r="V798" t="s">
        <v>59</v>
      </c>
      <c r="W798" t="str">
        <f>IF(HR_Data[[#This Row],[age]]&lt;25,"Under 25",IF(HR_Data[[#This Row],[age]]&lt;35,"25-34",IF(HR_Data[[#This Row],[age]]&lt;45,"35-44",IF(HR_Data[[#This Row],[age]]&lt;55,"45-54","55+"))))</f>
        <v>25-34</v>
      </c>
      <c r="X798" t="str">
        <f t="shared" si="12"/>
        <v>3,000-4,999</v>
      </c>
    </row>
    <row r="799" spans="1:24" x14ac:dyDescent="0.3">
      <c r="A799">
        <v>1107</v>
      </c>
      <c r="B799">
        <v>26</v>
      </c>
      <c r="C799" t="s">
        <v>22</v>
      </c>
      <c r="D799" t="s">
        <v>23</v>
      </c>
      <c r="E799" t="s">
        <v>38</v>
      </c>
      <c r="F799">
        <v>21</v>
      </c>
      <c r="G799" t="s">
        <v>50</v>
      </c>
      <c r="H799" t="s">
        <v>48</v>
      </c>
      <c r="I799" t="s">
        <v>34</v>
      </c>
      <c r="J799" t="s">
        <v>40</v>
      </c>
      <c r="K799" t="s">
        <v>29</v>
      </c>
      <c r="L799" t="s">
        <v>46</v>
      </c>
      <c r="M799" t="s">
        <v>29</v>
      </c>
      <c r="N799" t="s">
        <v>51</v>
      </c>
      <c r="O799">
        <v>2377</v>
      </c>
      <c r="P799">
        <v>1</v>
      </c>
      <c r="Q799" t="s">
        <v>36</v>
      </c>
      <c r="R799">
        <v>20</v>
      </c>
      <c r="S799" t="s">
        <v>43</v>
      </c>
      <c r="T799" t="s">
        <v>29</v>
      </c>
      <c r="U799">
        <v>0</v>
      </c>
      <c r="V799" t="s">
        <v>49</v>
      </c>
      <c r="W799" t="str">
        <f>IF(HR_Data[[#This Row],[age]]&lt;25,"Under 25",IF(HR_Data[[#This Row],[age]]&lt;35,"25-34",IF(HR_Data[[#This Row],[age]]&lt;45,"35-44",IF(HR_Data[[#This Row],[age]]&lt;55,"45-54","55+"))))</f>
        <v>25-34</v>
      </c>
      <c r="X799" t="str">
        <f t="shared" si="12"/>
        <v>Below 3,000</v>
      </c>
    </row>
    <row r="800" spans="1:24" x14ac:dyDescent="0.3">
      <c r="A800">
        <v>1108</v>
      </c>
      <c r="B800">
        <v>33</v>
      </c>
      <c r="C800" t="s">
        <v>22</v>
      </c>
      <c r="D800" t="s">
        <v>23</v>
      </c>
      <c r="E800" t="s">
        <v>38</v>
      </c>
      <c r="F800">
        <v>25</v>
      </c>
      <c r="G800" t="s">
        <v>50</v>
      </c>
      <c r="H800" t="s">
        <v>48</v>
      </c>
      <c r="I800" t="s">
        <v>34</v>
      </c>
      <c r="J800" t="s">
        <v>40</v>
      </c>
      <c r="K800" t="s">
        <v>27</v>
      </c>
      <c r="L800" t="s">
        <v>41</v>
      </c>
      <c r="M800" t="s">
        <v>27</v>
      </c>
      <c r="N800" t="s">
        <v>32</v>
      </c>
      <c r="O800">
        <v>2313</v>
      </c>
      <c r="P800">
        <v>4</v>
      </c>
      <c r="Q800" t="s">
        <v>22</v>
      </c>
      <c r="R800">
        <v>20</v>
      </c>
      <c r="S800" t="s">
        <v>43</v>
      </c>
      <c r="T800" t="s">
        <v>27</v>
      </c>
      <c r="U800">
        <v>0</v>
      </c>
      <c r="V800" t="s">
        <v>44</v>
      </c>
      <c r="W800" t="str">
        <f>IF(HR_Data[[#This Row],[age]]&lt;25,"Under 25",IF(HR_Data[[#This Row],[age]]&lt;35,"25-34",IF(HR_Data[[#This Row],[age]]&lt;45,"35-44",IF(HR_Data[[#This Row],[age]]&lt;55,"45-54","55+"))))</f>
        <v>25-34</v>
      </c>
      <c r="X800" t="str">
        <f t="shared" si="12"/>
        <v>Below 3,000</v>
      </c>
    </row>
    <row r="801" spans="1:24" x14ac:dyDescent="0.3">
      <c r="A801">
        <v>1109</v>
      </c>
      <c r="B801">
        <v>42</v>
      </c>
      <c r="C801" t="s">
        <v>36</v>
      </c>
      <c r="D801" t="s">
        <v>23</v>
      </c>
      <c r="E801" t="s">
        <v>38</v>
      </c>
      <c r="F801">
        <v>2</v>
      </c>
      <c r="G801" t="s">
        <v>25</v>
      </c>
      <c r="H801" t="s">
        <v>48</v>
      </c>
      <c r="I801" t="s">
        <v>31</v>
      </c>
      <c r="J801" t="s">
        <v>40</v>
      </c>
      <c r="K801" t="s">
        <v>29</v>
      </c>
      <c r="L801" t="s">
        <v>55</v>
      </c>
      <c r="M801" t="s">
        <v>34</v>
      </c>
      <c r="N801" t="s">
        <v>42</v>
      </c>
      <c r="O801">
        <v>17665</v>
      </c>
      <c r="P801">
        <v>0</v>
      </c>
      <c r="Q801" t="s">
        <v>36</v>
      </c>
      <c r="R801">
        <v>17</v>
      </c>
      <c r="S801" t="s">
        <v>33</v>
      </c>
      <c r="T801" t="s">
        <v>31</v>
      </c>
      <c r="U801">
        <v>3</v>
      </c>
      <c r="V801" t="s">
        <v>44</v>
      </c>
      <c r="W801" t="str">
        <f>IF(HR_Data[[#This Row],[age]]&lt;25,"Under 25",IF(HR_Data[[#This Row],[age]]&lt;35,"25-34",IF(HR_Data[[#This Row],[age]]&lt;45,"35-44",IF(HR_Data[[#This Row],[age]]&lt;55,"45-54","55+"))))</f>
        <v>35-44</v>
      </c>
      <c r="X801" t="str">
        <f t="shared" si="12"/>
        <v>8,000+</v>
      </c>
    </row>
    <row r="802" spans="1:24" x14ac:dyDescent="0.3">
      <c r="A802">
        <v>1111</v>
      </c>
      <c r="B802">
        <v>28</v>
      </c>
      <c r="C802" t="s">
        <v>22</v>
      </c>
      <c r="D802" t="s">
        <v>37</v>
      </c>
      <c r="E802" t="s">
        <v>38</v>
      </c>
      <c r="F802">
        <v>1</v>
      </c>
      <c r="G802" t="s">
        <v>50</v>
      </c>
      <c r="H802" t="s">
        <v>48</v>
      </c>
      <c r="I802" t="s">
        <v>34</v>
      </c>
      <c r="J802" t="s">
        <v>40</v>
      </c>
      <c r="K802" t="s">
        <v>27</v>
      </c>
      <c r="L802" t="s">
        <v>46</v>
      </c>
      <c r="M802" t="s">
        <v>27</v>
      </c>
      <c r="N802" t="s">
        <v>51</v>
      </c>
      <c r="O802">
        <v>2596</v>
      </c>
      <c r="P802">
        <v>1</v>
      </c>
      <c r="Q802" t="s">
        <v>36</v>
      </c>
      <c r="R802">
        <v>15</v>
      </c>
      <c r="S802" t="s">
        <v>33</v>
      </c>
      <c r="T802" t="s">
        <v>34</v>
      </c>
      <c r="U802">
        <v>2</v>
      </c>
      <c r="V802" t="s">
        <v>44</v>
      </c>
      <c r="W802" t="str">
        <f>IF(HR_Data[[#This Row],[age]]&lt;25,"Under 25",IF(HR_Data[[#This Row],[age]]&lt;35,"25-34",IF(HR_Data[[#This Row],[age]]&lt;45,"35-44",IF(HR_Data[[#This Row],[age]]&lt;55,"45-54","55+"))))</f>
        <v>25-34</v>
      </c>
      <c r="X802" t="str">
        <f t="shared" si="12"/>
        <v>Below 3,000</v>
      </c>
    </row>
    <row r="803" spans="1:24" x14ac:dyDescent="0.3">
      <c r="A803">
        <v>1113</v>
      </c>
      <c r="B803">
        <v>50</v>
      </c>
      <c r="C803" t="s">
        <v>22</v>
      </c>
      <c r="D803" t="s">
        <v>37</v>
      </c>
      <c r="E803" t="s">
        <v>24</v>
      </c>
      <c r="F803">
        <v>1</v>
      </c>
      <c r="G803" t="s">
        <v>47</v>
      </c>
      <c r="H803" t="s">
        <v>45</v>
      </c>
      <c r="I803" t="s">
        <v>31</v>
      </c>
      <c r="J803" t="s">
        <v>40</v>
      </c>
      <c r="K803" t="s">
        <v>29</v>
      </c>
      <c r="L803" t="s">
        <v>30</v>
      </c>
      <c r="M803" t="s">
        <v>29</v>
      </c>
      <c r="N803" t="s">
        <v>32</v>
      </c>
      <c r="O803">
        <v>4728</v>
      </c>
      <c r="P803">
        <v>3</v>
      </c>
      <c r="Q803" t="s">
        <v>22</v>
      </c>
      <c r="R803">
        <v>14</v>
      </c>
      <c r="S803" t="s">
        <v>33</v>
      </c>
      <c r="T803" t="s">
        <v>31</v>
      </c>
      <c r="U803">
        <v>4</v>
      </c>
      <c r="V803" t="s">
        <v>44</v>
      </c>
      <c r="W803" t="str">
        <f>IF(HR_Data[[#This Row],[age]]&lt;25,"Under 25",IF(HR_Data[[#This Row],[age]]&lt;35,"25-34",IF(HR_Data[[#This Row],[age]]&lt;45,"35-44",IF(HR_Data[[#This Row],[age]]&lt;55,"45-54","55+"))))</f>
        <v>45-54</v>
      </c>
      <c r="X803" t="str">
        <f t="shared" si="12"/>
        <v>3,000-4,999</v>
      </c>
    </row>
    <row r="804" spans="1:24" x14ac:dyDescent="0.3">
      <c r="A804">
        <v>1114</v>
      </c>
      <c r="B804">
        <v>33</v>
      </c>
      <c r="C804" t="s">
        <v>36</v>
      </c>
      <c r="D804" t="s">
        <v>37</v>
      </c>
      <c r="E804" t="s">
        <v>24</v>
      </c>
      <c r="F804">
        <v>7</v>
      </c>
      <c r="G804" t="s">
        <v>50</v>
      </c>
      <c r="H804" t="s">
        <v>26</v>
      </c>
      <c r="I804" t="s">
        <v>31</v>
      </c>
      <c r="J804" t="s">
        <v>28</v>
      </c>
      <c r="K804" t="s">
        <v>29</v>
      </c>
      <c r="L804" t="s">
        <v>30</v>
      </c>
      <c r="M804" t="s">
        <v>27</v>
      </c>
      <c r="N804" t="s">
        <v>42</v>
      </c>
      <c r="O804">
        <v>4302</v>
      </c>
      <c r="P804">
        <v>0</v>
      </c>
      <c r="Q804" t="s">
        <v>36</v>
      </c>
      <c r="R804">
        <v>17</v>
      </c>
      <c r="S804" t="s">
        <v>33</v>
      </c>
      <c r="T804" t="s">
        <v>29</v>
      </c>
      <c r="U804">
        <v>3</v>
      </c>
      <c r="V804" t="s">
        <v>44</v>
      </c>
      <c r="W804" t="str">
        <f>IF(HR_Data[[#This Row],[age]]&lt;25,"Under 25",IF(HR_Data[[#This Row],[age]]&lt;35,"25-34",IF(HR_Data[[#This Row],[age]]&lt;45,"35-44",IF(HR_Data[[#This Row],[age]]&lt;55,"45-54","55+"))))</f>
        <v>25-34</v>
      </c>
      <c r="X804" t="str">
        <f t="shared" si="12"/>
        <v>3,000-4,999</v>
      </c>
    </row>
    <row r="805" spans="1:24" x14ac:dyDescent="0.3">
      <c r="A805">
        <v>1115</v>
      </c>
      <c r="B805">
        <v>34</v>
      </c>
      <c r="C805" t="s">
        <v>36</v>
      </c>
      <c r="D805" t="s">
        <v>54</v>
      </c>
      <c r="E805" t="s">
        <v>38</v>
      </c>
      <c r="F805">
        <v>3</v>
      </c>
      <c r="G805" t="s">
        <v>47</v>
      </c>
      <c r="H805" t="s">
        <v>26</v>
      </c>
      <c r="I805" t="s">
        <v>29</v>
      </c>
      <c r="J805" t="s">
        <v>40</v>
      </c>
      <c r="K805" t="s">
        <v>27</v>
      </c>
      <c r="L805" t="s">
        <v>41</v>
      </c>
      <c r="M805" t="s">
        <v>31</v>
      </c>
      <c r="N805" t="s">
        <v>42</v>
      </c>
      <c r="O805">
        <v>2979</v>
      </c>
      <c r="P805">
        <v>3</v>
      </c>
      <c r="Q805" t="s">
        <v>36</v>
      </c>
      <c r="R805">
        <v>17</v>
      </c>
      <c r="S805" t="s">
        <v>33</v>
      </c>
      <c r="T805" t="s">
        <v>31</v>
      </c>
      <c r="U805">
        <v>2</v>
      </c>
      <c r="V805" t="s">
        <v>44</v>
      </c>
      <c r="W805" t="str">
        <f>IF(HR_Data[[#This Row],[age]]&lt;25,"Under 25",IF(HR_Data[[#This Row],[age]]&lt;35,"25-34",IF(HR_Data[[#This Row],[age]]&lt;45,"35-44",IF(HR_Data[[#This Row],[age]]&lt;55,"45-54","55+"))))</f>
        <v>25-34</v>
      </c>
      <c r="X805" t="str">
        <f t="shared" si="12"/>
        <v>Below 3,000</v>
      </c>
    </row>
    <row r="806" spans="1:24" x14ac:dyDescent="0.3">
      <c r="A806">
        <v>1116</v>
      </c>
      <c r="B806">
        <v>48</v>
      </c>
      <c r="C806" t="s">
        <v>36</v>
      </c>
      <c r="D806" t="s">
        <v>54</v>
      </c>
      <c r="E806" t="s">
        <v>38</v>
      </c>
      <c r="F806">
        <v>1</v>
      </c>
      <c r="G806" t="s">
        <v>47</v>
      </c>
      <c r="H806" t="s">
        <v>48</v>
      </c>
      <c r="I806" t="s">
        <v>34</v>
      </c>
      <c r="J806" t="s">
        <v>40</v>
      </c>
      <c r="K806" t="s">
        <v>31</v>
      </c>
      <c r="L806" t="s">
        <v>55</v>
      </c>
      <c r="M806" t="s">
        <v>31</v>
      </c>
      <c r="N806" t="s">
        <v>32</v>
      </c>
      <c r="O806">
        <v>16885</v>
      </c>
      <c r="P806">
        <v>2</v>
      </c>
      <c r="Q806" t="s">
        <v>36</v>
      </c>
      <c r="R806">
        <v>22</v>
      </c>
      <c r="S806" t="s">
        <v>43</v>
      </c>
      <c r="T806" t="s">
        <v>29</v>
      </c>
      <c r="U806">
        <v>3</v>
      </c>
      <c r="V806" t="s">
        <v>49</v>
      </c>
      <c r="W806" t="str">
        <f>IF(HR_Data[[#This Row],[age]]&lt;25,"Under 25",IF(HR_Data[[#This Row],[age]]&lt;35,"25-34",IF(HR_Data[[#This Row],[age]]&lt;45,"35-44",IF(HR_Data[[#This Row],[age]]&lt;55,"45-54","55+"))))</f>
        <v>45-54</v>
      </c>
      <c r="X806" t="str">
        <f t="shared" si="12"/>
        <v>8,000+</v>
      </c>
    </row>
    <row r="807" spans="1:24" x14ac:dyDescent="0.3">
      <c r="A807">
        <v>1117</v>
      </c>
      <c r="B807">
        <v>45</v>
      </c>
      <c r="C807" t="s">
        <v>36</v>
      </c>
      <c r="D807" t="s">
        <v>54</v>
      </c>
      <c r="E807" t="s">
        <v>24</v>
      </c>
      <c r="F807">
        <v>9</v>
      </c>
      <c r="G807" t="s">
        <v>47</v>
      </c>
      <c r="H807" t="s">
        <v>26</v>
      </c>
      <c r="I807" t="s">
        <v>27</v>
      </c>
      <c r="J807" t="s">
        <v>28</v>
      </c>
      <c r="K807" t="s">
        <v>27</v>
      </c>
      <c r="L807" t="s">
        <v>30</v>
      </c>
      <c r="M807" t="s">
        <v>29</v>
      </c>
      <c r="N807" t="s">
        <v>42</v>
      </c>
      <c r="O807">
        <v>5593</v>
      </c>
      <c r="P807">
        <v>1</v>
      </c>
      <c r="Q807" t="s">
        <v>36</v>
      </c>
      <c r="R807">
        <v>13</v>
      </c>
      <c r="S807" t="s">
        <v>33</v>
      </c>
      <c r="T807" t="s">
        <v>31</v>
      </c>
      <c r="U807">
        <v>2</v>
      </c>
      <c r="V807" t="s">
        <v>44</v>
      </c>
      <c r="W807" t="str">
        <f>IF(HR_Data[[#This Row],[age]]&lt;25,"Under 25",IF(HR_Data[[#This Row],[age]]&lt;35,"25-34",IF(HR_Data[[#This Row],[age]]&lt;45,"35-44",IF(HR_Data[[#This Row],[age]]&lt;55,"45-54","55+"))))</f>
        <v>45-54</v>
      </c>
      <c r="X807" t="str">
        <f t="shared" si="12"/>
        <v>5,000-7,999</v>
      </c>
    </row>
    <row r="808" spans="1:24" x14ac:dyDescent="0.3">
      <c r="A808">
        <v>1118</v>
      </c>
      <c r="B808">
        <v>52</v>
      </c>
      <c r="C808" t="s">
        <v>36</v>
      </c>
      <c r="D808" t="s">
        <v>23</v>
      </c>
      <c r="E808" t="s">
        <v>38</v>
      </c>
      <c r="F808">
        <v>7</v>
      </c>
      <c r="G808" t="s">
        <v>47</v>
      </c>
      <c r="H808" t="s">
        <v>26</v>
      </c>
      <c r="I808" t="s">
        <v>27</v>
      </c>
      <c r="J808" t="s">
        <v>40</v>
      </c>
      <c r="K808" t="s">
        <v>29</v>
      </c>
      <c r="L808" t="s">
        <v>53</v>
      </c>
      <c r="M808" t="s">
        <v>27</v>
      </c>
      <c r="N808" t="s">
        <v>32</v>
      </c>
      <c r="O808">
        <v>10445</v>
      </c>
      <c r="P808">
        <v>7</v>
      </c>
      <c r="Q808" t="s">
        <v>36</v>
      </c>
      <c r="R808">
        <v>19</v>
      </c>
      <c r="S808" t="s">
        <v>33</v>
      </c>
      <c r="T808" t="s">
        <v>31</v>
      </c>
      <c r="U808">
        <v>4</v>
      </c>
      <c r="V808" t="s">
        <v>44</v>
      </c>
      <c r="W808" t="str">
        <f>IF(HR_Data[[#This Row],[age]]&lt;25,"Under 25",IF(HR_Data[[#This Row],[age]]&lt;35,"25-34",IF(HR_Data[[#This Row],[age]]&lt;45,"35-44",IF(HR_Data[[#This Row],[age]]&lt;55,"45-54","55+"))))</f>
        <v>45-54</v>
      </c>
      <c r="X808" t="str">
        <f t="shared" si="12"/>
        <v>8,000+</v>
      </c>
    </row>
    <row r="809" spans="1:24" x14ac:dyDescent="0.3">
      <c r="A809">
        <v>1119</v>
      </c>
      <c r="B809">
        <v>38</v>
      </c>
      <c r="C809" t="s">
        <v>36</v>
      </c>
      <c r="D809" t="s">
        <v>23</v>
      </c>
      <c r="E809" t="s">
        <v>24</v>
      </c>
      <c r="F809">
        <v>10</v>
      </c>
      <c r="G809" t="s">
        <v>47</v>
      </c>
      <c r="H809" t="s">
        <v>58</v>
      </c>
      <c r="I809" t="s">
        <v>29</v>
      </c>
      <c r="J809" t="s">
        <v>40</v>
      </c>
      <c r="K809" t="s">
        <v>27</v>
      </c>
      <c r="L809" t="s">
        <v>30</v>
      </c>
      <c r="M809" t="s">
        <v>29</v>
      </c>
      <c r="N809" t="s">
        <v>51</v>
      </c>
      <c r="O809">
        <v>8740</v>
      </c>
      <c r="P809">
        <v>0</v>
      </c>
      <c r="Q809" t="s">
        <v>22</v>
      </c>
      <c r="R809">
        <v>14</v>
      </c>
      <c r="S809" t="s">
        <v>33</v>
      </c>
      <c r="T809" t="s">
        <v>27</v>
      </c>
      <c r="U809">
        <v>2</v>
      </c>
      <c r="V809" t="s">
        <v>44</v>
      </c>
      <c r="W809" t="str">
        <f>IF(HR_Data[[#This Row],[age]]&lt;25,"Under 25",IF(HR_Data[[#This Row],[age]]&lt;35,"25-34",IF(HR_Data[[#This Row],[age]]&lt;45,"35-44",IF(HR_Data[[#This Row],[age]]&lt;55,"45-54","55+"))))</f>
        <v>35-44</v>
      </c>
      <c r="X809" t="str">
        <f t="shared" si="12"/>
        <v>8,000+</v>
      </c>
    </row>
    <row r="810" spans="1:24" x14ac:dyDescent="0.3">
      <c r="A810">
        <v>1120</v>
      </c>
      <c r="B810">
        <v>29</v>
      </c>
      <c r="C810" t="s">
        <v>36</v>
      </c>
      <c r="D810" t="s">
        <v>23</v>
      </c>
      <c r="E810" t="s">
        <v>38</v>
      </c>
      <c r="F810">
        <v>28</v>
      </c>
      <c r="G810" t="s">
        <v>47</v>
      </c>
      <c r="H810" t="s">
        <v>26</v>
      </c>
      <c r="I810" t="s">
        <v>29</v>
      </c>
      <c r="J810" t="s">
        <v>28</v>
      </c>
      <c r="K810" t="s">
        <v>29</v>
      </c>
      <c r="L810" t="s">
        <v>41</v>
      </c>
      <c r="M810" t="s">
        <v>31</v>
      </c>
      <c r="N810" t="s">
        <v>51</v>
      </c>
      <c r="O810">
        <v>2514</v>
      </c>
      <c r="P810">
        <v>4</v>
      </c>
      <c r="Q810" t="s">
        <v>36</v>
      </c>
      <c r="R810">
        <v>22</v>
      </c>
      <c r="S810" t="s">
        <v>43</v>
      </c>
      <c r="T810" t="s">
        <v>34</v>
      </c>
      <c r="U810">
        <v>1</v>
      </c>
      <c r="V810" t="s">
        <v>44</v>
      </c>
      <c r="W810" t="str">
        <f>IF(HR_Data[[#This Row],[age]]&lt;25,"Under 25",IF(HR_Data[[#This Row],[age]]&lt;35,"25-34",IF(HR_Data[[#This Row],[age]]&lt;45,"35-44",IF(HR_Data[[#This Row],[age]]&lt;55,"45-54","55+"))))</f>
        <v>25-34</v>
      </c>
      <c r="X810" t="str">
        <f t="shared" si="12"/>
        <v>Below 3,000</v>
      </c>
    </row>
    <row r="811" spans="1:24" x14ac:dyDescent="0.3">
      <c r="A811">
        <v>1121</v>
      </c>
      <c r="B811">
        <v>28</v>
      </c>
      <c r="C811" t="s">
        <v>36</v>
      </c>
      <c r="D811" t="s">
        <v>23</v>
      </c>
      <c r="E811" t="s">
        <v>38</v>
      </c>
      <c r="F811">
        <v>3</v>
      </c>
      <c r="G811" t="s">
        <v>50</v>
      </c>
      <c r="H811" t="s">
        <v>48</v>
      </c>
      <c r="I811" t="s">
        <v>31</v>
      </c>
      <c r="J811" t="s">
        <v>28</v>
      </c>
      <c r="K811" t="s">
        <v>29</v>
      </c>
      <c r="L811" t="s">
        <v>52</v>
      </c>
      <c r="M811" t="s">
        <v>27</v>
      </c>
      <c r="N811" t="s">
        <v>51</v>
      </c>
      <c r="O811">
        <v>7655</v>
      </c>
      <c r="P811">
        <v>0</v>
      </c>
      <c r="Q811" t="s">
        <v>36</v>
      </c>
      <c r="R811">
        <v>17</v>
      </c>
      <c r="S811" t="s">
        <v>33</v>
      </c>
      <c r="T811" t="s">
        <v>27</v>
      </c>
      <c r="U811">
        <v>3</v>
      </c>
      <c r="V811" t="s">
        <v>49</v>
      </c>
      <c r="W811" t="str">
        <f>IF(HR_Data[[#This Row],[age]]&lt;25,"Under 25",IF(HR_Data[[#This Row],[age]]&lt;35,"25-34",IF(HR_Data[[#This Row],[age]]&lt;45,"35-44",IF(HR_Data[[#This Row],[age]]&lt;55,"45-54","55+"))))</f>
        <v>25-34</v>
      </c>
      <c r="X811" t="str">
        <f t="shared" si="12"/>
        <v>5,000-7,999</v>
      </c>
    </row>
    <row r="812" spans="1:24" x14ac:dyDescent="0.3">
      <c r="A812">
        <v>1124</v>
      </c>
      <c r="B812">
        <v>46</v>
      </c>
      <c r="C812" t="s">
        <v>36</v>
      </c>
      <c r="D812" t="s">
        <v>23</v>
      </c>
      <c r="E812" t="s">
        <v>24</v>
      </c>
      <c r="F812">
        <v>3</v>
      </c>
      <c r="G812" t="s">
        <v>39</v>
      </c>
      <c r="H812" t="s">
        <v>58</v>
      </c>
      <c r="I812" t="s">
        <v>34</v>
      </c>
      <c r="J812" t="s">
        <v>40</v>
      </c>
      <c r="K812" t="s">
        <v>29</v>
      </c>
      <c r="L812" t="s">
        <v>55</v>
      </c>
      <c r="M812" t="s">
        <v>29</v>
      </c>
      <c r="N812" t="s">
        <v>42</v>
      </c>
      <c r="O812">
        <v>17465</v>
      </c>
      <c r="P812">
        <v>3</v>
      </c>
      <c r="Q812" t="s">
        <v>36</v>
      </c>
      <c r="R812">
        <v>12</v>
      </c>
      <c r="S812" t="s">
        <v>33</v>
      </c>
      <c r="T812" t="s">
        <v>31</v>
      </c>
      <c r="U812">
        <v>3</v>
      </c>
      <c r="V812" t="s">
        <v>44</v>
      </c>
      <c r="W812" t="str">
        <f>IF(HR_Data[[#This Row],[age]]&lt;25,"Under 25",IF(HR_Data[[#This Row],[age]]&lt;35,"25-34",IF(HR_Data[[#This Row],[age]]&lt;45,"35-44",IF(HR_Data[[#This Row],[age]]&lt;55,"45-54","55+"))))</f>
        <v>45-54</v>
      </c>
      <c r="X812" t="str">
        <f t="shared" si="12"/>
        <v>8,000+</v>
      </c>
    </row>
    <row r="813" spans="1:24" x14ac:dyDescent="0.3">
      <c r="A813">
        <v>1125</v>
      </c>
      <c r="B813">
        <v>38</v>
      </c>
      <c r="C813" t="s">
        <v>36</v>
      </c>
      <c r="D813" t="s">
        <v>23</v>
      </c>
      <c r="E813" t="s">
        <v>24</v>
      </c>
      <c r="F813">
        <v>2</v>
      </c>
      <c r="G813" t="s">
        <v>25</v>
      </c>
      <c r="H813" t="s">
        <v>58</v>
      </c>
      <c r="I813" t="s">
        <v>31</v>
      </c>
      <c r="J813" t="s">
        <v>40</v>
      </c>
      <c r="K813" t="s">
        <v>29</v>
      </c>
      <c r="L813" t="s">
        <v>30</v>
      </c>
      <c r="M813" t="s">
        <v>27</v>
      </c>
      <c r="N813" t="s">
        <v>32</v>
      </c>
      <c r="O813">
        <v>7351</v>
      </c>
      <c r="P813">
        <v>7</v>
      </c>
      <c r="Q813" t="s">
        <v>36</v>
      </c>
      <c r="R813">
        <v>16</v>
      </c>
      <c r="S813" t="s">
        <v>33</v>
      </c>
      <c r="T813" t="s">
        <v>29</v>
      </c>
      <c r="U813">
        <v>2</v>
      </c>
      <c r="V813" t="s">
        <v>44</v>
      </c>
      <c r="W813" t="str">
        <f>IF(HR_Data[[#This Row],[age]]&lt;25,"Under 25",IF(HR_Data[[#This Row],[age]]&lt;35,"25-34",IF(HR_Data[[#This Row],[age]]&lt;45,"35-44",IF(HR_Data[[#This Row],[age]]&lt;55,"45-54","55+"))))</f>
        <v>35-44</v>
      </c>
      <c r="X813" t="str">
        <f t="shared" si="12"/>
        <v>5,000-7,999</v>
      </c>
    </row>
    <row r="814" spans="1:24" x14ac:dyDescent="0.3">
      <c r="A814">
        <v>1126</v>
      </c>
      <c r="B814">
        <v>43</v>
      </c>
      <c r="C814" t="s">
        <v>36</v>
      </c>
      <c r="D814" t="s">
        <v>37</v>
      </c>
      <c r="E814" t="s">
        <v>38</v>
      </c>
      <c r="F814">
        <v>27</v>
      </c>
      <c r="G814" t="s">
        <v>50</v>
      </c>
      <c r="H814" t="s">
        <v>26</v>
      </c>
      <c r="I814" t="s">
        <v>29</v>
      </c>
      <c r="J814" t="s">
        <v>28</v>
      </c>
      <c r="K814" t="s">
        <v>29</v>
      </c>
      <c r="L814" t="s">
        <v>52</v>
      </c>
      <c r="M814" t="s">
        <v>34</v>
      </c>
      <c r="N814" t="s">
        <v>42</v>
      </c>
      <c r="O814">
        <v>10820</v>
      </c>
      <c r="P814">
        <v>8</v>
      </c>
      <c r="Q814" t="s">
        <v>36</v>
      </c>
      <c r="R814">
        <v>11</v>
      </c>
      <c r="S814" t="s">
        <v>33</v>
      </c>
      <c r="T814" t="s">
        <v>29</v>
      </c>
      <c r="U814">
        <v>1</v>
      </c>
      <c r="V814" t="s">
        <v>44</v>
      </c>
      <c r="W814" t="str">
        <f>IF(HR_Data[[#This Row],[age]]&lt;25,"Under 25",IF(HR_Data[[#This Row],[age]]&lt;35,"25-34",IF(HR_Data[[#This Row],[age]]&lt;45,"35-44",IF(HR_Data[[#This Row],[age]]&lt;55,"45-54","55+"))))</f>
        <v>35-44</v>
      </c>
      <c r="X814" t="str">
        <f t="shared" si="12"/>
        <v>8,000+</v>
      </c>
    </row>
    <row r="815" spans="1:24" x14ac:dyDescent="0.3">
      <c r="A815">
        <v>1127</v>
      </c>
      <c r="B815">
        <v>39</v>
      </c>
      <c r="C815" t="s">
        <v>22</v>
      </c>
      <c r="D815" t="s">
        <v>37</v>
      </c>
      <c r="E815" t="s">
        <v>38</v>
      </c>
      <c r="F815">
        <v>2</v>
      </c>
      <c r="G815" t="s">
        <v>50</v>
      </c>
      <c r="H815" t="s">
        <v>26</v>
      </c>
      <c r="I815" t="s">
        <v>34</v>
      </c>
      <c r="J815" t="s">
        <v>40</v>
      </c>
      <c r="K815" t="s">
        <v>29</v>
      </c>
      <c r="L815" t="s">
        <v>53</v>
      </c>
      <c r="M815" t="s">
        <v>31</v>
      </c>
      <c r="N815" t="s">
        <v>51</v>
      </c>
      <c r="O815">
        <v>12169</v>
      </c>
      <c r="P815">
        <v>7</v>
      </c>
      <c r="Q815" t="s">
        <v>36</v>
      </c>
      <c r="R815">
        <v>11</v>
      </c>
      <c r="S815" t="s">
        <v>33</v>
      </c>
      <c r="T815" t="s">
        <v>31</v>
      </c>
      <c r="U815">
        <v>4</v>
      </c>
      <c r="V815" t="s">
        <v>44</v>
      </c>
      <c r="W815" t="str">
        <f>IF(HR_Data[[#This Row],[age]]&lt;25,"Under 25",IF(HR_Data[[#This Row],[age]]&lt;35,"25-34",IF(HR_Data[[#This Row],[age]]&lt;45,"35-44",IF(HR_Data[[#This Row],[age]]&lt;55,"45-54","55+"))))</f>
        <v>35-44</v>
      </c>
      <c r="X815" t="str">
        <f t="shared" si="12"/>
        <v>8,000+</v>
      </c>
    </row>
    <row r="816" spans="1:24" x14ac:dyDescent="0.3">
      <c r="A816">
        <v>1128</v>
      </c>
      <c r="B816">
        <v>40</v>
      </c>
      <c r="C816" t="s">
        <v>36</v>
      </c>
      <c r="D816" t="s">
        <v>23</v>
      </c>
      <c r="E816" t="s">
        <v>38</v>
      </c>
      <c r="F816">
        <v>14</v>
      </c>
      <c r="G816" t="s">
        <v>50</v>
      </c>
      <c r="H816" t="s">
        <v>48</v>
      </c>
      <c r="I816" t="s">
        <v>29</v>
      </c>
      <c r="J816" t="s">
        <v>40</v>
      </c>
      <c r="K816" t="s">
        <v>27</v>
      </c>
      <c r="L816" t="s">
        <v>57</v>
      </c>
      <c r="M816" t="s">
        <v>29</v>
      </c>
      <c r="N816" t="s">
        <v>32</v>
      </c>
      <c r="O816">
        <v>19626</v>
      </c>
      <c r="P816">
        <v>1</v>
      </c>
      <c r="Q816" t="s">
        <v>36</v>
      </c>
      <c r="R816">
        <v>14</v>
      </c>
      <c r="S816" t="s">
        <v>33</v>
      </c>
      <c r="T816" t="s">
        <v>34</v>
      </c>
      <c r="U816">
        <v>2</v>
      </c>
      <c r="V816" t="s">
        <v>59</v>
      </c>
      <c r="W816" t="str">
        <f>IF(HR_Data[[#This Row],[age]]&lt;25,"Under 25",IF(HR_Data[[#This Row],[age]]&lt;35,"25-34",IF(HR_Data[[#This Row],[age]]&lt;45,"35-44",IF(HR_Data[[#This Row],[age]]&lt;55,"45-54","55+"))))</f>
        <v>35-44</v>
      </c>
      <c r="X816" t="str">
        <f t="shared" si="12"/>
        <v>8,000+</v>
      </c>
    </row>
    <row r="817" spans="1:24" x14ac:dyDescent="0.3">
      <c r="A817">
        <v>1131</v>
      </c>
      <c r="B817">
        <v>21</v>
      </c>
      <c r="C817" t="s">
        <v>36</v>
      </c>
      <c r="D817" t="s">
        <v>23</v>
      </c>
      <c r="E817" t="s">
        <v>38</v>
      </c>
      <c r="F817">
        <v>1</v>
      </c>
      <c r="G817" t="s">
        <v>39</v>
      </c>
      <c r="H817" t="s">
        <v>60</v>
      </c>
      <c r="I817" t="s">
        <v>31</v>
      </c>
      <c r="J817" t="s">
        <v>28</v>
      </c>
      <c r="K817" t="s">
        <v>27</v>
      </c>
      <c r="L817" t="s">
        <v>41</v>
      </c>
      <c r="M817" t="s">
        <v>27</v>
      </c>
      <c r="N817" t="s">
        <v>32</v>
      </c>
      <c r="O817">
        <v>2070</v>
      </c>
      <c r="P817">
        <v>1</v>
      </c>
      <c r="Q817" t="s">
        <v>22</v>
      </c>
      <c r="R817">
        <v>11</v>
      </c>
      <c r="S817" t="s">
        <v>33</v>
      </c>
      <c r="T817" t="s">
        <v>29</v>
      </c>
      <c r="U817">
        <v>6</v>
      </c>
      <c r="V817" t="s">
        <v>59</v>
      </c>
      <c r="W817" t="str">
        <f>IF(HR_Data[[#This Row],[age]]&lt;25,"Under 25",IF(HR_Data[[#This Row],[age]]&lt;35,"25-34",IF(HR_Data[[#This Row],[age]]&lt;45,"35-44",IF(HR_Data[[#This Row],[age]]&lt;55,"45-54","55+"))))</f>
        <v>Under 25</v>
      </c>
      <c r="X817" t="str">
        <f t="shared" si="12"/>
        <v>Below 3,000</v>
      </c>
    </row>
    <row r="818" spans="1:24" x14ac:dyDescent="0.3">
      <c r="A818">
        <v>1132</v>
      </c>
      <c r="B818">
        <v>39</v>
      </c>
      <c r="C818" t="s">
        <v>36</v>
      </c>
      <c r="D818" t="s">
        <v>54</v>
      </c>
      <c r="E818" t="s">
        <v>38</v>
      </c>
      <c r="F818">
        <v>9</v>
      </c>
      <c r="G818" t="s">
        <v>50</v>
      </c>
      <c r="H818" t="s">
        <v>26</v>
      </c>
      <c r="I818" t="s">
        <v>29</v>
      </c>
      <c r="J818" t="s">
        <v>40</v>
      </c>
      <c r="K818" t="s">
        <v>29</v>
      </c>
      <c r="L818" t="s">
        <v>46</v>
      </c>
      <c r="M818" t="s">
        <v>27</v>
      </c>
      <c r="N818" t="s">
        <v>32</v>
      </c>
      <c r="O818">
        <v>6782</v>
      </c>
      <c r="P818">
        <v>9</v>
      </c>
      <c r="Q818" t="s">
        <v>36</v>
      </c>
      <c r="R818">
        <v>15</v>
      </c>
      <c r="S818" t="s">
        <v>33</v>
      </c>
      <c r="T818" t="s">
        <v>29</v>
      </c>
      <c r="U818">
        <v>2</v>
      </c>
      <c r="V818" t="s">
        <v>49</v>
      </c>
      <c r="W818" t="str">
        <f>IF(HR_Data[[#This Row],[age]]&lt;25,"Under 25",IF(HR_Data[[#This Row],[age]]&lt;35,"25-34",IF(HR_Data[[#This Row],[age]]&lt;45,"35-44",IF(HR_Data[[#This Row],[age]]&lt;55,"45-54","55+"))))</f>
        <v>35-44</v>
      </c>
      <c r="X818" t="str">
        <f t="shared" si="12"/>
        <v>5,000-7,999</v>
      </c>
    </row>
    <row r="819" spans="1:24" x14ac:dyDescent="0.3">
      <c r="A819">
        <v>1133</v>
      </c>
      <c r="B819">
        <v>36</v>
      </c>
      <c r="C819" t="s">
        <v>36</v>
      </c>
      <c r="D819" t="s">
        <v>54</v>
      </c>
      <c r="E819" t="s">
        <v>38</v>
      </c>
      <c r="F819">
        <v>18</v>
      </c>
      <c r="G819" t="s">
        <v>47</v>
      </c>
      <c r="H819" t="s">
        <v>26</v>
      </c>
      <c r="I819" t="s">
        <v>34</v>
      </c>
      <c r="J819" t="s">
        <v>40</v>
      </c>
      <c r="K819" t="s">
        <v>29</v>
      </c>
      <c r="L819" t="s">
        <v>52</v>
      </c>
      <c r="M819" t="s">
        <v>31</v>
      </c>
      <c r="N819" t="s">
        <v>32</v>
      </c>
      <c r="O819">
        <v>7779</v>
      </c>
      <c r="P819">
        <v>2</v>
      </c>
      <c r="Q819" t="s">
        <v>36</v>
      </c>
      <c r="R819">
        <v>20</v>
      </c>
      <c r="S819" t="s">
        <v>43</v>
      </c>
      <c r="T819" t="s">
        <v>34</v>
      </c>
      <c r="U819">
        <v>0</v>
      </c>
      <c r="V819" t="s">
        <v>44</v>
      </c>
      <c r="W819" t="str">
        <f>IF(HR_Data[[#This Row],[age]]&lt;25,"Under 25",IF(HR_Data[[#This Row],[age]]&lt;35,"25-34",IF(HR_Data[[#This Row],[age]]&lt;45,"35-44",IF(HR_Data[[#This Row],[age]]&lt;55,"45-54","55+"))))</f>
        <v>35-44</v>
      </c>
      <c r="X819" t="str">
        <f t="shared" si="12"/>
        <v>5,000-7,999</v>
      </c>
    </row>
    <row r="820" spans="1:24" x14ac:dyDescent="0.3">
      <c r="A820">
        <v>1135</v>
      </c>
      <c r="B820">
        <v>31</v>
      </c>
      <c r="C820" t="s">
        <v>36</v>
      </c>
      <c r="D820" t="s">
        <v>37</v>
      </c>
      <c r="E820" t="s">
        <v>24</v>
      </c>
      <c r="F820">
        <v>20</v>
      </c>
      <c r="G820" t="s">
        <v>50</v>
      </c>
      <c r="H820" t="s">
        <v>26</v>
      </c>
      <c r="I820" t="s">
        <v>29</v>
      </c>
      <c r="J820" t="s">
        <v>40</v>
      </c>
      <c r="K820" t="s">
        <v>31</v>
      </c>
      <c r="L820" t="s">
        <v>56</v>
      </c>
      <c r="M820" t="s">
        <v>31</v>
      </c>
      <c r="N820" t="s">
        <v>42</v>
      </c>
      <c r="O820">
        <v>2791</v>
      </c>
      <c r="P820">
        <v>0</v>
      </c>
      <c r="Q820" t="s">
        <v>36</v>
      </c>
      <c r="R820">
        <v>12</v>
      </c>
      <c r="S820" t="s">
        <v>33</v>
      </c>
      <c r="T820" t="s">
        <v>34</v>
      </c>
      <c r="U820">
        <v>4</v>
      </c>
      <c r="V820" t="s">
        <v>44</v>
      </c>
      <c r="W820" t="str">
        <f>IF(HR_Data[[#This Row],[age]]&lt;25,"Under 25",IF(HR_Data[[#This Row],[age]]&lt;35,"25-34",IF(HR_Data[[#This Row],[age]]&lt;45,"35-44",IF(HR_Data[[#This Row],[age]]&lt;55,"45-54","55+"))))</f>
        <v>25-34</v>
      </c>
      <c r="X820" t="str">
        <f t="shared" si="12"/>
        <v>Below 3,000</v>
      </c>
    </row>
    <row r="821" spans="1:24" x14ac:dyDescent="0.3">
      <c r="A821">
        <v>1136</v>
      </c>
      <c r="B821">
        <v>28</v>
      </c>
      <c r="C821" t="s">
        <v>36</v>
      </c>
      <c r="D821" t="s">
        <v>23</v>
      </c>
      <c r="E821" t="s">
        <v>38</v>
      </c>
      <c r="F821">
        <v>2</v>
      </c>
      <c r="G821" t="s">
        <v>39</v>
      </c>
      <c r="H821" t="s">
        <v>26</v>
      </c>
      <c r="I821" t="s">
        <v>34</v>
      </c>
      <c r="J821" t="s">
        <v>40</v>
      </c>
      <c r="K821" t="s">
        <v>27</v>
      </c>
      <c r="L821" t="s">
        <v>41</v>
      </c>
      <c r="M821" t="s">
        <v>27</v>
      </c>
      <c r="N821" t="s">
        <v>42</v>
      </c>
      <c r="O821">
        <v>3201</v>
      </c>
      <c r="P821">
        <v>0</v>
      </c>
      <c r="Q821" t="s">
        <v>36</v>
      </c>
      <c r="R821">
        <v>17</v>
      </c>
      <c r="S821" t="s">
        <v>33</v>
      </c>
      <c r="T821" t="s">
        <v>34</v>
      </c>
      <c r="U821">
        <v>2</v>
      </c>
      <c r="V821" t="s">
        <v>35</v>
      </c>
      <c r="W821" t="str">
        <f>IF(HR_Data[[#This Row],[age]]&lt;25,"Under 25",IF(HR_Data[[#This Row],[age]]&lt;35,"25-34",IF(HR_Data[[#This Row],[age]]&lt;45,"35-44",IF(HR_Data[[#This Row],[age]]&lt;55,"45-54","55+"))))</f>
        <v>25-34</v>
      </c>
      <c r="X821" t="str">
        <f t="shared" si="12"/>
        <v>3,000-4,999</v>
      </c>
    </row>
    <row r="822" spans="1:24" x14ac:dyDescent="0.3">
      <c r="A822">
        <v>1137</v>
      </c>
      <c r="B822">
        <v>35</v>
      </c>
      <c r="C822" t="s">
        <v>36</v>
      </c>
      <c r="D822" t="s">
        <v>37</v>
      </c>
      <c r="E822" t="s">
        <v>24</v>
      </c>
      <c r="F822">
        <v>11</v>
      </c>
      <c r="G822" t="s">
        <v>25</v>
      </c>
      <c r="H822" t="s">
        <v>58</v>
      </c>
      <c r="I822" t="s">
        <v>31</v>
      </c>
      <c r="J822" t="s">
        <v>40</v>
      </c>
      <c r="K822" t="s">
        <v>29</v>
      </c>
      <c r="L822" t="s">
        <v>30</v>
      </c>
      <c r="M822" t="s">
        <v>31</v>
      </c>
      <c r="N822" t="s">
        <v>51</v>
      </c>
      <c r="O822">
        <v>4968</v>
      </c>
      <c r="P822">
        <v>1</v>
      </c>
      <c r="Q822" t="s">
        <v>36</v>
      </c>
      <c r="R822">
        <v>11</v>
      </c>
      <c r="S822" t="s">
        <v>33</v>
      </c>
      <c r="T822" t="s">
        <v>31</v>
      </c>
      <c r="U822">
        <v>3</v>
      </c>
      <c r="V822" t="s">
        <v>44</v>
      </c>
      <c r="W822" t="str">
        <f>IF(HR_Data[[#This Row],[age]]&lt;25,"Under 25",IF(HR_Data[[#This Row],[age]]&lt;35,"25-34",IF(HR_Data[[#This Row],[age]]&lt;45,"35-44",IF(HR_Data[[#This Row],[age]]&lt;55,"45-54","55+"))))</f>
        <v>35-44</v>
      </c>
      <c r="X822" t="str">
        <f t="shared" si="12"/>
        <v>3,000-4,999</v>
      </c>
    </row>
    <row r="823" spans="1:24" x14ac:dyDescent="0.3">
      <c r="A823">
        <v>1138</v>
      </c>
      <c r="B823">
        <v>49</v>
      </c>
      <c r="C823" t="s">
        <v>36</v>
      </c>
      <c r="D823" t="s">
        <v>23</v>
      </c>
      <c r="E823" t="s">
        <v>24</v>
      </c>
      <c r="F823">
        <v>8</v>
      </c>
      <c r="G823" t="s">
        <v>47</v>
      </c>
      <c r="H823" t="s">
        <v>60</v>
      </c>
      <c r="I823" t="s">
        <v>31</v>
      </c>
      <c r="J823" t="s">
        <v>40</v>
      </c>
      <c r="K823" t="s">
        <v>27</v>
      </c>
      <c r="L823" t="s">
        <v>30</v>
      </c>
      <c r="M823" t="s">
        <v>27</v>
      </c>
      <c r="N823" t="s">
        <v>42</v>
      </c>
      <c r="O823">
        <v>13120</v>
      </c>
      <c r="P823">
        <v>6</v>
      </c>
      <c r="Q823" t="s">
        <v>36</v>
      </c>
      <c r="R823">
        <v>17</v>
      </c>
      <c r="S823" t="s">
        <v>33</v>
      </c>
      <c r="T823" t="s">
        <v>27</v>
      </c>
      <c r="U823">
        <v>3</v>
      </c>
      <c r="V823" t="s">
        <v>44</v>
      </c>
      <c r="W823" t="str">
        <f>IF(HR_Data[[#This Row],[age]]&lt;25,"Under 25",IF(HR_Data[[#This Row],[age]]&lt;35,"25-34",IF(HR_Data[[#This Row],[age]]&lt;45,"35-44",IF(HR_Data[[#This Row],[age]]&lt;55,"45-54","55+"))))</f>
        <v>45-54</v>
      </c>
      <c r="X823" t="str">
        <f t="shared" si="12"/>
        <v>8,000+</v>
      </c>
    </row>
    <row r="824" spans="1:24" x14ac:dyDescent="0.3">
      <c r="A824">
        <v>1140</v>
      </c>
      <c r="B824">
        <v>34</v>
      </c>
      <c r="C824" t="s">
        <v>36</v>
      </c>
      <c r="D824" t="s">
        <v>37</v>
      </c>
      <c r="E824" t="s">
        <v>38</v>
      </c>
      <c r="F824">
        <v>2</v>
      </c>
      <c r="G824" t="s">
        <v>25</v>
      </c>
      <c r="H824" t="s">
        <v>26</v>
      </c>
      <c r="I824" t="s">
        <v>31</v>
      </c>
      <c r="J824" t="s">
        <v>40</v>
      </c>
      <c r="K824" t="s">
        <v>29</v>
      </c>
      <c r="L824" t="s">
        <v>52</v>
      </c>
      <c r="M824" t="s">
        <v>29</v>
      </c>
      <c r="N824" t="s">
        <v>32</v>
      </c>
      <c r="O824">
        <v>4033</v>
      </c>
      <c r="P824">
        <v>2</v>
      </c>
      <c r="Q824" t="s">
        <v>36</v>
      </c>
      <c r="R824">
        <v>11</v>
      </c>
      <c r="S824" t="s">
        <v>33</v>
      </c>
      <c r="T824" t="s">
        <v>31</v>
      </c>
      <c r="U824">
        <v>3</v>
      </c>
      <c r="V824" t="s">
        <v>49</v>
      </c>
      <c r="W824" t="str">
        <f>IF(HR_Data[[#This Row],[age]]&lt;25,"Under 25",IF(HR_Data[[#This Row],[age]]&lt;35,"25-34",IF(HR_Data[[#This Row],[age]]&lt;45,"35-44",IF(HR_Data[[#This Row],[age]]&lt;55,"45-54","55+"))))</f>
        <v>25-34</v>
      </c>
      <c r="X824" t="str">
        <f t="shared" si="12"/>
        <v>3,000-4,999</v>
      </c>
    </row>
    <row r="825" spans="1:24" x14ac:dyDescent="0.3">
      <c r="A825">
        <v>1143</v>
      </c>
      <c r="B825">
        <v>29</v>
      </c>
      <c r="C825" t="s">
        <v>36</v>
      </c>
      <c r="D825" t="s">
        <v>37</v>
      </c>
      <c r="E825" t="s">
        <v>38</v>
      </c>
      <c r="F825">
        <v>10</v>
      </c>
      <c r="G825" t="s">
        <v>50</v>
      </c>
      <c r="H825" t="s">
        <v>26</v>
      </c>
      <c r="I825" t="s">
        <v>31</v>
      </c>
      <c r="J825" t="s">
        <v>28</v>
      </c>
      <c r="K825" t="s">
        <v>29</v>
      </c>
      <c r="L825" t="s">
        <v>41</v>
      </c>
      <c r="M825" t="s">
        <v>27</v>
      </c>
      <c r="N825" t="s">
        <v>51</v>
      </c>
      <c r="O825">
        <v>3291</v>
      </c>
      <c r="P825">
        <v>0</v>
      </c>
      <c r="Q825" t="s">
        <v>36</v>
      </c>
      <c r="R825">
        <v>14</v>
      </c>
      <c r="S825" t="s">
        <v>33</v>
      </c>
      <c r="T825" t="s">
        <v>31</v>
      </c>
      <c r="U825">
        <v>2</v>
      </c>
      <c r="V825" t="s">
        <v>49</v>
      </c>
      <c r="W825" t="str">
        <f>IF(HR_Data[[#This Row],[age]]&lt;25,"Under 25",IF(HR_Data[[#This Row],[age]]&lt;35,"25-34",IF(HR_Data[[#This Row],[age]]&lt;45,"35-44",IF(HR_Data[[#This Row],[age]]&lt;55,"45-54","55+"))))</f>
        <v>25-34</v>
      </c>
      <c r="X825" t="str">
        <f t="shared" si="12"/>
        <v>3,000-4,999</v>
      </c>
    </row>
    <row r="826" spans="1:24" x14ac:dyDescent="0.3">
      <c r="A826">
        <v>1148</v>
      </c>
      <c r="B826">
        <v>42</v>
      </c>
      <c r="C826" t="s">
        <v>36</v>
      </c>
      <c r="D826" t="s">
        <v>23</v>
      </c>
      <c r="E826" t="s">
        <v>38</v>
      </c>
      <c r="F826">
        <v>29</v>
      </c>
      <c r="G826" t="s">
        <v>50</v>
      </c>
      <c r="H826" t="s">
        <v>48</v>
      </c>
      <c r="I826" t="s">
        <v>27</v>
      </c>
      <c r="J826" t="s">
        <v>40</v>
      </c>
      <c r="K826" t="s">
        <v>34</v>
      </c>
      <c r="L826" t="s">
        <v>46</v>
      </c>
      <c r="M826" t="s">
        <v>31</v>
      </c>
      <c r="N826" t="s">
        <v>32</v>
      </c>
      <c r="O826">
        <v>4272</v>
      </c>
      <c r="P826">
        <v>4</v>
      </c>
      <c r="Q826" t="s">
        <v>36</v>
      </c>
      <c r="R826">
        <v>19</v>
      </c>
      <c r="S826" t="s">
        <v>33</v>
      </c>
      <c r="T826" t="s">
        <v>34</v>
      </c>
      <c r="U826">
        <v>3</v>
      </c>
      <c r="V826" t="s">
        <v>44</v>
      </c>
      <c r="W826" t="str">
        <f>IF(HR_Data[[#This Row],[age]]&lt;25,"Under 25",IF(HR_Data[[#This Row],[age]]&lt;35,"25-34",IF(HR_Data[[#This Row],[age]]&lt;45,"35-44",IF(HR_Data[[#This Row],[age]]&lt;55,"45-54","55+"))))</f>
        <v>35-44</v>
      </c>
      <c r="X826" t="str">
        <f t="shared" si="12"/>
        <v>3,000-4,999</v>
      </c>
    </row>
    <row r="827" spans="1:24" x14ac:dyDescent="0.3">
      <c r="A827">
        <v>1150</v>
      </c>
      <c r="B827">
        <v>29</v>
      </c>
      <c r="C827" t="s">
        <v>36</v>
      </c>
      <c r="D827" t="s">
        <v>23</v>
      </c>
      <c r="E827" t="s">
        <v>38</v>
      </c>
      <c r="F827">
        <v>8</v>
      </c>
      <c r="G827" t="s">
        <v>39</v>
      </c>
      <c r="H827" t="s">
        <v>48</v>
      </c>
      <c r="I827" t="s">
        <v>27</v>
      </c>
      <c r="J827" t="s">
        <v>40</v>
      </c>
      <c r="K827" t="s">
        <v>27</v>
      </c>
      <c r="L827" t="s">
        <v>52</v>
      </c>
      <c r="M827" t="s">
        <v>31</v>
      </c>
      <c r="N827" t="s">
        <v>42</v>
      </c>
      <c r="O827">
        <v>5056</v>
      </c>
      <c r="P827">
        <v>1</v>
      </c>
      <c r="Q827" t="s">
        <v>22</v>
      </c>
      <c r="R827">
        <v>15</v>
      </c>
      <c r="S827" t="s">
        <v>33</v>
      </c>
      <c r="T827" t="s">
        <v>29</v>
      </c>
      <c r="U827">
        <v>2</v>
      </c>
      <c r="V827" t="s">
        <v>49</v>
      </c>
      <c r="W827" t="str">
        <f>IF(HR_Data[[#This Row],[age]]&lt;25,"Under 25",IF(HR_Data[[#This Row],[age]]&lt;35,"25-34",IF(HR_Data[[#This Row],[age]]&lt;45,"35-44",IF(HR_Data[[#This Row],[age]]&lt;55,"45-54","55+"))))</f>
        <v>25-34</v>
      </c>
      <c r="X827" t="str">
        <f t="shared" si="12"/>
        <v>5,000-7,999</v>
      </c>
    </row>
    <row r="828" spans="1:24" x14ac:dyDescent="0.3">
      <c r="A828">
        <v>1152</v>
      </c>
      <c r="B828">
        <v>38</v>
      </c>
      <c r="C828" t="s">
        <v>36</v>
      </c>
      <c r="D828" t="s">
        <v>23</v>
      </c>
      <c r="E828" t="s">
        <v>62</v>
      </c>
      <c r="F828">
        <v>1</v>
      </c>
      <c r="G828" t="s">
        <v>50</v>
      </c>
      <c r="H828" t="s">
        <v>62</v>
      </c>
      <c r="I828" t="s">
        <v>29</v>
      </c>
      <c r="J828" t="s">
        <v>40</v>
      </c>
      <c r="K828" t="s">
        <v>31</v>
      </c>
      <c r="L828" t="s">
        <v>62</v>
      </c>
      <c r="M828" t="s">
        <v>29</v>
      </c>
      <c r="N828" t="s">
        <v>42</v>
      </c>
      <c r="O828">
        <v>2844</v>
      </c>
      <c r="P828">
        <v>1</v>
      </c>
      <c r="Q828" t="s">
        <v>36</v>
      </c>
      <c r="R828">
        <v>13</v>
      </c>
      <c r="S828" t="s">
        <v>33</v>
      </c>
      <c r="T828" t="s">
        <v>31</v>
      </c>
      <c r="U828">
        <v>2</v>
      </c>
      <c r="V828" t="s">
        <v>59</v>
      </c>
      <c r="W828" t="str">
        <f>IF(HR_Data[[#This Row],[age]]&lt;25,"Under 25",IF(HR_Data[[#This Row],[age]]&lt;35,"25-34",IF(HR_Data[[#This Row],[age]]&lt;45,"35-44",IF(HR_Data[[#This Row],[age]]&lt;55,"45-54","55+"))))</f>
        <v>35-44</v>
      </c>
      <c r="X828" t="str">
        <f t="shared" si="12"/>
        <v>Below 3,000</v>
      </c>
    </row>
    <row r="829" spans="1:24" x14ac:dyDescent="0.3">
      <c r="A829">
        <v>1154</v>
      </c>
      <c r="B829">
        <v>28</v>
      </c>
      <c r="C829" t="s">
        <v>36</v>
      </c>
      <c r="D829" t="s">
        <v>37</v>
      </c>
      <c r="E829" t="s">
        <v>38</v>
      </c>
      <c r="F829">
        <v>6</v>
      </c>
      <c r="G829" t="s">
        <v>50</v>
      </c>
      <c r="H829" t="s">
        <v>26</v>
      </c>
      <c r="I829" t="s">
        <v>29</v>
      </c>
      <c r="J829" t="s">
        <v>40</v>
      </c>
      <c r="K829" t="s">
        <v>27</v>
      </c>
      <c r="L829" t="s">
        <v>41</v>
      </c>
      <c r="M829" t="s">
        <v>29</v>
      </c>
      <c r="N829" t="s">
        <v>51</v>
      </c>
      <c r="O829">
        <v>2703</v>
      </c>
      <c r="P829">
        <v>1</v>
      </c>
      <c r="Q829" t="s">
        <v>22</v>
      </c>
      <c r="R829">
        <v>14</v>
      </c>
      <c r="S829" t="s">
        <v>33</v>
      </c>
      <c r="T829" t="s">
        <v>31</v>
      </c>
      <c r="U829">
        <v>2</v>
      </c>
      <c r="V829" t="s">
        <v>44</v>
      </c>
      <c r="W829" t="str">
        <f>IF(HR_Data[[#This Row],[age]]&lt;25,"Under 25",IF(HR_Data[[#This Row],[age]]&lt;35,"25-34",IF(HR_Data[[#This Row],[age]]&lt;45,"35-44",IF(HR_Data[[#This Row],[age]]&lt;55,"45-54","55+"))))</f>
        <v>25-34</v>
      </c>
      <c r="X829" t="str">
        <f t="shared" si="12"/>
        <v>Below 3,000</v>
      </c>
    </row>
    <row r="830" spans="1:24" x14ac:dyDescent="0.3">
      <c r="A830">
        <v>1156</v>
      </c>
      <c r="B830">
        <v>18</v>
      </c>
      <c r="C830" t="s">
        <v>22</v>
      </c>
      <c r="D830" t="s">
        <v>54</v>
      </c>
      <c r="E830" t="s">
        <v>38</v>
      </c>
      <c r="F830">
        <v>8</v>
      </c>
      <c r="G830" t="s">
        <v>39</v>
      </c>
      <c r="H830" t="s">
        <v>48</v>
      </c>
      <c r="I830" t="s">
        <v>29</v>
      </c>
      <c r="J830" t="s">
        <v>40</v>
      </c>
      <c r="K830" t="s">
        <v>29</v>
      </c>
      <c r="L830" t="s">
        <v>46</v>
      </c>
      <c r="M830" t="s">
        <v>29</v>
      </c>
      <c r="N830" t="s">
        <v>32</v>
      </c>
      <c r="O830">
        <v>1904</v>
      </c>
      <c r="P830">
        <v>1</v>
      </c>
      <c r="Q830" t="s">
        <v>36</v>
      </c>
      <c r="R830">
        <v>12</v>
      </c>
      <c r="S830" t="s">
        <v>33</v>
      </c>
      <c r="T830" t="s">
        <v>31</v>
      </c>
      <c r="U830">
        <v>0</v>
      </c>
      <c r="V830" t="s">
        <v>44</v>
      </c>
      <c r="W830" t="str">
        <f>IF(HR_Data[[#This Row],[age]]&lt;25,"Under 25",IF(HR_Data[[#This Row],[age]]&lt;35,"25-34",IF(HR_Data[[#This Row],[age]]&lt;45,"35-44",IF(HR_Data[[#This Row],[age]]&lt;55,"45-54","55+"))))</f>
        <v>Under 25</v>
      </c>
      <c r="X830" t="str">
        <f t="shared" si="12"/>
        <v>Below 3,000</v>
      </c>
    </row>
    <row r="831" spans="1:24" x14ac:dyDescent="0.3">
      <c r="A831">
        <v>1157</v>
      </c>
      <c r="B831">
        <v>33</v>
      </c>
      <c r="C831" t="s">
        <v>22</v>
      </c>
      <c r="D831" t="s">
        <v>23</v>
      </c>
      <c r="E831" t="s">
        <v>24</v>
      </c>
      <c r="F831">
        <v>9</v>
      </c>
      <c r="G831" t="s">
        <v>47</v>
      </c>
      <c r="H831" t="s">
        <v>58</v>
      </c>
      <c r="I831" t="s">
        <v>34</v>
      </c>
      <c r="J831" t="s">
        <v>28</v>
      </c>
      <c r="K831" t="s">
        <v>29</v>
      </c>
      <c r="L831" t="s">
        <v>30</v>
      </c>
      <c r="M831" t="s">
        <v>34</v>
      </c>
      <c r="N831" t="s">
        <v>32</v>
      </c>
      <c r="O831">
        <v>8224</v>
      </c>
      <c r="P831">
        <v>0</v>
      </c>
      <c r="Q831" t="s">
        <v>22</v>
      </c>
      <c r="R831">
        <v>17</v>
      </c>
      <c r="S831" t="s">
        <v>33</v>
      </c>
      <c r="T831" t="s">
        <v>34</v>
      </c>
      <c r="U831">
        <v>3</v>
      </c>
      <c r="V831" t="s">
        <v>44</v>
      </c>
      <c r="W831" t="str">
        <f>IF(HR_Data[[#This Row],[age]]&lt;25,"Under 25",IF(HR_Data[[#This Row],[age]]&lt;35,"25-34",IF(HR_Data[[#This Row],[age]]&lt;45,"35-44",IF(HR_Data[[#This Row],[age]]&lt;55,"45-54","55+"))))</f>
        <v>25-34</v>
      </c>
      <c r="X831" t="str">
        <f t="shared" si="12"/>
        <v>8,000+</v>
      </c>
    </row>
    <row r="832" spans="1:24" x14ac:dyDescent="0.3">
      <c r="A832">
        <v>1158</v>
      </c>
      <c r="B832">
        <v>41</v>
      </c>
      <c r="C832" t="s">
        <v>36</v>
      </c>
      <c r="D832" t="s">
        <v>23</v>
      </c>
      <c r="E832" t="s">
        <v>38</v>
      </c>
      <c r="F832">
        <v>12</v>
      </c>
      <c r="G832" t="s">
        <v>47</v>
      </c>
      <c r="H832" t="s">
        <v>26</v>
      </c>
      <c r="I832" t="s">
        <v>27</v>
      </c>
      <c r="J832" t="s">
        <v>40</v>
      </c>
      <c r="K832" t="s">
        <v>29</v>
      </c>
      <c r="L832" t="s">
        <v>46</v>
      </c>
      <c r="M832" t="s">
        <v>31</v>
      </c>
      <c r="N832" t="s">
        <v>42</v>
      </c>
      <c r="O832">
        <v>4766</v>
      </c>
      <c r="P832">
        <v>3</v>
      </c>
      <c r="Q832" t="s">
        <v>22</v>
      </c>
      <c r="R832">
        <v>11</v>
      </c>
      <c r="S832" t="s">
        <v>33</v>
      </c>
      <c r="T832" t="s">
        <v>34</v>
      </c>
      <c r="U832">
        <v>4</v>
      </c>
      <c r="V832" t="s">
        <v>44</v>
      </c>
      <c r="W832" t="str">
        <f>IF(HR_Data[[#This Row],[age]]&lt;25,"Under 25",IF(HR_Data[[#This Row],[age]]&lt;35,"25-34",IF(HR_Data[[#This Row],[age]]&lt;45,"35-44",IF(HR_Data[[#This Row],[age]]&lt;55,"45-54","55+"))))</f>
        <v>35-44</v>
      </c>
      <c r="X832" t="str">
        <f t="shared" si="12"/>
        <v>3,000-4,999</v>
      </c>
    </row>
    <row r="833" spans="1:24" x14ac:dyDescent="0.3">
      <c r="A833">
        <v>1160</v>
      </c>
      <c r="B833">
        <v>31</v>
      </c>
      <c r="C833" t="s">
        <v>22</v>
      </c>
      <c r="D833" t="s">
        <v>37</v>
      </c>
      <c r="E833" t="s">
        <v>38</v>
      </c>
      <c r="F833">
        <v>15</v>
      </c>
      <c r="G833" t="s">
        <v>50</v>
      </c>
      <c r="H833" t="s">
        <v>48</v>
      </c>
      <c r="I833" t="s">
        <v>29</v>
      </c>
      <c r="J833" t="s">
        <v>40</v>
      </c>
      <c r="K833" t="s">
        <v>29</v>
      </c>
      <c r="L833" t="s">
        <v>46</v>
      </c>
      <c r="M833" t="s">
        <v>29</v>
      </c>
      <c r="N833" t="s">
        <v>42</v>
      </c>
      <c r="O833">
        <v>2610</v>
      </c>
      <c r="P833">
        <v>1</v>
      </c>
      <c r="Q833" t="s">
        <v>36</v>
      </c>
      <c r="R833">
        <v>12</v>
      </c>
      <c r="S833" t="s">
        <v>33</v>
      </c>
      <c r="T833" t="s">
        <v>29</v>
      </c>
      <c r="U833">
        <v>5</v>
      </c>
      <c r="V833" t="s">
        <v>49</v>
      </c>
      <c r="W833" t="str">
        <f>IF(HR_Data[[#This Row],[age]]&lt;25,"Under 25",IF(HR_Data[[#This Row],[age]]&lt;35,"25-34",IF(HR_Data[[#This Row],[age]]&lt;45,"35-44",IF(HR_Data[[#This Row],[age]]&lt;55,"45-54","55+"))))</f>
        <v>25-34</v>
      </c>
      <c r="X833" t="str">
        <f t="shared" si="12"/>
        <v>Below 3,000</v>
      </c>
    </row>
    <row r="834" spans="1:24" x14ac:dyDescent="0.3">
      <c r="A834">
        <v>1161</v>
      </c>
      <c r="B834">
        <v>37</v>
      </c>
      <c r="C834" t="s">
        <v>36</v>
      </c>
      <c r="D834" t="s">
        <v>23</v>
      </c>
      <c r="E834" t="s">
        <v>38</v>
      </c>
      <c r="F834">
        <v>25</v>
      </c>
      <c r="G834" t="s">
        <v>25</v>
      </c>
      <c r="H834" t="s">
        <v>48</v>
      </c>
      <c r="I834" t="s">
        <v>29</v>
      </c>
      <c r="J834" t="s">
        <v>28</v>
      </c>
      <c r="K834" t="s">
        <v>27</v>
      </c>
      <c r="L834" t="s">
        <v>53</v>
      </c>
      <c r="M834" t="s">
        <v>31</v>
      </c>
      <c r="N834" t="s">
        <v>51</v>
      </c>
      <c r="O834">
        <v>5731</v>
      </c>
      <c r="P834">
        <v>7</v>
      </c>
      <c r="Q834" t="s">
        <v>36</v>
      </c>
      <c r="R834">
        <v>13</v>
      </c>
      <c r="S834" t="s">
        <v>33</v>
      </c>
      <c r="T834" t="s">
        <v>29</v>
      </c>
      <c r="U834">
        <v>2</v>
      </c>
      <c r="V834" t="s">
        <v>44</v>
      </c>
      <c r="W834" t="str">
        <f>IF(HR_Data[[#This Row],[age]]&lt;25,"Under 25",IF(HR_Data[[#This Row],[age]]&lt;35,"25-34",IF(HR_Data[[#This Row],[age]]&lt;45,"35-44",IF(HR_Data[[#This Row],[age]]&lt;55,"45-54","55+"))))</f>
        <v>35-44</v>
      </c>
      <c r="X834" t="str">
        <f t="shared" si="12"/>
        <v>5,000-7,999</v>
      </c>
    </row>
    <row r="835" spans="1:24" x14ac:dyDescent="0.3">
      <c r="A835">
        <v>1162</v>
      </c>
      <c r="B835">
        <v>27</v>
      </c>
      <c r="C835" t="s">
        <v>36</v>
      </c>
      <c r="D835" t="s">
        <v>23</v>
      </c>
      <c r="E835" t="s">
        <v>38</v>
      </c>
      <c r="F835">
        <v>6</v>
      </c>
      <c r="G835" t="s">
        <v>50</v>
      </c>
      <c r="H835" t="s">
        <v>26</v>
      </c>
      <c r="I835" t="s">
        <v>31</v>
      </c>
      <c r="J835" t="s">
        <v>40</v>
      </c>
      <c r="K835" t="s">
        <v>27</v>
      </c>
      <c r="L835" t="s">
        <v>41</v>
      </c>
      <c r="M835" t="s">
        <v>29</v>
      </c>
      <c r="N835" t="s">
        <v>42</v>
      </c>
      <c r="O835">
        <v>2539</v>
      </c>
      <c r="P835">
        <v>1</v>
      </c>
      <c r="Q835" t="s">
        <v>36</v>
      </c>
      <c r="R835">
        <v>13</v>
      </c>
      <c r="S835" t="s">
        <v>33</v>
      </c>
      <c r="T835" t="s">
        <v>29</v>
      </c>
      <c r="U835">
        <v>0</v>
      </c>
      <c r="V835" t="s">
        <v>44</v>
      </c>
      <c r="W835" t="str">
        <f>IF(HR_Data[[#This Row],[age]]&lt;25,"Under 25",IF(HR_Data[[#This Row],[age]]&lt;35,"25-34",IF(HR_Data[[#This Row],[age]]&lt;45,"35-44",IF(HR_Data[[#This Row],[age]]&lt;55,"45-54","55+"))))</f>
        <v>25-34</v>
      </c>
      <c r="X835" t="str">
        <f t="shared" ref="X835:X898" si="13">IF(O835&lt;3000,"Below 3,000",IF(O835&lt;5000,"3,000-4,999",IF(O835&lt;8000,"5,000-7,999","8,000+")))</f>
        <v>Below 3,000</v>
      </c>
    </row>
    <row r="836" spans="1:24" x14ac:dyDescent="0.3">
      <c r="A836">
        <v>1163</v>
      </c>
      <c r="B836">
        <v>34</v>
      </c>
      <c r="C836" t="s">
        <v>36</v>
      </c>
      <c r="D836" t="s">
        <v>23</v>
      </c>
      <c r="E836" t="s">
        <v>24</v>
      </c>
      <c r="F836">
        <v>9</v>
      </c>
      <c r="G836" t="s">
        <v>39</v>
      </c>
      <c r="H836" t="s">
        <v>26</v>
      </c>
      <c r="I836" t="s">
        <v>27</v>
      </c>
      <c r="J836" t="s">
        <v>28</v>
      </c>
      <c r="K836" t="s">
        <v>29</v>
      </c>
      <c r="L836" t="s">
        <v>30</v>
      </c>
      <c r="M836" t="s">
        <v>29</v>
      </c>
      <c r="N836" t="s">
        <v>42</v>
      </c>
      <c r="O836">
        <v>5714</v>
      </c>
      <c r="P836">
        <v>1</v>
      </c>
      <c r="Q836" t="s">
        <v>36</v>
      </c>
      <c r="R836">
        <v>20</v>
      </c>
      <c r="S836" t="s">
        <v>43</v>
      </c>
      <c r="T836" t="s">
        <v>34</v>
      </c>
      <c r="U836">
        <v>3</v>
      </c>
      <c r="V836" t="s">
        <v>49</v>
      </c>
      <c r="W836" t="str">
        <f>IF(HR_Data[[#This Row],[age]]&lt;25,"Under 25",IF(HR_Data[[#This Row],[age]]&lt;35,"25-34",IF(HR_Data[[#This Row],[age]]&lt;45,"35-44",IF(HR_Data[[#This Row],[age]]&lt;55,"45-54","55+"))))</f>
        <v>25-34</v>
      </c>
      <c r="X836" t="str">
        <f t="shared" si="13"/>
        <v>5,000-7,999</v>
      </c>
    </row>
    <row r="837" spans="1:24" x14ac:dyDescent="0.3">
      <c r="A837">
        <v>1164</v>
      </c>
      <c r="B837">
        <v>35</v>
      </c>
      <c r="C837" t="s">
        <v>36</v>
      </c>
      <c r="D837" t="s">
        <v>23</v>
      </c>
      <c r="E837" t="s">
        <v>62</v>
      </c>
      <c r="F837">
        <v>8</v>
      </c>
      <c r="G837" t="s">
        <v>47</v>
      </c>
      <c r="H837" t="s">
        <v>60</v>
      </c>
      <c r="I837" t="s">
        <v>29</v>
      </c>
      <c r="J837" t="s">
        <v>40</v>
      </c>
      <c r="K837" t="s">
        <v>29</v>
      </c>
      <c r="L837" t="s">
        <v>62</v>
      </c>
      <c r="M837" t="s">
        <v>29</v>
      </c>
      <c r="N837" t="s">
        <v>32</v>
      </c>
      <c r="O837">
        <v>4323</v>
      </c>
      <c r="P837">
        <v>1</v>
      </c>
      <c r="Q837" t="s">
        <v>36</v>
      </c>
      <c r="R837">
        <v>17</v>
      </c>
      <c r="S837" t="s">
        <v>33</v>
      </c>
      <c r="T837" t="s">
        <v>27</v>
      </c>
      <c r="U837">
        <v>2</v>
      </c>
      <c r="V837" t="s">
        <v>35</v>
      </c>
      <c r="W837" t="str">
        <f>IF(HR_Data[[#This Row],[age]]&lt;25,"Under 25",IF(HR_Data[[#This Row],[age]]&lt;35,"25-34",IF(HR_Data[[#This Row],[age]]&lt;45,"35-44",IF(HR_Data[[#This Row],[age]]&lt;55,"45-54","55+"))))</f>
        <v>35-44</v>
      </c>
      <c r="X837" t="str">
        <f t="shared" si="13"/>
        <v>3,000-4,999</v>
      </c>
    </row>
    <row r="838" spans="1:24" x14ac:dyDescent="0.3">
      <c r="A838">
        <v>1165</v>
      </c>
      <c r="B838">
        <v>29</v>
      </c>
      <c r="C838" t="s">
        <v>22</v>
      </c>
      <c r="D838" t="s">
        <v>23</v>
      </c>
      <c r="E838" t="s">
        <v>24</v>
      </c>
      <c r="F838">
        <v>23</v>
      </c>
      <c r="G838" t="s">
        <v>39</v>
      </c>
      <c r="H838" t="s">
        <v>26</v>
      </c>
      <c r="I838" t="s">
        <v>31</v>
      </c>
      <c r="J838" t="s">
        <v>28</v>
      </c>
      <c r="K838" t="s">
        <v>27</v>
      </c>
      <c r="L838" t="s">
        <v>30</v>
      </c>
      <c r="M838" t="s">
        <v>34</v>
      </c>
      <c r="N838" t="s">
        <v>42</v>
      </c>
      <c r="O838">
        <v>7336</v>
      </c>
      <c r="P838">
        <v>1</v>
      </c>
      <c r="Q838" t="s">
        <v>36</v>
      </c>
      <c r="R838">
        <v>13</v>
      </c>
      <c r="S838" t="s">
        <v>33</v>
      </c>
      <c r="T838" t="s">
        <v>34</v>
      </c>
      <c r="U838">
        <v>3</v>
      </c>
      <c r="V838" t="s">
        <v>35</v>
      </c>
      <c r="W838" t="str">
        <f>IF(HR_Data[[#This Row],[age]]&lt;25,"Under 25",IF(HR_Data[[#This Row],[age]]&lt;35,"25-34",IF(HR_Data[[#This Row],[age]]&lt;45,"35-44",IF(HR_Data[[#This Row],[age]]&lt;55,"45-54","55+"))))</f>
        <v>25-34</v>
      </c>
      <c r="X838" t="str">
        <f t="shared" si="13"/>
        <v>5,000-7,999</v>
      </c>
    </row>
    <row r="839" spans="1:24" x14ac:dyDescent="0.3">
      <c r="A839">
        <v>1166</v>
      </c>
      <c r="B839">
        <v>40</v>
      </c>
      <c r="C839" t="s">
        <v>36</v>
      </c>
      <c r="D839" t="s">
        <v>37</v>
      </c>
      <c r="E839" t="s">
        <v>38</v>
      </c>
      <c r="F839">
        <v>9</v>
      </c>
      <c r="G839" t="s">
        <v>47</v>
      </c>
      <c r="H839" t="s">
        <v>48</v>
      </c>
      <c r="I839" t="s">
        <v>27</v>
      </c>
      <c r="J839" t="s">
        <v>28</v>
      </c>
      <c r="K839" t="s">
        <v>29</v>
      </c>
      <c r="L839" t="s">
        <v>57</v>
      </c>
      <c r="M839" t="s">
        <v>29</v>
      </c>
      <c r="N839" t="s">
        <v>32</v>
      </c>
      <c r="O839">
        <v>13499</v>
      </c>
      <c r="P839">
        <v>9</v>
      </c>
      <c r="Q839" t="s">
        <v>36</v>
      </c>
      <c r="R839">
        <v>17</v>
      </c>
      <c r="S839" t="s">
        <v>33</v>
      </c>
      <c r="T839" t="s">
        <v>29</v>
      </c>
      <c r="U839">
        <v>3</v>
      </c>
      <c r="V839" t="s">
        <v>49</v>
      </c>
      <c r="W839" t="str">
        <f>IF(HR_Data[[#This Row],[age]]&lt;25,"Under 25",IF(HR_Data[[#This Row],[age]]&lt;35,"25-34",IF(HR_Data[[#This Row],[age]]&lt;45,"35-44",IF(HR_Data[[#This Row],[age]]&lt;55,"45-54","55+"))))</f>
        <v>35-44</v>
      </c>
      <c r="X839" t="str">
        <f t="shared" si="13"/>
        <v>8,000+</v>
      </c>
    </row>
    <row r="840" spans="1:24" x14ac:dyDescent="0.3">
      <c r="A840">
        <v>1167</v>
      </c>
      <c r="B840">
        <v>42</v>
      </c>
      <c r="C840" t="s">
        <v>22</v>
      </c>
      <c r="D840" t="s">
        <v>37</v>
      </c>
      <c r="E840" t="s">
        <v>24</v>
      </c>
      <c r="F840">
        <v>12</v>
      </c>
      <c r="G840" t="s">
        <v>50</v>
      </c>
      <c r="H840" t="s">
        <v>26</v>
      </c>
      <c r="I840" t="s">
        <v>29</v>
      </c>
      <c r="J840" t="s">
        <v>40</v>
      </c>
      <c r="K840" t="s">
        <v>29</v>
      </c>
      <c r="L840" t="s">
        <v>30</v>
      </c>
      <c r="M840" t="s">
        <v>34</v>
      </c>
      <c r="N840" t="s">
        <v>32</v>
      </c>
      <c r="O840">
        <v>13758</v>
      </c>
      <c r="P840">
        <v>0</v>
      </c>
      <c r="Q840" t="s">
        <v>22</v>
      </c>
      <c r="R840">
        <v>12</v>
      </c>
      <c r="S840" t="s">
        <v>33</v>
      </c>
      <c r="T840" t="s">
        <v>27</v>
      </c>
      <c r="U840">
        <v>2</v>
      </c>
      <c r="V840" t="s">
        <v>49</v>
      </c>
      <c r="W840" t="str">
        <f>IF(HR_Data[[#This Row],[age]]&lt;25,"Under 25",IF(HR_Data[[#This Row],[age]]&lt;35,"25-34",IF(HR_Data[[#This Row],[age]]&lt;45,"35-44",IF(HR_Data[[#This Row],[age]]&lt;55,"45-54","55+"))))</f>
        <v>35-44</v>
      </c>
      <c r="X840" t="str">
        <f t="shared" si="13"/>
        <v>8,000+</v>
      </c>
    </row>
    <row r="841" spans="1:24" x14ac:dyDescent="0.3">
      <c r="A841">
        <v>1171</v>
      </c>
      <c r="B841">
        <v>42</v>
      </c>
      <c r="C841" t="s">
        <v>36</v>
      </c>
      <c r="D841" t="s">
        <v>23</v>
      </c>
      <c r="E841" t="s">
        <v>24</v>
      </c>
      <c r="F841">
        <v>4</v>
      </c>
      <c r="G841" t="s">
        <v>47</v>
      </c>
      <c r="H841" t="s">
        <v>58</v>
      </c>
      <c r="I841" t="s">
        <v>27</v>
      </c>
      <c r="J841" t="s">
        <v>40</v>
      </c>
      <c r="K841" t="s">
        <v>29</v>
      </c>
      <c r="L841" t="s">
        <v>30</v>
      </c>
      <c r="M841" t="s">
        <v>34</v>
      </c>
      <c r="N841" t="s">
        <v>32</v>
      </c>
      <c r="O841">
        <v>5155</v>
      </c>
      <c r="P841">
        <v>7</v>
      </c>
      <c r="Q841" t="s">
        <v>36</v>
      </c>
      <c r="R841">
        <v>13</v>
      </c>
      <c r="S841" t="s">
        <v>33</v>
      </c>
      <c r="T841" t="s">
        <v>31</v>
      </c>
      <c r="U841">
        <v>3</v>
      </c>
      <c r="V841" t="s">
        <v>59</v>
      </c>
      <c r="W841" t="str">
        <f>IF(HR_Data[[#This Row],[age]]&lt;25,"Under 25",IF(HR_Data[[#This Row],[age]]&lt;35,"25-34",IF(HR_Data[[#This Row],[age]]&lt;45,"35-44",IF(HR_Data[[#This Row],[age]]&lt;55,"45-54","55+"))))</f>
        <v>35-44</v>
      </c>
      <c r="X841" t="str">
        <f t="shared" si="13"/>
        <v>5,000-7,999</v>
      </c>
    </row>
    <row r="842" spans="1:24" x14ac:dyDescent="0.3">
      <c r="A842">
        <v>1172</v>
      </c>
      <c r="B842">
        <v>35</v>
      </c>
      <c r="C842" t="s">
        <v>36</v>
      </c>
      <c r="D842" t="s">
        <v>23</v>
      </c>
      <c r="E842" t="s">
        <v>38</v>
      </c>
      <c r="F842">
        <v>1</v>
      </c>
      <c r="G842" t="s">
        <v>47</v>
      </c>
      <c r="H842" t="s">
        <v>48</v>
      </c>
      <c r="I842" t="s">
        <v>31</v>
      </c>
      <c r="J842" t="s">
        <v>40</v>
      </c>
      <c r="K842" t="s">
        <v>27</v>
      </c>
      <c r="L842" t="s">
        <v>46</v>
      </c>
      <c r="M842" t="s">
        <v>29</v>
      </c>
      <c r="N842" t="s">
        <v>42</v>
      </c>
      <c r="O842">
        <v>2258</v>
      </c>
      <c r="P842">
        <v>6</v>
      </c>
      <c r="Q842" t="s">
        <v>36</v>
      </c>
      <c r="R842">
        <v>12</v>
      </c>
      <c r="S842" t="s">
        <v>33</v>
      </c>
      <c r="T842" t="s">
        <v>27</v>
      </c>
      <c r="U842">
        <v>2</v>
      </c>
      <c r="V842" t="s">
        <v>44</v>
      </c>
      <c r="W842" t="str">
        <f>IF(HR_Data[[#This Row],[age]]&lt;25,"Under 25",IF(HR_Data[[#This Row],[age]]&lt;35,"25-34",IF(HR_Data[[#This Row],[age]]&lt;45,"35-44",IF(HR_Data[[#This Row],[age]]&lt;55,"45-54","55+"))))</f>
        <v>35-44</v>
      </c>
      <c r="X842" t="str">
        <f t="shared" si="13"/>
        <v>Below 3,000</v>
      </c>
    </row>
    <row r="843" spans="1:24" x14ac:dyDescent="0.3">
      <c r="A843">
        <v>1173</v>
      </c>
      <c r="B843">
        <v>24</v>
      </c>
      <c r="C843" t="s">
        <v>36</v>
      </c>
      <c r="D843" t="s">
        <v>23</v>
      </c>
      <c r="E843" t="s">
        <v>38</v>
      </c>
      <c r="F843">
        <v>24</v>
      </c>
      <c r="G843" t="s">
        <v>50</v>
      </c>
      <c r="H843" t="s">
        <v>48</v>
      </c>
      <c r="I843" t="s">
        <v>31</v>
      </c>
      <c r="J843" t="s">
        <v>40</v>
      </c>
      <c r="K843" t="s">
        <v>29</v>
      </c>
      <c r="L843" t="s">
        <v>46</v>
      </c>
      <c r="M843" t="s">
        <v>27</v>
      </c>
      <c r="N843" t="s">
        <v>32</v>
      </c>
      <c r="O843">
        <v>3597</v>
      </c>
      <c r="P843">
        <v>8</v>
      </c>
      <c r="Q843" t="s">
        <v>36</v>
      </c>
      <c r="R843">
        <v>22</v>
      </c>
      <c r="S843" t="s">
        <v>43</v>
      </c>
      <c r="T843" t="s">
        <v>31</v>
      </c>
      <c r="U843">
        <v>2</v>
      </c>
      <c r="V843" t="s">
        <v>44</v>
      </c>
      <c r="W843" t="str">
        <f>IF(HR_Data[[#This Row],[age]]&lt;25,"Under 25",IF(HR_Data[[#This Row],[age]]&lt;35,"25-34",IF(HR_Data[[#This Row],[age]]&lt;45,"35-44",IF(HR_Data[[#This Row],[age]]&lt;55,"45-54","55+"))))</f>
        <v>Under 25</v>
      </c>
      <c r="X843" t="str">
        <f t="shared" si="13"/>
        <v>3,000-4,999</v>
      </c>
    </row>
    <row r="844" spans="1:24" x14ac:dyDescent="0.3">
      <c r="A844">
        <v>1175</v>
      </c>
      <c r="B844">
        <v>28</v>
      </c>
      <c r="C844" t="s">
        <v>22</v>
      </c>
      <c r="D844" t="s">
        <v>23</v>
      </c>
      <c r="E844" t="s">
        <v>38</v>
      </c>
      <c r="F844">
        <v>12</v>
      </c>
      <c r="G844" t="s">
        <v>39</v>
      </c>
      <c r="H844" t="s">
        <v>26</v>
      </c>
      <c r="I844" t="s">
        <v>29</v>
      </c>
      <c r="J844" t="s">
        <v>28</v>
      </c>
      <c r="K844" t="s">
        <v>29</v>
      </c>
      <c r="L844" t="s">
        <v>46</v>
      </c>
      <c r="M844" t="s">
        <v>31</v>
      </c>
      <c r="N844" t="s">
        <v>42</v>
      </c>
      <c r="O844">
        <v>2515</v>
      </c>
      <c r="P844">
        <v>1</v>
      </c>
      <c r="Q844" t="s">
        <v>22</v>
      </c>
      <c r="R844">
        <v>11</v>
      </c>
      <c r="S844" t="s">
        <v>33</v>
      </c>
      <c r="T844" t="s">
        <v>31</v>
      </c>
      <c r="U844">
        <v>4</v>
      </c>
      <c r="V844" t="s">
        <v>49</v>
      </c>
      <c r="W844" t="str">
        <f>IF(HR_Data[[#This Row],[age]]&lt;25,"Under 25",IF(HR_Data[[#This Row],[age]]&lt;35,"25-34",IF(HR_Data[[#This Row],[age]]&lt;45,"35-44",IF(HR_Data[[#This Row],[age]]&lt;55,"45-54","55+"))))</f>
        <v>25-34</v>
      </c>
      <c r="X844" t="str">
        <f t="shared" si="13"/>
        <v>Below 3,000</v>
      </c>
    </row>
    <row r="845" spans="1:24" x14ac:dyDescent="0.3">
      <c r="A845">
        <v>1177</v>
      </c>
      <c r="B845">
        <v>26</v>
      </c>
      <c r="C845" t="s">
        <v>36</v>
      </c>
      <c r="D845" t="s">
        <v>23</v>
      </c>
      <c r="E845" t="s">
        <v>38</v>
      </c>
      <c r="F845">
        <v>3</v>
      </c>
      <c r="G845" t="s">
        <v>47</v>
      </c>
      <c r="H845" t="s">
        <v>48</v>
      </c>
      <c r="I845" t="s">
        <v>34</v>
      </c>
      <c r="J845" t="s">
        <v>40</v>
      </c>
      <c r="K845" t="s">
        <v>31</v>
      </c>
      <c r="L845" t="s">
        <v>46</v>
      </c>
      <c r="M845" t="s">
        <v>31</v>
      </c>
      <c r="N845" t="s">
        <v>42</v>
      </c>
      <c r="O845">
        <v>4420</v>
      </c>
      <c r="P845">
        <v>1</v>
      </c>
      <c r="Q845" t="s">
        <v>36</v>
      </c>
      <c r="R845">
        <v>22</v>
      </c>
      <c r="S845" t="s">
        <v>43</v>
      </c>
      <c r="T845" t="s">
        <v>27</v>
      </c>
      <c r="U845">
        <v>2</v>
      </c>
      <c r="V845" t="s">
        <v>44</v>
      </c>
      <c r="W845" t="str">
        <f>IF(HR_Data[[#This Row],[age]]&lt;25,"Under 25",IF(HR_Data[[#This Row],[age]]&lt;35,"25-34",IF(HR_Data[[#This Row],[age]]&lt;45,"35-44",IF(HR_Data[[#This Row],[age]]&lt;55,"45-54","55+"))))</f>
        <v>25-34</v>
      </c>
      <c r="X845" t="str">
        <f t="shared" si="13"/>
        <v>3,000-4,999</v>
      </c>
    </row>
    <row r="846" spans="1:24" x14ac:dyDescent="0.3">
      <c r="A846">
        <v>1179</v>
      </c>
      <c r="B846">
        <v>30</v>
      </c>
      <c r="C846" t="s">
        <v>36</v>
      </c>
      <c r="D846" t="s">
        <v>23</v>
      </c>
      <c r="E846" t="s">
        <v>24</v>
      </c>
      <c r="F846">
        <v>10</v>
      </c>
      <c r="G846" t="s">
        <v>50</v>
      </c>
      <c r="H846" t="s">
        <v>58</v>
      </c>
      <c r="I846" t="s">
        <v>29</v>
      </c>
      <c r="J846" t="s">
        <v>40</v>
      </c>
      <c r="K846" t="s">
        <v>27</v>
      </c>
      <c r="L846" t="s">
        <v>30</v>
      </c>
      <c r="M846" t="s">
        <v>29</v>
      </c>
      <c r="N846" t="s">
        <v>42</v>
      </c>
      <c r="O846">
        <v>6578</v>
      </c>
      <c r="P846">
        <v>1</v>
      </c>
      <c r="Q846" t="s">
        <v>36</v>
      </c>
      <c r="R846">
        <v>18</v>
      </c>
      <c r="S846" t="s">
        <v>33</v>
      </c>
      <c r="T846" t="s">
        <v>34</v>
      </c>
      <c r="U846">
        <v>3</v>
      </c>
      <c r="V846" t="s">
        <v>44</v>
      </c>
      <c r="W846" t="str">
        <f>IF(HR_Data[[#This Row],[age]]&lt;25,"Under 25",IF(HR_Data[[#This Row],[age]]&lt;35,"25-34",IF(HR_Data[[#This Row],[age]]&lt;45,"35-44",IF(HR_Data[[#This Row],[age]]&lt;55,"45-54","55+"))))</f>
        <v>25-34</v>
      </c>
      <c r="X846" t="str">
        <f t="shared" si="13"/>
        <v>5,000-7,999</v>
      </c>
    </row>
    <row r="847" spans="1:24" x14ac:dyDescent="0.3">
      <c r="A847">
        <v>1180</v>
      </c>
      <c r="B847">
        <v>40</v>
      </c>
      <c r="C847" t="s">
        <v>36</v>
      </c>
      <c r="D847" t="s">
        <v>37</v>
      </c>
      <c r="E847" t="s">
        <v>38</v>
      </c>
      <c r="F847">
        <v>26</v>
      </c>
      <c r="G847" t="s">
        <v>25</v>
      </c>
      <c r="H847" t="s">
        <v>48</v>
      </c>
      <c r="I847" t="s">
        <v>29</v>
      </c>
      <c r="J847" t="s">
        <v>28</v>
      </c>
      <c r="K847" t="s">
        <v>27</v>
      </c>
      <c r="L847" t="s">
        <v>41</v>
      </c>
      <c r="M847" t="s">
        <v>31</v>
      </c>
      <c r="N847" t="s">
        <v>42</v>
      </c>
      <c r="O847">
        <v>4422</v>
      </c>
      <c r="P847">
        <v>3</v>
      </c>
      <c r="Q847" t="s">
        <v>22</v>
      </c>
      <c r="R847">
        <v>13</v>
      </c>
      <c r="S847" t="s">
        <v>33</v>
      </c>
      <c r="T847" t="s">
        <v>31</v>
      </c>
      <c r="U847">
        <v>3</v>
      </c>
      <c r="V847" t="s">
        <v>35</v>
      </c>
      <c r="W847" t="str">
        <f>IF(HR_Data[[#This Row],[age]]&lt;25,"Under 25",IF(HR_Data[[#This Row],[age]]&lt;35,"25-34",IF(HR_Data[[#This Row],[age]]&lt;45,"35-44",IF(HR_Data[[#This Row],[age]]&lt;55,"45-54","55+"))))</f>
        <v>35-44</v>
      </c>
      <c r="X847" t="str">
        <f t="shared" si="13"/>
        <v>3,000-4,999</v>
      </c>
    </row>
    <row r="848" spans="1:24" x14ac:dyDescent="0.3">
      <c r="A848">
        <v>1182</v>
      </c>
      <c r="B848">
        <v>35</v>
      </c>
      <c r="C848" t="s">
        <v>36</v>
      </c>
      <c r="D848" t="s">
        <v>23</v>
      </c>
      <c r="E848" t="s">
        <v>38</v>
      </c>
      <c r="F848">
        <v>2</v>
      </c>
      <c r="G848" t="s">
        <v>50</v>
      </c>
      <c r="H848" t="s">
        <v>26</v>
      </c>
      <c r="I848" t="s">
        <v>29</v>
      </c>
      <c r="J848" t="s">
        <v>40</v>
      </c>
      <c r="K848" t="s">
        <v>27</v>
      </c>
      <c r="L848" t="s">
        <v>52</v>
      </c>
      <c r="M848" t="s">
        <v>27</v>
      </c>
      <c r="N848" t="s">
        <v>51</v>
      </c>
      <c r="O848">
        <v>10274</v>
      </c>
      <c r="P848">
        <v>2</v>
      </c>
      <c r="Q848" t="s">
        <v>36</v>
      </c>
      <c r="R848">
        <v>18</v>
      </c>
      <c r="S848" t="s">
        <v>33</v>
      </c>
      <c r="T848" t="s">
        <v>27</v>
      </c>
      <c r="U848">
        <v>2</v>
      </c>
      <c r="V848" t="s">
        <v>59</v>
      </c>
      <c r="W848" t="str">
        <f>IF(HR_Data[[#This Row],[age]]&lt;25,"Under 25",IF(HR_Data[[#This Row],[age]]&lt;35,"25-34",IF(HR_Data[[#This Row],[age]]&lt;45,"35-44",IF(HR_Data[[#This Row],[age]]&lt;55,"45-54","55+"))))</f>
        <v>35-44</v>
      </c>
      <c r="X848" t="str">
        <f t="shared" si="13"/>
        <v>8,000+</v>
      </c>
    </row>
    <row r="849" spans="1:24" x14ac:dyDescent="0.3">
      <c r="A849">
        <v>1184</v>
      </c>
      <c r="B849">
        <v>34</v>
      </c>
      <c r="C849" t="s">
        <v>36</v>
      </c>
      <c r="D849" t="s">
        <v>37</v>
      </c>
      <c r="E849" t="s">
        <v>38</v>
      </c>
      <c r="F849">
        <v>1</v>
      </c>
      <c r="G849" t="s">
        <v>50</v>
      </c>
      <c r="H849" t="s">
        <v>48</v>
      </c>
      <c r="I849" t="s">
        <v>31</v>
      </c>
      <c r="J849" t="s">
        <v>40</v>
      </c>
      <c r="K849" t="s">
        <v>27</v>
      </c>
      <c r="L849" t="s">
        <v>53</v>
      </c>
      <c r="M849" t="s">
        <v>34</v>
      </c>
      <c r="N849" t="s">
        <v>32</v>
      </c>
      <c r="O849">
        <v>5343</v>
      </c>
      <c r="P849">
        <v>0</v>
      </c>
      <c r="Q849" t="s">
        <v>36</v>
      </c>
      <c r="R849">
        <v>20</v>
      </c>
      <c r="S849" t="s">
        <v>43</v>
      </c>
      <c r="T849" t="s">
        <v>29</v>
      </c>
      <c r="U849">
        <v>3</v>
      </c>
      <c r="V849" t="s">
        <v>44</v>
      </c>
      <c r="W849" t="str">
        <f>IF(HR_Data[[#This Row],[age]]&lt;25,"Under 25",IF(HR_Data[[#This Row],[age]]&lt;35,"25-34",IF(HR_Data[[#This Row],[age]]&lt;45,"35-44",IF(HR_Data[[#This Row],[age]]&lt;55,"45-54","55+"))))</f>
        <v>25-34</v>
      </c>
      <c r="X849" t="str">
        <f t="shared" si="13"/>
        <v>5,000-7,999</v>
      </c>
    </row>
    <row r="850" spans="1:24" x14ac:dyDescent="0.3">
      <c r="A850">
        <v>1185</v>
      </c>
      <c r="B850">
        <v>35</v>
      </c>
      <c r="C850" t="s">
        <v>36</v>
      </c>
      <c r="D850" t="s">
        <v>37</v>
      </c>
      <c r="E850" t="s">
        <v>38</v>
      </c>
      <c r="F850">
        <v>4</v>
      </c>
      <c r="G850" t="s">
        <v>47</v>
      </c>
      <c r="H850" t="s">
        <v>45</v>
      </c>
      <c r="I850" t="s">
        <v>31</v>
      </c>
      <c r="J850" t="s">
        <v>40</v>
      </c>
      <c r="K850" t="s">
        <v>27</v>
      </c>
      <c r="L850" t="s">
        <v>46</v>
      </c>
      <c r="M850" t="s">
        <v>31</v>
      </c>
      <c r="N850" t="s">
        <v>42</v>
      </c>
      <c r="O850">
        <v>2376</v>
      </c>
      <c r="P850">
        <v>1</v>
      </c>
      <c r="Q850" t="s">
        <v>36</v>
      </c>
      <c r="R850">
        <v>13</v>
      </c>
      <c r="S850" t="s">
        <v>33</v>
      </c>
      <c r="T850" t="s">
        <v>27</v>
      </c>
      <c r="U850">
        <v>2</v>
      </c>
      <c r="V850" t="s">
        <v>59</v>
      </c>
      <c r="W850" t="str">
        <f>IF(HR_Data[[#This Row],[age]]&lt;25,"Under 25",IF(HR_Data[[#This Row],[age]]&lt;35,"25-34",IF(HR_Data[[#This Row],[age]]&lt;45,"35-44",IF(HR_Data[[#This Row],[age]]&lt;55,"45-54","55+"))))</f>
        <v>35-44</v>
      </c>
      <c r="X850" t="str">
        <f t="shared" si="13"/>
        <v>Below 3,000</v>
      </c>
    </row>
    <row r="851" spans="1:24" x14ac:dyDescent="0.3">
      <c r="A851">
        <v>1188</v>
      </c>
      <c r="B851">
        <v>43</v>
      </c>
      <c r="C851" t="s">
        <v>22</v>
      </c>
      <c r="D851" t="s">
        <v>23</v>
      </c>
      <c r="E851" t="s">
        <v>24</v>
      </c>
      <c r="F851">
        <v>9</v>
      </c>
      <c r="G851" t="s">
        <v>50</v>
      </c>
      <c r="H851" t="s">
        <v>58</v>
      </c>
      <c r="I851" t="s">
        <v>34</v>
      </c>
      <c r="J851" t="s">
        <v>28</v>
      </c>
      <c r="K851" t="s">
        <v>34</v>
      </c>
      <c r="L851" t="s">
        <v>30</v>
      </c>
      <c r="M851" t="s">
        <v>29</v>
      </c>
      <c r="N851" t="s">
        <v>32</v>
      </c>
      <c r="O851">
        <v>5346</v>
      </c>
      <c r="P851">
        <v>8</v>
      </c>
      <c r="Q851" t="s">
        <v>36</v>
      </c>
      <c r="R851">
        <v>13</v>
      </c>
      <c r="S851" t="s">
        <v>33</v>
      </c>
      <c r="T851" t="s">
        <v>27</v>
      </c>
      <c r="U851">
        <v>2</v>
      </c>
      <c r="V851" t="s">
        <v>49</v>
      </c>
      <c r="W851" t="str">
        <f>IF(HR_Data[[#This Row],[age]]&lt;25,"Under 25",IF(HR_Data[[#This Row],[age]]&lt;35,"25-34",IF(HR_Data[[#This Row],[age]]&lt;45,"35-44",IF(HR_Data[[#This Row],[age]]&lt;55,"45-54","55+"))))</f>
        <v>35-44</v>
      </c>
      <c r="X851" t="str">
        <f t="shared" si="13"/>
        <v>5,000-7,999</v>
      </c>
    </row>
    <row r="852" spans="1:24" x14ac:dyDescent="0.3">
      <c r="A852">
        <v>1190</v>
      </c>
      <c r="B852">
        <v>32</v>
      </c>
      <c r="C852" t="s">
        <v>36</v>
      </c>
      <c r="D852" t="s">
        <v>54</v>
      </c>
      <c r="E852" t="s">
        <v>24</v>
      </c>
      <c r="F852">
        <v>2</v>
      </c>
      <c r="G852" t="s">
        <v>39</v>
      </c>
      <c r="H852" t="s">
        <v>26</v>
      </c>
      <c r="I852" t="s">
        <v>29</v>
      </c>
      <c r="J852" t="s">
        <v>28</v>
      </c>
      <c r="K852" t="s">
        <v>29</v>
      </c>
      <c r="L852" t="s">
        <v>56</v>
      </c>
      <c r="M852" t="s">
        <v>34</v>
      </c>
      <c r="N852" t="s">
        <v>51</v>
      </c>
      <c r="O852">
        <v>2827</v>
      </c>
      <c r="P852">
        <v>1</v>
      </c>
      <c r="Q852" t="s">
        <v>36</v>
      </c>
      <c r="R852">
        <v>12</v>
      </c>
      <c r="S852" t="s">
        <v>33</v>
      </c>
      <c r="T852" t="s">
        <v>29</v>
      </c>
      <c r="U852">
        <v>3</v>
      </c>
      <c r="V852" t="s">
        <v>44</v>
      </c>
      <c r="W852" t="str">
        <f>IF(HR_Data[[#This Row],[age]]&lt;25,"Under 25",IF(HR_Data[[#This Row],[age]]&lt;35,"25-34",IF(HR_Data[[#This Row],[age]]&lt;45,"35-44",IF(HR_Data[[#This Row],[age]]&lt;55,"45-54","55+"))))</f>
        <v>25-34</v>
      </c>
      <c r="X852" t="str">
        <f t="shared" si="13"/>
        <v>Below 3,000</v>
      </c>
    </row>
    <row r="853" spans="1:24" x14ac:dyDescent="0.3">
      <c r="A853">
        <v>1191</v>
      </c>
      <c r="B853">
        <v>56</v>
      </c>
      <c r="C853" t="s">
        <v>36</v>
      </c>
      <c r="D853" t="s">
        <v>23</v>
      </c>
      <c r="E853" t="s">
        <v>38</v>
      </c>
      <c r="F853">
        <v>4</v>
      </c>
      <c r="G853" t="s">
        <v>47</v>
      </c>
      <c r="H853" t="s">
        <v>60</v>
      </c>
      <c r="I853" t="s">
        <v>31</v>
      </c>
      <c r="J853" t="s">
        <v>28</v>
      </c>
      <c r="K853" t="s">
        <v>29</v>
      </c>
      <c r="L853" t="s">
        <v>55</v>
      </c>
      <c r="M853" t="s">
        <v>34</v>
      </c>
      <c r="N853" t="s">
        <v>51</v>
      </c>
      <c r="O853">
        <v>19943</v>
      </c>
      <c r="P853">
        <v>4</v>
      </c>
      <c r="Q853" t="s">
        <v>36</v>
      </c>
      <c r="R853">
        <v>13</v>
      </c>
      <c r="S853" t="s">
        <v>33</v>
      </c>
      <c r="T853" t="s">
        <v>31</v>
      </c>
      <c r="U853">
        <v>2</v>
      </c>
      <c r="V853" t="s">
        <v>44</v>
      </c>
      <c r="W853" t="str">
        <f>IF(HR_Data[[#This Row],[age]]&lt;25,"Under 25",IF(HR_Data[[#This Row],[age]]&lt;35,"25-34",IF(HR_Data[[#This Row],[age]]&lt;45,"35-44",IF(HR_Data[[#This Row],[age]]&lt;55,"45-54","55+"))))</f>
        <v>55+</v>
      </c>
      <c r="X853" t="str">
        <f t="shared" si="13"/>
        <v>8,000+</v>
      </c>
    </row>
    <row r="854" spans="1:24" x14ac:dyDescent="0.3">
      <c r="A854">
        <v>1192</v>
      </c>
      <c r="B854">
        <v>29</v>
      </c>
      <c r="C854" t="s">
        <v>36</v>
      </c>
      <c r="D854" t="s">
        <v>23</v>
      </c>
      <c r="E854" t="s">
        <v>38</v>
      </c>
      <c r="F854">
        <v>6</v>
      </c>
      <c r="G854" t="s">
        <v>39</v>
      </c>
      <c r="H854" t="s">
        <v>48</v>
      </c>
      <c r="I854" t="s">
        <v>27</v>
      </c>
      <c r="J854" t="s">
        <v>28</v>
      </c>
      <c r="K854" t="s">
        <v>29</v>
      </c>
      <c r="L854" t="s">
        <v>46</v>
      </c>
      <c r="M854" t="s">
        <v>31</v>
      </c>
      <c r="N854" t="s">
        <v>42</v>
      </c>
      <c r="O854">
        <v>3131</v>
      </c>
      <c r="P854">
        <v>1</v>
      </c>
      <c r="Q854" t="s">
        <v>36</v>
      </c>
      <c r="R854">
        <v>13</v>
      </c>
      <c r="S854" t="s">
        <v>33</v>
      </c>
      <c r="T854" t="s">
        <v>34</v>
      </c>
      <c r="U854">
        <v>5</v>
      </c>
      <c r="V854" t="s">
        <v>44</v>
      </c>
      <c r="W854" t="str">
        <f>IF(HR_Data[[#This Row],[age]]&lt;25,"Under 25",IF(HR_Data[[#This Row],[age]]&lt;35,"25-34",IF(HR_Data[[#This Row],[age]]&lt;45,"35-44",IF(HR_Data[[#This Row],[age]]&lt;55,"45-54","55+"))))</f>
        <v>25-34</v>
      </c>
      <c r="X854" t="str">
        <f t="shared" si="13"/>
        <v>3,000-4,999</v>
      </c>
    </row>
    <row r="855" spans="1:24" x14ac:dyDescent="0.3">
      <c r="A855">
        <v>1193</v>
      </c>
      <c r="B855">
        <v>19</v>
      </c>
      <c r="C855" t="s">
        <v>36</v>
      </c>
      <c r="D855" t="s">
        <v>23</v>
      </c>
      <c r="E855" t="s">
        <v>38</v>
      </c>
      <c r="F855">
        <v>9</v>
      </c>
      <c r="G855" t="s">
        <v>25</v>
      </c>
      <c r="H855" t="s">
        <v>26</v>
      </c>
      <c r="I855" t="s">
        <v>29</v>
      </c>
      <c r="J855" t="s">
        <v>40</v>
      </c>
      <c r="K855" t="s">
        <v>29</v>
      </c>
      <c r="L855" t="s">
        <v>41</v>
      </c>
      <c r="M855" t="s">
        <v>34</v>
      </c>
      <c r="N855" t="s">
        <v>32</v>
      </c>
      <c r="O855">
        <v>2552</v>
      </c>
      <c r="P855">
        <v>1</v>
      </c>
      <c r="Q855" t="s">
        <v>36</v>
      </c>
      <c r="R855">
        <v>25</v>
      </c>
      <c r="S855" t="s">
        <v>43</v>
      </c>
      <c r="T855" t="s">
        <v>29</v>
      </c>
      <c r="U855">
        <v>4</v>
      </c>
      <c r="V855" t="s">
        <v>44</v>
      </c>
      <c r="W855" t="str">
        <f>IF(HR_Data[[#This Row],[age]]&lt;25,"Under 25",IF(HR_Data[[#This Row],[age]]&lt;35,"25-34",IF(HR_Data[[#This Row],[age]]&lt;45,"35-44",IF(HR_Data[[#This Row],[age]]&lt;55,"45-54","55+"))))</f>
        <v>Under 25</v>
      </c>
      <c r="X855" t="str">
        <f t="shared" si="13"/>
        <v>Below 3,000</v>
      </c>
    </row>
    <row r="856" spans="1:24" x14ac:dyDescent="0.3">
      <c r="A856">
        <v>1195</v>
      </c>
      <c r="B856">
        <v>45</v>
      </c>
      <c r="C856" t="s">
        <v>36</v>
      </c>
      <c r="D856" t="s">
        <v>23</v>
      </c>
      <c r="E856" t="s">
        <v>38</v>
      </c>
      <c r="F856">
        <v>7</v>
      </c>
      <c r="G856" t="s">
        <v>50</v>
      </c>
      <c r="H856" t="s">
        <v>48</v>
      </c>
      <c r="I856" t="s">
        <v>34</v>
      </c>
      <c r="J856" t="s">
        <v>28</v>
      </c>
      <c r="K856" t="s">
        <v>29</v>
      </c>
      <c r="L856" t="s">
        <v>41</v>
      </c>
      <c r="M856" t="s">
        <v>29</v>
      </c>
      <c r="N856" t="s">
        <v>42</v>
      </c>
      <c r="O856">
        <v>4477</v>
      </c>
      <c r="P856">
        <v>4</v>
      </c>
      <c r="Q856" t="s">
        <v>22</v>
      </c>
      <c r="R856">
        <v>19</v>
      </c>
      <c r="S856" t="s">
        <v>33</v>
      </c>
      <c r="T856" t="s">
        <v>29</v>
      </c>
      <c r="U856">
        <v>2</v>
      </c>
      <c r="V856" t="s">
        <v>49</v>
      </c>
      <c r="W856" t="str">
        <f>IF(HR_Data[[#This Row],[age]]&lt;25,"Under 25",IF(HR_Data[[#This Row],[age]]&lt;35,"25-34",IF(HR_Data[[#This Row],[age]]&lt;45,"35-44",IF(HR_Data[[#This Row],[age]]&lt;55,"45-54","55+"))))</f>
        <v>45-54</v>
      </c>
      <c r="X856" t="str">
        <f t="shared" si="13"/>
        <v>3,000-4,999</v>
      </c>
    </row>
    <row r="857" spans="1:24" x14ac:dyDescent="0.3">
      <c r="A857">
        <v>1196</v>
      </c>
      <c r="B857">
        <v>37</v>
      </c>
      <c r="C857" t="s">
        <v>36</v>
      </c>
      <c r="D857" t="s">
        <v>23</v>
      </c>
      <c r="E857" t="s">
        <v>38</v>
      </c>
      <c r="F857">
        <v>1</v>
      </c>
      <c r="G857" t="s">
        <v>50</v>
      </c>
      <c r="H857" t="s">
        <v>26</v>
      </c>
      <c r="I857" t="s">
        <v>31</v>
      </c>
      <c r="J857" t="s">
        <v>28</v>
      </c>
      <c r="K857" t="s">
        <v>27</v>
      </c>
      <c r="L857" t="s">
        <v>52</v>
      </c>
      <c r="M857" t="s">
        <v>31</v>
      </c>
      <c r="N857" t="s">
        <v>42</v>
      </c>
      <c r="O857">
        <v>6474</v>
      </c>
      <c r="P857">
        <v>1</v>
      </c>
      <c r="Q857" t="s">
        <v>36</v>
      </c>
      <c r="R857">
        <v>13</v>
      </c>
      <c r="S857" t="s">
        <v>33</v>
      </c>
      <c r="T857" t="s">
        <v>27</v>
      </c>
      <c r="U857">
        <v>2</v>
      </c>
      <c r="V857" t="s">
        <v>49</v>
      </c>
      <c r="W857" t="str">
        <f>IF(HR_Data[[#This Row],[age]]&lt;25,"Under 25",IF(HR_Data[[#This Row],[age]]&lt;35,"25-34",IF(HR_Data[[#This Row],[age]]&lt;45,"35-44",IF(HR_Data[[#This Row],[age]]&lt;55,"45-54","55+"))))</f>
        <v>35-44</v>
      </c>
      <c r="X857" t="str">
        <f t="shared" si="13"/>
        <v>5,000-7,999</v>
      </c>
    </row>
    <row r="858" spans="1:24" x14ac:dyDescent="0.3">
      <c r="A858">
        <v>1198</v>
      </c>
      <c r="B858">
        <v>20</v>
      </c>
      <c r="C858" t="s">
        <v>36</v>
      </c>
      <c r="D858" t="s">
        <v>23</v>
      </c>
      <c r="E858" t="s">
        <v>38</v>
      </c>
      <c r="F858">
        <v>3</v>
      </c>
      <c r="G858" t="s">
        <v>50</v>
      </c>
      <c r="H858" t="s">
        <v>26</v>
      </c>
      <c r="I858" t="s">
        <v>34</v>
      </c>
      <c r="J858" t="s">
        <v>40</v>
      </c>
      <c r="K858" t="s">
        <v>27</v>
      </c>
      <c r="L858" t="s">
        <v>46</v>
      </c>
      <c r="M858" t="s">
        <v>29</v>
      </c>
      <c r="N858" t="s">
        <v>32</v>
      </c>
      <c r="O858">
        <v>3033</v>
      </c>
      <c r="P858">
        <v>1</v>
      </c>
      <c r="Q858" t="s">
        <v>36</v>
      </c>
      <c r="R858">
        <v>12</v>
      </c>
      <c r="S858" t="s">
        <v>33</v>
      </c>
      <c r="T858" t="s">
        <v>34</v>
      </c>
      <c r="U858">
        <v>2</v>
      </c>
      <c r="V858" t="s">
        <v>49</v>
      </c>
      <c r="W858" t="str">
        <f>IF(HR_Data[[#This Row],[age]]&lt;25,"Under 25",IF(HR_Data[[#This Row],[age]]&lt;35,"25-34",IF(HR_Data[[#This Row],[age]]&lt;45,"35-44",IF(HR_Data[[#This Row],[age]]&lt;55,"45-54","55+"))))</f>
        <v>Under 25</v>
      </c>
      <c r="X858" t="str">
        <f t="shared" si="13"/>
        <v>3,000-4,999</v>
      </c>
    </row>
    <row r="859" spans="1:24" x14ac:dyDescent="0.3">
      <c r="A859">
        <v>1200</v>
      </c>
      <c r="B859">
        <v>44</v>
      </c>
      <c r="C859" t="s">
        <v>22</v>
      </c>
      <c r="D859" t="s">
        <v>23</v>
      </c>
      <c r="E859" t="s">
        <v>38</v>
      </c>
      <c r="F859">
        <v>10</v>
      </c>
      <c r="G859" t="s">
        <v>47</v>
      </c>
      <c r="H859" t="s">
        <v>26</v>
      </c>
      <c r="I859" t="s">
        <v>29</v>
      </c>
      <c r="J859" t="s">
        <v>40</v>
      </c>
      <c r="K859" t="s">
        <v>29</v>
      </c>
      <c r="L859" t="s">
        <v>41</v>
      </c>
      <c r="M859" t="s">
        <v>29</v>
      </c>
      <c r="N859" t="s">
        <v>32</v>
      </c>
      <c r="O859">
        <v>2936</v>
      </c>
      <c r="P859">
        <v>1</v>
      </c>
      <c r="Q859" t="s">
        <v>22</v>
      </c>
      <c r="R859">
        <v>11</v>
      </c>
      <c r="S859" t="s">
        <v>33</v>
      </c>
      <c r="T859" t="s">
        <v>29</v>
      </c>
      <c r="U859">
        <v>4</v>
      </c>
      <c r="V859" t="s">
        <v>44</v>
      </c>
      <c r="W859" t="str">
        <f>IF(HR_Data[[#This Row],[age]]&lt;25,"Under 25",IF(HR_Data[[#This Row],[age]]&lt;35,"25-34",IF(HR_Data[[#This Row],[age]]&lt;45,"35-44",IF(HR_Data[[#This Row],[age]]&lt;55,"45-54","55+"))))</f>
        <v>35-44</v>
      </c>
      <c r="X859" t="str">
        <f t="shared" si="13"/>
        <v>Below 3,000</v>
      </c>
    </row>
    <row r="860" spans="1:24" x14ac:dyDescent="0.3">
      <c r="A860">
        <v>1201</v>
      </c>
      <c r="B860">
        <v>53</v>
      </c>
      <c r="C860" t="s">
        <v>36</v>
      </c>
      <c r="D860" t="s">
        <v>23</v>
      </c>
      <c r="E860" t="s">
        <v>38</v>
      </c>
      <c r="F860">
        <v>7</v>
      </c>
      <c r="G860" t="s">
        <v>25</v>
      </c>
      <c r="H860" t="s">
        <v>48</v>
      </c>
      <c r="I860" t="s">
        <v>31</v>
      </c>
      <c r="J860" t="s">
        <v>28</v>
      </c>
      <c r="K860" t="s">
        <v>29</v>
      </c>
      <c r="L860" t="s">
        <v>55</v>
      </c>
      <c r="M860" t="s">
        <v>29</v>
      </c>
      <c r="N860" t="s">
        <v>51</v>
      </c>
      <c r="O860">
        <v>18606</v>
      </c>
      <c r="P860">
        <v>3</v>
      </c>
      <c r="Q860" t="s">
        <v>36</v>
      </c>
      <c r="R860">
        <v>18</v>
      </c>
      <c r="S860" t="s">
        <v>33</v>
      </c>
      <c r="T860" t="s">
        <v>27</v>
      </c>
      <c r="U860">
        <v>6</v>
      </c>
      <c r="V860" t="s">
        <v>44</v>
      </c>
      <c r="W860" t="str">
        <f>IF(HR_Data[[#This Row],[age]]&lt;25,"Under 25",IF(HR_Data[[#This Row],[age]]&lt;35,"25-34",IF(HR_Data[[#This Row],[age]]&lt;45,"35-44",IF(HR_Data[[#This Row],[age]]&lt;55,"45-54","55+"))))</f>
        <v>45-54</v>
      </c>
      <c r="X860" t="str">
        <f t="shared" si="13"/>
        <v>8,000+</v>
      </c>
    </row>
    <row r="861" spans="1:24" x14ac:dyDescent="0.3">
      <c r="A861">
        <v>1202</v>
      </c>
      <c r="B861">
        <v>29</v>
      </c>
      <c r="C861" t="s">
        <v>36</v>
      </c>
      <c r="D861" t="s">
        <v>23</v>
      </c>
      <c r="E861" t="s">
        <v>38</v>
      </c>
      <c r="F861">
        <v>15</v>
      </c>
      <c r="G861" t="s">
        <v>39</v>
      </c>
      <c r="H861" t="s">
        <v>26</v>
      </c>
      <c r="I861" t="s">
        <v>27</v>
      </c>
      <c r="J861" t="s">
        <v>28</v>
      </c>
      <c r="K861" t="s">
        <v>34</v>
      </c>
      <c r="L861" t="s">
        <v>41</v>
      </c>
      <c r="M861" t="s">
        <v>31</v>
      </c>
      <c r="N861" t="s">
        <v>42</v>
      </c>
      <c r="O861">
        <v>2168</v>
      </c>
      <c r="P861">
        <v>0</v>
      </c>
      <c r="Q861" t="s">
        <v>22</v>
      </c>
      <c r="R861">
        <v>18</v>
      </c>
      <c r="S861" t="s">
        <v>33</v>
      </c>
      <c r="T861" t="s">
        <v>34</v>
      </c>
      <c r="U861">
        <v>2</v>
      </c>
      <c r="V861" t="s">
        <v>49</v>
      </c>
      <c r="W861" t="str">
        <f>IF(HR_Data[[#This Row],[age]]&lt;25,"Under 25",IF(HR_Data[[#This Row],[age]]&lt;35,"25-34",IF(HR_Data[[#This Row],[age]]&lt;45,"35-44",IF(HR_Data[[#This Row],[age]]&lt;55,"45-54","55+"))))</f>
        <v>25-34</v>
      </c>
      <c r="X861" t="str">
        <f t="shared" si="13"/>
        <v>Below 3,000</v>
      </c>
    </row>
    <row r="862" spans="1:24" x14ac:dyDescent="0.3">
      <c r="A862">
        <v>1203</v>
      </c>
      <c r="B862">
        <v>22</v>
      </c>
      <c r="C862" t="s">
        <v>22</v>
      </c>
      <c r="D862" t="s">
        <v>37</v>
      </c>
      <c r="E862" t="s">
        <v>38</v>
      </c>
      <c r="F862">
        <v>3</v>
      </c>
      <c r="G862" t="s">
        <v>47</v>
      </c>
      <c r="H862" t="s">
        <v>26</v>
      </c>
      <c r="I862" t="s">
        <v>29</v>
      </c>
      <c r="J862" t="s">
        <v>40</v>
      </c>
      <c r="K862" t="s">
        <v>27</v>
      </c>
      <c r="L862" t="s">
        <v>41</v>
      </c>
      <c r="M862" t="s">
        <v>31</v>
      </c>
      <c r="N862" t="s">
        <v>42</v>
      </c>
      <c r="O862">
        <v>2853</v>
      </c>
      <c r="P862">
        <v>0</v>
      </c>
      <c r="Q862" t="s">
        <v>22</v>
      </c>
      <c r="R862">
        <v>11</v>
      </c>
      <c r="S862" t="s">
        <v>33</v>
      </c>
      <c r="T862" t="s">
        <v>27</v>
      </c>
      <c r="U862">
        <v>5</v>
      </c>
      <c r="V862" t="s">
        <v>44</v>
      </c>
      <c r="W862" t="str">
        <f>IF(HR_Data[[#This Row],[age]]&lt;25,"Under 25",IF(HR_Data[[#This Row],[age]]&lt;35,"25-34",IF(HR_Data[[#This Row],[age]]&lt;45,"35-44",IF(HR_Data[[#This Row],[age]]&lt;55,"45-54","55+"))))</f>
        <v>Under 25</v>
      </c>
      <c r="X862" t="str">
        <f t="shared" si="13"/>
        <v>Below 3,000</v>
      </c>
    </row>
    <row r="863" spans="1:24" x14ac:dyDescent="0.3">
      <c r="A863">
        <v>1204</v>
      </c>
      <c r="B863">
        <v>46</v>
      </c>
      <c r="C863" t="s">
        <v>36</v>
      </c>
      <c r="D863" t="s">
        <v>23</v>
      </c>
      <c r="E863" t="s">
        <v>24</v>
      </c>
      <c r="F863">
        <v>2</v>
      </c>
      <c r="G863" t="s">
        <v>50</v>
      </c>
      <c r="H863" t="s">
        <v>58</v>
      </c>
      <c r="I863" t="s">
        <v>29</v>
      </c>
      <c r="J863" t="s">
        <v>28</v>
      </c>
      <c r="K863" t="s">
        <v>29</v>
      </c>
      <c r="L863" t="s">
        <v>55</v>
      </c>
      <c r="M863" t="s">
        <v>34</v>
      </c>
      <c r="N863" t="s">
        <v>42</v>
      </c>
      <c r="O863">
        <v>17048</v>
      </c>
      <c r="P863">
        <v>8</v>
      </c>
      <c r="Q863" t="s">
        <v>36</v>
      </c>
      <c r="R863">
        <v>23</v>
      </c>
      <c r="S863" t="s">
        <v>43</v>
      </c>
      <c r="T863" t="s">
        <v>34</v>
      </c>
      <c r="U863">
        <v>2</v>
      </c>
      <c r="V863" t="s">
        <v>44</v>
      </c>
      <c r="W863" t="str">
        <f>IF(HR_Data[[#This Row],[age]]&lt;25,"Under 25",IF(HR_Data[[#This Row],[age]]&lt;35,"25-34",IF(HR_Data[[#This Row],[age]]&lt;45,"35-44",IF(HR_Data[[#This Row],[age]]&lt;55,"45-54","55+"))))</f>
        <v>45-54</v>
      </c>
      <c r="X863" t="str">
        <f t="shared" si="13"/>
        <v>8,000+</v>
      </c>
    </row>
    <row r="864" spans="1:24" x14ac:dyDescent="0.3">
      <c r="A864">
        <v>1206</v>
      </c>
      <c r="B864">
        <v>44</v>
      </c>
      <c r="C864" t="s">
        <v>36</v>
      </c>
      <c r="D864" t="s">
        <v>54</v>
      </c>
      <c r="E864" t="s">
        <v>38</v>
      </c>
      <c r="F864">
        <v>17</v>
      </c>
      <c r="G864" t="s">
        <v>50</v>
      </c>
      <c r="H864" t="s">
        <v>26</v>
      </c>
      <c r="I864" t="s">
        <v>31</v>
      </c>
      <c r="J864" t="s">
        <v>40</v>
      </c>
      <c r="K864" t="s">
        <v>34</v>
      </c>
      <c r="L864" t="s">
        <v>41</v>
      </c>
      <c r="M864" t="s">
        <v>29</v>
      </c>
      <c r="N864" t="s">
        <v>32</v>
      </c>
      <c r="O864">
        <v>2290</v>
      </c>
      <c r="P864">
        <v>2</v>
      </c>
      <c r="Q864" t="s">
        <v>36</v>
      </c>
      <c r="R864">
        <v>13</v>
      </c>
      <c r="S864" t="s">
        <v>33</v>
      </c>
      <c r="T864" t="s">
        <v>31</v>
      </c>
      <c r="U864">
        <v>3</v>
      </c>
      <c r="V864" t="s">
        <v>44</v>
      </c>
      <c r="W864" t="str">
        <f>IF(HR_Data[[#This Row],[age]]&lt;25,"Under 25",IF(HR_Data[[#This Row],[age]]&lt;35,"25-34",IF(HR_Data[[#This Row],[age]]&lt;45,"35-44",IF(HR_Data[[#This Row],[age]]&lt;55,"45-54","55+"))))</f>
        <v>35-44</v>
      </c>
      <c r="X864" t="str">
        <f t="shared" si="13"/>
        <v>Below 3,000</v>
      </c>
    </row>
    <row r="865" spans="1:24" x14ac:dyDescent="0.3">
      <c r="A865">
        <v>1207</v>
      </c>
      <c r="B865">
        <v>33</v>
      </c>
      <c r="C865" t="s">
        <v>36</v>
      </c>
      <c r="D865" t="s">
        <v>23</v>
      </c>
      <c r="E865" t="s">
        <v>62</v>
      </c>
      <c r="F865">
        <v>2</v>
      </c>
      <c r="G865" t="s">
        <v>50</v>
      </c>
      <c r="H865" t="s">
        <v>62</v>
      </c>
      <c r="I865" t="s">
        <v>27</v>
      </c>
      <c r="J865" t="s">
        <v>40</v>
      </c>
      <c r="K865" t="s">
        <v>29</v>
      </c>
      <c r="L865" t="s">
        <v>62</v>
      </c>
      <c r="M865" t="s">
        <v>29</v>
      </c>
      <c r="N865" t="s">
        <v>42</v>
      </c>
      <c r="O865">
        <v>3600</v>
      </c>
      <c r="P865">
        <v>1</v>
      </c>
      <c r="Q865" t="s">
        <v>36</v>
      </c>
      <c r="R865">
        <v>13</v>
      </c>
      <c r="S865" t="s">
        <v>33</v>
      </c>
      <c r="T865" t="s">
        <v>31</v>
      </c>
      <c r="U865">
        <v>2</v>
      </c>
      <c r="V865" t="s">
        <v>44</v>
      </c>
      <c r="W865" t="str">
        <f>IF(HR_Data[[#This Row],[age]]&lt;25,"Under 25",IF(HR_Data[[#This Row],[age]]&lt;35,"25-34",IF(HR_Data[[#This Row],[age]]&lt;45,"35-44",IF(HR_Data[[#This Row],[age]]&lt;55,"45-54","55+"))))</f>
        <v>25-34</v>
      </c>
      <c r="X865" t="str">
        <f t="shared" si="13"/>
        <v>3,000-4,999</v>
      </c>
    </row>
    <row r="866" spans="1:24" x14ac:dyDescent="0.3">
      <c r="A866">
        <v>1210</v>
      </c>
      <c r="B866">
        <v>41</v>
      </c>
      <c r="C866" t="s">
        <v>22</v>
      </c>
      <c r="D866" t="s">
        <v>54</v>
      </c>
      <c r="E866" t="s">
        <v>38</v>
      </c>
      <c r="F866">
        <v>5</v>
      </c>
      <c r="G866" t="s">
        <v>25</v>
      </c>
      <c r="H866" t="s">
        <v>26</v>
      </c>
      <c r="I866" t="s">
        <v>34</v>
      </c>
      <c r="J866" t="s">
        <v>40</v>
      </c>
      <c r="K866" t="s">
        <v>27</v>
      </c>
      <c r="L866" t="s">
        <v>41</v>
      </c>
      <c r="M866" t="s">
        <v>34</v>
      </c>
      <c r="N866" t="s">
        <v>51</v>
      </c>
      <c r="O866">
        <v>2107</v>
      </c>
      <c r="P866">
        <v>6</v>
      </c>
      <c r="Q866" t="s">
        <v>36</v>
      </c>
      <c r="R866">
        <v>17</v>
      </c>
      <c r="S866" t="s">
        <v>33</v>
      </c>
      <c r="T866" t="s">
        <v>34</v>
      </c>
      <c r="U866">
        <v>2</v>
      </c>
      <c r="V866" t="s">
        <v>35</v>
      </c>
      <c r="W866" t="str">
        <f>IF(HR_Data[[#This Row],[age]]&lt;25,"Under 25",IF(HR_Data[[#This Row],[age]]&lt;35,"25-34",IF(HR_Data[[#This Row],[age]]&lt;45,"35-44",IF(HR_Data[[#This Row],[age]]&lt;55,"45-54","55+"))))</f>
        <v>35-44</v>
      </c>
      <c r="X866" t="str">
        <f t="shared" si="13"/>
        <v>Below 3,000</v>
      </c>
    </row>
    <row r="867" spans="1:24" x14ac:dyDescent="0.3">
      <c r="A867">
        <v>1211</v>
      </c>
      <c r="B867">
        <v>30</v>
      </c>
      <c r="C867" t="s">
        <v>36</v>
      </c>
      <c r="D867" t="s">
        <v>23</v>
      </c>
      <c r="E867" t="s">
        <v>24</v>
      </c>
      <c r="F867">
        <v>29</v>
      </c>
      <c r="G867" t="s">
        <v>47</v>
      </c>
      <c r="H867" t="s">
        <v>26</v>
      </c>
      <c r="I867" t="s">
        <v>29</v>
      </c>
      <c r="J867" t="s">
        <v>40</v>
      </c>
      <c r="K867" t="s">
        <v>29</v>
      </c>
      <c r="L867" t="s">
        <v>30</v>
      </c>
      <c r="M867" t="s">
        <v>34</v>
      </c>
      <c r="N867" t="s">
        <v>51</v>
      </c>
      <c r="O867">
        <v>4115</v>
      </c>
      <c r="P867">
        <v>8</v>
      </c>
      <c r="Q867" t="s">
        <v>36</v>
      </c>
      <c r="R867">
        <v>19</v>
      </c>
      <c r="S867" t="s">
        <v>33</v>
      </c>
      <c r="T867" t="s">
        <v>29</v>
      </c>
      <c r="U867">
        <v>3</v>
      </c>
      <c r="V867" t="s">
        <v>44</v>
      </c>
      <c r="W867" t="str">
        <f>IF(HR_Data[[#This Row],[age]]&lt;25,"Under 25",IF(HR_Data[[#This Row],[age]]&lt;35,"25-34",IF(HR_Data[[#This Row],[age]]&lt;45,"35-44",IF(HR_Data[[#This Row],[age]]&lt;55,"45-54","55+"))))</f>
        <v>25-34</v>
      </c>
      <c r="X867" t="str">
        <f t="shared" si="13"/>
        <v>3,000-4,999</v>
      </c>
    </row>
    <row r="868" spans="1:24" x14ac:dyDescent="0.3">
      <c r="A868">
        <v>1212</v>
      </c>
      <c r="B868">
        <v>40</v>
      </c>
      <c r="C868" t="s">
        <v>36</v>
      </c>
      <c r="D868" t="s">
        <v>37</v>
      </c>
      <c r="E868" t="s">
        <v>24</v>
      </c>
      <c r="F868">
        <v>2</v>
      </c>
      <c r="G868" t="s">
        <v>47</v>
      </c>
      <c r="H868" t="s">
        <v>48</v>
      </c>
      <c r="I868" t="s">
        <v>27</v>
      </c>
      <c r="J868" t="s">
        <v>40</v>
      </c>
      <c r="K868" t="s">
        <v>29</v>
      </c>
      <c r="L868" t="s">
        <v>30</v>
      </c>
      <c r="M868" t="s">
        <v>27</v>
      </c>
      <c r="N868" t="s">
        <v>42</v>
      </c>
      <c r="O868">
        <v>4327</v>
      </c>
      <c r="P868">
        <v>5</v>
      </c>
      <c r="Q868" t="s">
        <v>36</v>
      </c>
      <c r="R868">
        <v>12</v>
      </c>
      <c r="S868" t="s">
        <v>33</v>
      </c>
      <c r="T868" t="s">
        <v>31</v>
      </c>
      <c r="U868">
        <v>2</v>
      </c>
      <c r="V868" t="s">
        <v>44</v>
      </c>
      <c r="W868" t="str">
        <f>IF(HR_Data[[#This Row],[age]]&lt;25,"Under 25",IF(HR_Data[[#This Row],[age]]&lt;35,"25-34",IF(HR_Data[[#This Row],[age]]&lt;45,"35-44",IF(HR_Data[[#This Row],[age]]&lt;55,"45-54","55+"))))</f>
        <v>35-44</v>
      </c>
      <c r="X868" t="str">
        <f t="shared" si="13"/>
        <v>3,000-4,999</v>
      </c>
    </row>
    <row r="869" spans="1:24" x14ac:dyDescent="0.3">
      <c r="A869">
        <v>1215</v>
      </c>
      <c r="B869">
        <v>50</v>
      </c>
      <c r="C869" t="s">
        <v>36</v>
      </c>
      <c r="D869" t="s">
        <v>37</v>
      </c>
      <c r="E869" t="s">
        <v>38</v>
      </c>
      <c r="F869">
        <v>2</v>
      </c>
      <c r="G869" t="s">
        <v>50</v>
      </c>
      <c r="H869" t="s">
        <v>48</v>
      </c>
      <c r="I869" t="s">
        <v>31</v>
      </c>
      <c r="J869" t="s">
        <v>28</v>
      </c>
      <c r="K869" t="s">
        <v>29</v>
      </c>
      <c r="L869" t="s">
        <v>55</v>
      </c>
      <c r="M869" t="s">
        <v>34</v>
      </c>
      <c r="N869" t="s">
        <v>42</v>
      </c>
      <c r="O869">
        <v>17856</v>
      </c>
      <c r="P869">
        <v>2</v>
      </c>
      <c r="Q869" t="s">
        <v>36</v>
      </c>
      <c r="R869">
        <v>22</v>
      </c>
      <c r="S869" t="s">
        <v>43</v>
      </c>
      <c r="T869" t="s">
        <v>29</v>
      </c>
      <c r="U869">
        <v>3</v>
      </c>
      <c r="V869" t="s">
        <v>44</v>
      </c>
      <c r="W869" t="str">
        <f>IF(HR_Data[[#This Row],[age]]&lt;25,"Under 25",IF(HR_Data[[#This Row],[age]]&lt;35,"25-34",IF(HR_Data[[#This Row],[age]]&lt;45,"35-44",IF(HR_Data[[#This Row],[age]]&lt;55,"45-54","55+"))))</f>
        <v>45-54</v>
      </c>
      <c r="X869" t="str">
        <f t="shared" si="13"/>
        <v>8,000+</v>
      </c>
    </row>
    <row r="870" spans="1:24" x14ac:dyDescent="0.3">
      <c r="A870">
        <v>1216</v>
      </c>
      <c r="B870">
        <v>28</v>
      </c>
      <c r="C870" t="s">
        <v>36</v>
      </c>
      <c r="D870" t="s">
        <v>23</v>
      </c>
      <c r="E870" t="s">
        <v>38</v>
      </c>
      <c r="F870">
        <v>19</v>
      </c>
      <c r="G870" t="s">
        <v>47</v>
      </c>
      <c r="H870" t="s">
        <v>48</v>
      </c>
      <c r="I870" t="s">
        <v>31</v>
      </c>
      <c r="J870" t="s">
        <v>40</v>
      </c>
      <c r="K870" t="s">
        <v>27</v>
      </c>
      <c r="L870" t="s">
        <v>46</v>
      </c>
      <c r="M870" t="s">
        <v>34</v>
      </c>
      <c r="N870" t="s">
        <v>42</v>
      </c>
      <c r="O870">
        <v>3196</v>
      </c>
      <c r="P870">
        <v>1</v>
      </c>
      <c r="Q870" t="s">
        <v>36</v>
      </c>
      <c r="R870">
        <v>12</v>
      </c>
      <c r="S870" t="s">
        <v>33</v>
      </c>
      <c r="T870" t="s">
        <v>29</v>
      </c>
      <c r="U870">
        <v>2</v>
      </c>
      <c r="V870" t="s">
        <v>44</v>
      </c>
      <c r="W870" t="str">
        <f>IF(HR_Data[[#This Row],[age]]&lt;25,"Under 25",IF(HR_Data[[#This Row],[age]]&lt;35,"25-34",IF(HR_Data[[#This Row],[age]]&lt;45,"35-44",IF(HR_Data[[#This Row],[age]]&lt;55,"45-54","55+"))))</f>
        <v>25-34</v>
      </c>
      <c r="X870" t="str">
        <f t="shared" si="13"/>
        <v>3,000-4,999</v>
      </c>
    </row>
    <row r="871" spans="1:24" x14ac:dyDescent="0.3">
      <c r="A871">
        <v>1217</v>
      </c>
      <c r="B871">
        <v>46</v>
      </c>
      <c r="C871" t="s">
        <v>36</v>
      </c>
      <c r="D871" t="s">
        <v>23</v>
      </c>
      <c r="E871" t="s">
        <v>38</v>
      </c>
      <c r="F871">
        <v>15</v>
      </c>
      <c r="G871" t="s">
        <v>25</v>
      </c>
      <c r="H871" t="s">
        <v>26</v>
      </c>
      <c r="I871" t="s">
        <v>31</v>
      </c>
      <c r="J871" t="s">
        <v>40</v>
      </c>
      <c r="K871" t="s">
        <v>29</v>
      </c>
      <c r="L871" t="s">
        <v>57</v>
      </c>
      <c r="M871" t="s">
        <v>27</v>
      </c>
      <c r="N871" t="s">
        <v>42</v>
      </c>
      <c r="O871">
        <v>19081</v>
      </c>
      <c r="P871">
        <v>5</v>
      </c>
      <c r="Q871" t="s">
        <v>36</v>
      </c>
      <c r="R871">
        <v>11</v>
      </c>
      <c r="S871" t="s">
        <v>33</v>
      </c>
      <c r="T871" t="s">
        <v>34</v>
      </c>
      <c r="U871">
        <v>2</v>
      </c>
      <c r="V871" t="s">
        <v>44</v>
      </c>
      <c r="W871" t="str">
        <f>IF(HR_Data[[#This Row],[age]]&lt;25,"Under 25",IF(HR_Data[[#This Row],[age]]&lt;35,"25-34",IF(HR_Data[[#This Row],[age]]&lt;45,"35-44",IF(HR_Data[[#This Row],[age]]&lt;55,"45-54","55+"))))</f>
        <v>45-54</v>
      </c>
      <c r="X871" t="str">
        <f t="shared" si="13"/>
        <v>8,000+</v>
      </c>
    </row>
    <row r="872" spans="1:24" x14ac:dyDescent="0.3">
      <c r="A872">
        <v>1218</v>
      </c>
      <c r="B872">
        <v>35</v>
      </c>
      <c r="C872" t="s">
        <v>36</v>
      </c>
      <c r="D872" t="s">
        <v>23</v>
      </c>
      <c r="E872" t="s">
        <v>24</v>
      </c>
      <c r="F872">
        <v>17</v>
      </c>
      <c r="G872" t="s">
        <v>47</v>
      </c>
      <c r="H872" t="s">
        <v>26</v>
      </c>
      <c r="I872" t="s">
        <v>29</v>
      </c>
      <c r="J872" t="s">
        <v>40</v>
      </c>
      <c r="K872" t="s">
        <v>29</v>
      </c>
      <c r="L872" t="s">
        <v>30</v>
      </c>
      <c r="M872" t="s">
        <v>34</v>
      </c>
      <c r="N872" t="s">
        <v>42</v>
      </c>
      <c r="O872">
        <v>8966</v>
      </c>
      <c r="P872">
        <v>3</v>
      </c>
      <c r="Q872" t="s">
        <v>22</v>
      </c>
      <c r="R872">
        <v>15</v>
      </c>
      <c r="S872" t="s">
        <v>33</v>
      </c>
      <c r="T872" t="s">
        <v>31</v>
      </c>
      <c r="U872">
        <v>2</v>
      </c>
      <c r="V872" t="s">
        <v>44</v>
      </c>
      <c r="W872" t="str">
        <f>IF(HR_Data[[#This Row],[age]]&lt;25,"Under 25",IF(HR_Data[[#This Row],[age]]&lt;35,"25-34",IF(HR_Data[[#This Row],[age]]&lt;45,"35-44",IF(HR_Data[[#This Row],[age]]&lt;55,"45-54","55+"))))</f>
        <v>35-44</v>
      </c>
      <c r="X872" t="str">
        <f t="shared" si="13"/>
        <v>8,000+</v>
      </c>
    </row>
    <row r="873" spans="1:24" x14ac:dyDescent="0.3">
      <c r="A873">
        <v>1219</v>
      </c>
      <c r="B873">
        <v>24</v>
      </c>
      <c r="C873" t="s">
        <v>22</v>
      </c>
      <c r="D873" t="s">
        <v>23</v>
      </c>
      <c r="E873" t="s">
        <v>38</v>
      </c>
      <c r="F873">
        <v>17</v>
      </c>
      <c r="G873" t="s">
        <v>25</v>
      </c>
      <c r="H873" t="s">
        <v>26</v>
      </c>
      <c r="I873" t="s">
        <v>31</v>
      </c>
      <c r="J873" t="s">
        <v>28</v>
      </c>
      <c r="K873" t="s">
        <v>29</v>
      </c>
      <c r="L873" t="s">
        <v>46</v>
      </c>
      <c r="M873" t="s">
        <v>27</v>
      </c>
      <c r="N873" t="s">
        <v>42</v>
      </c>
      <c r="O873">
        <v>2210</v>
      </c>
      <c r="P873">
        <v>1</v>
      </c>
      <c r="Q873" t="s">
        <v>36</v>
      </c>
      <c r="R873">
        <v>13</v>
      </c>
      <c r="S873" t="s">
        <v>33</v>
      </c>
      <c r="T873" t="s">
        <v>34</v>
      </c>
      <c r="U873">
        <v>3</v>
      </c>
      <c r="V873" t="s">
        <v>35</v>
      </c>
      <c r="W873" t="str">
        <f>IF(HR_Data[[#This Row],[age]]&lt;25,"Under 25",IF(HR_Data[[#This Row],[age]]&lt;35,"25-34",IF(HR_Data[[#This Row],[age]]&lt;45,"35-44",IF(HR_Data[[#This Row],[age]]&lt;55,"45-54","55+"))))</f>
        <v>Under 25</v>
      </c>
      <c r="X873" t="str">
        <f t="shared" si="13"/>
        <v>Below 3,000</v>
      </c>
    </row>
    <row r="874" spans="1:24" x14ac:dyDescent="0.3">
      <c r="A874">
        <v>1220</v>
      </c>
      <c r="B874">
        <v>33</v>
      </c>
      <c r="C874" t="s">
        <v>36</v>
      </c>
      <c r="D874" t="s">
        <v>37</v>
      </c>
      <c r="E874" t="s">
        <v>24</v>
      </c>
      <c r="F874">
        <v>25</v>
      </c>
      <c r="G874" t="s">
        <v>50</v>
      </c>
      <c r="H874" t="s">
        <v>48</v>
      </c>
      <c r="I874" t="s">
        <v>27</v>
      </c>
      <c r="J874" t="s">
        <v>28</v>
      </c>
      <c r="K874" t="s">
        <v>29</v>
      </c>
      <c r="L874" t="s">
        <v>30</v>
      </c>
      <c r="M874" t="s">
        <v>29</v>
      </c>
      <c r="N874" t="s">
        <v>42</v>
      </c>
      <c r="O874">
        <v>4539</v>
      </c>
      <c r="P874">
        <v>1</v>
      </c>
      <c r="Q874" t="s">
        <v>36</v>
      </c>
      <c r="R874">
        <v>12</v>
      </c>
      <c r="S874" t="s">
        <v>33</v>
      </c>
      <c r="T874" t="s">
        <v>34</v>
      </c>
      <c r="U874">
        <v>3</v>
      </c>
      <c r="V874" t="s">
        <v>49</v>
      </c>
      <c r="W874" t="str">
        <f>IF(HR_Data[[#This Row],[age]]&lt;25,"Under 25",IF(HR_Data[[#This Row],[age]]&lt;35,"25-34",IF(HR_Data[[#This Row],[age]]&lt;45,"35-44",IF(HR_Data[[#This Row],[age]]&lt;55,"45-54","55+"))))</f>
        <v>25-34</v>
      </c>
      <c r="X874" t="str">
        <f t="shared" si="13"/>
        <v>3,000-4,999</v>
      </c>
    </row>
    <row r="875" spans="1:24" x14ac:dyDescent="0.3">
      <c r="A875">
        <v>1221</v>
      </c>
      <c r="B875">
        <v>36</v>
      </c>
      <c r="C875" t="s">
        <v>36</v>
      </c>
      <c r="D875" t="s">
        <v>23</v>
      </c>
      <c r="E875" t="s">
        <v>38</v>
      </c>
      <c r="F875">
        <v>6</v>
      </c>
      <c r="G875" t="s">
        <v>47</v>
      </c>
      <c r="H875" t="s">
        <v>26</v>
      </c>
      <c r="I875" t="s">
        <v>29</v>
      </c>
      <c r="J875" t="s">
        <v>40</v>
      </c>
      <c r="K875" t="s">
        <v>34</v>
      </c>
      <c r="L875" t="s">
        <v>46</v>
      </c>
      <c r="M875" t="s">
        <v>29</v>
      </c>
      <c r="N875" t="s">
        <v>51</v>
      </c>
      <c r="O875">
        <v>2741</v>
      </c>
      <c r="P875">
        <v>1</v>
      </c>
      <c r="Q875" t="s">
        <v>36</v>
      </c>
      <c r="R875">
        <v>14</v>
      </c>
      <c r="S875" t="s">
        <v>33</v>
      </c>
      <c r="T875" t="s">
        <v>29</v>
      </c>
      <c r="U875">
        <v>4</v>
      </c>
      <c r="V875" t="s">
        <v>44</v>
      </c>
      <c r="W875" t="str">
        <f>IF(HR_Data[[#This Row],[age]]&lt;25,"Under 25",IF(HR_Data[[#This Row],[age]]&lt;35,"25-34",IF(HR_Data[[#This Row],[age]]&lt;45,"35-44",IF(HR_Data[[#This Row],[age]]&lt;55,"45-54","55+"))))</f>
        <v>35-44</v>
      </c>
      <c r="X875" t="str">
        <f t="shared" si="13"/>
        <v>Below 3,000</v>
      </c>
    </row>
    <row r="876" spans="1:24" x14ac:dyDescent="0.3">
      <c r="A876">
        <v>1224</v>
      </c>
      <c r="B876">
        <v>30</v>
      </c>
      <c r="C876" t="s">
        <v>36</v>
      </c>
      <c r="D876" t="s">
        <v>23</v>
      </c>
      <c r="E876" t="s">
        <v>38</v>
      </c>
      <c r="F876">
        <v>7</v>
      </c>
      <c r="G876" t="s">
        <v>47</v>
      </c>
      <c r="H876" t="s">
        <v>26</v>
      </c>
      <c r="I876" t="s">
        <v>29</v>
      </c>
      <c r="J876" t="s">
        <v>40</v>
      </c>
      <c r="K876" t="s">
        <v>29</v>
      </c>
      <c r="L876" t="s">
        <v>46</v>
      </c>
      <c r="M876" t="s">
        <v>29</v>
      </c>
      <c r="N876" t="s">
        <v>51</v>
      </c>
      <c r="O876">
        <v>3491</v>
      </c>
      <c r="P876">
        <v>1</v>
      </c>
      <c r="Q876" t="s">
        <v>36</v>
      </c>
      <c r="R876">
        <v>13</v>
      </c>
      <c r="S876" t="s">
        <v>33</v>
      </c>
      <c r="T876" t="s">
        <v>34</v>
      </c>
      <c r="U876">
        <v>4</v>
      </c>
      <c r="V876" t="s">
        <v>49</v>
      </c>
      <c r="W876" t="str">
        <f>IF(HR_Data[[#This Row],[age]]&lt;25,"Under 25",IF(HR_Data[[#This Row],[age]]&lt;35,"25-34",IF(HR_Data[[#This Row],[age]]&lt;45,"35-44",IF(HR_Data[[#This Row],[age]]&lt;55,"45-54","55+"))))</f>
        <v>25-34</v>
      </c>
      <c r="X876" t="str">
        <f t="shared" si="13"/>
        <v>3,000-4,999</v>
      </c>
    </row>
    <row r="877" spans="1:24" x14ac:dyDescent="0.3">
      <c r="A877">
        <v>1225</v>
      </c>
      <c r="B877">
        <v>44</v>
      </c>
      <c r="C877" t="s">
        <v>36</v>
      </c>
      <c r="D877" t="s">
        <v>23</v>
      </c>
      <c r="E877" t="s">
        <v>38</v>
      </c>
      <c r="F877">
        <v>29</v>
      </c>
      <c r="G877" t="s">
        <v>47</v>
      </c>
      <c r="H877" t="s">
        <v>45</v>
      </c>
      <c r="I877" t="s">
        <v>31</v>
      </c>
      <c r="J877" t="s">
        <v>40</v>
      </c>
      <c r="K877" t="s">
        <v>29</v>
      </c>
      <c r="L877" t="s">
        <v>41</v>
      </c>
      <c r="M877" t="s">
        <v>31</v>
      </c>
      <c r="N877" t="s">
        <v>32</v>
      </c>
      <c r="O877">
        <v>4541</v>
      </c>
      <c r="P877">
        <v>1</v>
      </c>
      <c r="Q877" t="s">
        <v>36</v>
      </c>
      <c r="R877">
        <v>25</v>
      </c>
      <c r="S877" t="s">
        <v>43</v>
      </c>
      <c r="T877" t="s">
        <v>27</v>
      </c>
      <c r="U877">
        <v>3</v>
      </c>
      <c r="V877" t="s">
        <v>44</v>
      </c>
      <c r="W877" t="str">
        <f>IF(HR_Data[[#This Row],[age]]&lt;25,"Under 25",IF(HR_Data[[#This Row],[age]]&lt;35,"25-34",IF(HR_Data[[#This Row],[age]]&lt;45,"35-44",IF(HR_Data[[#This Row],[age]]&lt;55,"45-54","55+"))))</f>
        <v>35-44</v>
      </c>
      <c r="X877" t="str">
        <f t="shared" si="13"/>
        <v>3,000-4,999</v>
      </c>
    </row>
    <row r="878" spans="1:24" x14ac:dyDescent="0.3">
      <c r="A878">
        <v>1226</v>
      </c>
      <c r="B878">
        <v>20</v>
      </c>
      <c r="C878" t="s">
        <v>36</v>
      </c>
      <c r="D878" t="s">
        <v>23</v>
      </c>
      <c r="E878" t="s">
        <v>24</v>
      </c>
      <c r="F878">
        <v>21</v>
      </c>
      <c r="G878" t="s">
        <v>50</v>
      </c>
      <c r="H878" t="s">
        <v>58</v>
      </c>
      <c r="I878" t="s">
        <v>29</v>
      </c>
      <c r="J878" t="s">
        <v>40</v>
      </c>
      <c r="K878" t="s">
        <v>31</v>
      </c>
      <c r="L878" t="s">
        <v>56</v>
      </c>
      <c r="M878" t="s">
        <v>31</v>
      </c>
      <c r="N878" t="s">
        <v>32</v>
      </c>
      <c r="O878">
        <v>2678</v>
      </c>
      <c r="P878">
        <v>1</v>
      </c>
      <c r="Q878" t="s">
        <v>36</v>
      </c>
      <c r="R878">
        <v>17</v>
      </c>
      <c r="S878" t="s">
        <v>33</v>
      </c>
      <c r="T878" t="s">
        <v>31</v>
      </c>
      <c r="U878">
        <v>2</v>
      </c>
      <c r="V878" t="s">
        <v>44</v>
      </c>
      <c r="W878" t="str">
        <f>IF(HR_Data[[#This Row],[age]]&lt;25,"Under 25",IF(HR_Data[[#This Row],[age]]&lt;35,"25-34",IF(HR_Data[[#This Row],[age]]&lt;45,"35-44",IF(HR_Data[[#This Row],[age]]&lt;55,"45-54","55+"))))</f>
        <v>Under 25</v>
      </c>
      <c r="X878" t="str">
        <f t="shared" si="13"/>
        <v>Below 3,000</v>
      </c>
    </row>
    <row r="879" spans="1:24" x14ac:dyDescent="0.3">
      <c r="A879">
        <v>1228</v>
      </c>
      <c r="B879">
        <v>46</v>
      </c>
      <c r="C879" t="s">
        <v>36</v>
      </c>
      <c r="D879" t="s">
        <v>23</v>
      </c>
      <c r="E879" t="s">
        <v>38</v>
      </c>
      <c r="F879">
        <v>2</v>
      </c>
      <c r="G879" t="s">
        <v>47</v>
      </c>
      <c r="H879" t="s">
        <v>60</v>
      </c>
      <c r="I879" t="s">
        <v>31</v>
      </c>
      <c r="J879" t="s">
        <v>40</v>
      </c>
      <c r="K879" t="s">
        <v>29</v>
      </c>
      <c r="L879" t="s">
        <v>52</v>
      </c>
      <c r="M879" t="s">
        <v>31</v>
      </c>
      <c r="N879" t="s">
        <v>51</v>
      </c>
      <c r="O879">
        <v>7379</v>
      </c>
      <c r="P879">
        <v>2</v>
      </c>
      <c r="Q879" t="s">
        <v>36</v>
      </c>
      <c r="R879">
        <v>11</v>
      </c>
      <c r="S879" t="s">
        <v>33</v>
      </c>
      <c r="T879" t="s">
        <v>29</v>
      </c>
      <c r="U879">
        <v>3</v>
      </c>
      <c r="V879" t="s">
        <v>49</v>
      </c>
      <c r="W879" t="str">
        <f>IF(HR_Data[[#This Row],[age]]&lt;25,"Under 25",IF(HR_Data[[#This Row],[age]]&lt;35,"25-34",IF(HR_Data[[#This Row],[age]]&lt;45,"35-44",IF(HR_Data[[#This Row],[age]]&lt;55,"45-54","55+"))))</f>
        <v>45-54</v>
      </c>
      <c r="X879" t="str">
        <f t="shared" si="13"/>
        <v>5,000-7,999</v>
      </c>
    </row>
    <row r="880" spans="1:24" x14ac:dyDescent="0.3">
      <c r="A880">
        <v>1231</v>
      </c>
      <c r="B880">
        <v>42</v>
      </c>
      <c r="C880" t="s">
        <v>36</v>
      </c>
      <c r="D880" t="s">
        <v>54</v>
      </c>
      <c r="E880" t="s">
        <v>62</v>
      </c>
      <c r="F880">
        <v>2</v>
      </c>
      <c r="G880" t="s">
        <v>61</v>
      </c>
      <c r="H880" t="s">
        <v>48</v>
      </c>
      <c r="I880" t="s">
        <v>31</v>
      </c>
      <c r="J880" t="s">
        <v>40</v>
      </c>
      <c r="K880" t="s">
        <v>31</v>
      </c>
      <c r="L880" t="s">
        <v>62</v>
      </c>
      <c r="M880" t="s">
        <v>34</v>
      </c>
      <c r="N880" t="s">
        <v>42</v>
      </c>
      <c r="O880">
        <v>6272</v>
      </c>
      <c r="P880">
        <v>7</v>
      </c>
      <c r="Q880" t="s">
        <v>36</v>
      </c>
      <c r="R880">
        <v>16</v>
      </c>
      <c r="S880" t="s">
        <v>33</v>
      </c>
      <c r="T880" t="s">
        <v>34</v>
      </c>
      <c r="U880">
        <v>3</v>
      </c>
      <c r="V880" t="s">
        <v>59</v>
      </c>
      <c r="W880" t="str">
        <f>IF(HR_Data[[#This Row],[age]]&lt;25,"Under 25",IF(HR_Data[[#This Row],[age]]&lt;35,"25-34",IF(HR_Data[[#This Row],[age]]&lt;45,"35-44",IF(HR_Data[[#This Row],[age]]&lt;55,"45-54","55+"))))</f>
        <v>35-44</v>
      </c>
      <c r="X880" t="str">
        <f t="shared" si="13"/>
        <v>5,000-7,999</v>
      </c>
    </row>
    <row r="881" spans="1:24" x14ac:dyDescent="0.3">
      <c r="A881">
        <v>1233</v>
      </c>
      <c r="B881">
        <v>60</v>
      </c>
      <c r="C881" t="s">
        <v>36</v>
      </c>
      <c r="D881" t="s">
        <v>23</v>
      </c>
      <c r="E881" t="s">
        <v>24</v>
      </c>
      <c r="F881">
        <v>7</v>
      </c>
      <c r="G881" t="s">
        <v>47</v>
      </c>
      <c r="H881" t="s">
        <v>58</v>
      </c>
      <c r="I881" t="s">
        <v>27</v>
      </c>
      <c r="J881" t="s">
        <v>40</v>
      </c>
      <c r="K881" t="s">
        <v>31</v>
      </c>
      <c r="L881" t="s">
        <v>30</v>
      </c>
      <c r="M881" t="s">
        <v>31</v>
      </c>
      <c r="N881" t="s">
        <v>51</v>
      </c>
      <c r="O881">
        <v>5220</v>
      </c>
      <c r="P881">
        <v>0</v>
      </c>
      <c r="Q881" t="s">
        <v>22</v>
      </c>
      <c r="R881">
        <v>18</v>
      </c>
      <c r="S881" t="s">
        <v>33</v>
      </c>
      <c r="T881" t="s">
        <v>27</v>
      </c>
      <c r="U881">
        <v>3</v>
      </c>
      <c r="V881" t="s">
        <v>44</v>
      </c>
      <c r="W881" t="str">
        <f>IF(HR_Data[[#This Row],[age]]&lt;25,"Under 25",IF(HR_Data[[#This Row],[age]]&lt;35,"25-34",IF(HR_Data[[#This Row],[age]]&lt;45,"35-44",IF(HR_Data[[#This Row],[age]]&lt;55,"45-54","55+"))))</f>
        <v>55+</v>
      </c>
      <c r="X881" t="str">
        <f t="shared" si="13"/>
        <v>5,000-7,999</v>
      </c>
    </row>
    <row r="882" spans="1:24" x14ac:dyDescent="0.3">
      <c r="A882">
        <v>1234</v>
      </c>
      <c r="B882">
        <v>32</v>
      </c>
      <c r="C882" t="s">
        <v>36</v>
      </c>
      <c r="D882" t="s">
        <v>37</v>
      </c>
      <c r="E882" t="s">
        <v>38</v>
      </c>
      <c r="F882">
        <v>13</v>
      </c>
      <c r="G882" t="s">
        <v>50</v>
      </c>
      <c r="H882" t="s">
        <v>45</v>
      </c>
      <c r="I882" t="s">
        <v>29</v>
      </c>
      <c r="J882" t="s">
        <v>28</v>
      </c>
      <c r="K882" t="s">
        <v>27</v>
      </c>
      <c r="L882" t="s">
        <v>46</v>
      </c>
      <c r="M882" t="s">
        <v>27</v>
      </c>
      <c r="N882" t="s">
        <v>42</v>
      </c>
      <c r="O882">
        <v>2743</v>
      </c>
      <c r="P882">
        <v>1</v>
      </c>
      <c r="Q882" t="s">
        <v>36</v>
      </c>
      <c r="R882">
        <v>20</v>
      </c>
      <c r="S882" t="s">
        <v>43</v>
      </c>
      <c r="T882" t="s">
        <v>29</v>
      </c>
      <c r="U882">
        <v>2</v>
      </c>
      <c r="V882" t="s">
        <v>44</v>
      </c>
      <c r="W882" t="str">
        <f>IF(HR_Data[[#This Row],[age]]&lt;25,"Under 25",IF(HR_Data[[#This Row],[age]]&lt;35,"25-34",IF(HR_Data[[#This Row],[age]]&lt;45,"35-44",IF(HR_Data[[#This Row],[age]]&lt;55,"45-54","55+"))))</f>
        <v>25-34</v>
      </c>
      <c r="X882" t="str">
        <f t="shared" si="13"/>
        <v>Below 3,000</v>
      </c>
    </row>
    <row r="883" spans="1:24" x14ac:dyDescent="0.3">
      <c r="A883">
        <v>1235</v>
      </c>
      <c r="B883">
        <v>32</v>
      </c>
      <c r="C883" t="s">
        <v>36</v>
      </c>
      <c r="D883" t="s">
        <v>37</v>
      </c>
      <c r="E883" t="s">
        <v>38</v>
      </c>
      <c r="F883">
        <v>2</v>
      </c>
      <c r="G883" t="s">
        <v>25</v>
      </c>
      <c r="H883" t="s">
        <v>26</v>
      </c>
      <c r="I883" t="s">
        <v>31</v>
      </c>
      <c r="J883" t="s">
        <v>28</v>
      </c>
      <c r="K883" t="s">
        <v>29</v>
      </c>
      <c r="L883" t="s">
        <v>41</v>
      </c>
      <c r="M883" t="s">
        <v>29</v>
      </c>
      <c r="N883" t="s">
        <v>32</v>
      </c>
      <c r="O883">
        <v>4998</v>
      </c>
      <c r="P883">
        <v>4</v>
      </c>
      <c r="Q883" t="s">
        <v>22</v>
      </c>
      <c r="R883">
        <v>14</v>
      </c>
      <c r="S883" t="s">
        <v>33</v>
      </c>
      <c r="T883" t="s">
        <v>31</v>
      </c>
      <c r="U883">
        <v>2</v>
      </c>
      <c r="V883" t="s">
        <v>44</v>
      </c>
      <c r="W883" t="str">
        <f>IF(HR_Data[[#This Row],[age]]&lt;25,"Under 25",IF(HR_Data[[#This Row],[age]]&lt;35,"25-34",IF(HR_Data[[#This Row],[age]]&lt;45,"35-44",IF(HR_Data[[#This Row],[age]]&lt;55,"45-54","55+"))))</f>
        <v>25-34</v>
      </c>
      <c r="X883" t="str">
        <f t="shared" si="13"/>
        <v>3,000-4,999</v>
      </c>
    </row>
    <row r="884" spans="1:24" x14ac:dyDescent="0.3">
      <c r="A884">
        <v>1237</v>
      </c>
      <c r="B884">
        <v>36</v>
      </c>
      <c r="C884" t="s">
        <v>36</v>
      </c>
      <c r="D884" t="s">
        <v>23</v>
      </c>
      <c r="E884" t="s">
        <v>38</v>
      </c>
      <c r="F884">
        <v>1</v>
      </c>
      <c r="G884" t="s">
        <v>50</v>
      </c>
      <c r="H884" t="s">
        <v>60</v>
      </c>
      <c r="I884" t="s">
        <v>29</v>
      </c>
      <c r="J884" t="s">
        <v>28</v>
      </c>
      <c r="K884" t="s">
        <v>34</v>
      </c>
      <c r="L884" t="s">
        <v>52</v>
      </c>
      <c r="M884" t="s">
        <v>34</v>
      </c>
      <c r="N884" t="s">
        <v>51</v>
      </c>
      <c r="O884">
        <v>10252</v>
      </c>
      <c r="P884">
        <v>2</v>
      </c>
      <c r="Q884" t="s">
        <v>22</v>
      </c>
      <c r="R884">
        <v>21</v>
      </c>
      <c r="S884" t="s">
        <v>43</v>
      </c>
      <c r="T884" t="s">
        <v>29</v>
      </c>
      <c r="U884">
        <v>2</v>
      </c>
      <c r="V884" t="s">
        <v>44</v>
      </c>
      <c r="W884" t="str">
        <f>IF(HR_Data[[#This Row],[age]]&lt;25,"Under 25",IF(HR_Data[[#This Row],[age]]&lt;35,"25-34",IF(HR_Data[[#This Row],[age]]&lt;45,"35-44",IF(HR_Data[[#This Row],[age]]&lt;55,"45-54","55+"))))</f>
        <v>35-44</v>
      </c>
      <c r="X884" t="str">
        <f t="shared" si="13"/>
        <v>8,000+</v>
      </c>
    </row>
    <row r="885" spans="1:24" x14ac:dyDescent="0.3">
      <c r="A885">
        <v>1238</v>
      </c>
      <c r="B885">
        <v>33</v>
      </c>
      <c r="C885" t="s">
        <v>36</v>
      </c>
      <c r="D885" t="s">
        <v>23</v>
      </c>
      <c r="E885" t="s">
        <v>38</v>
      </c>
      <c r="F885">
        <v>9</v>
      </c>
      <c r="G885" t="s">
        <v>50</v>
      </c>
      <c r="H885" t="s">
        <v>48</v>
      </c>
      <c r="I885" t="s">
        <v>34</v>
      </c>
      <c r="J885" t="s">
        <v>40</v>
      </c>
      <c r="K885" t="s">
        <v>29</v>
      </c>
      <c r="L885" t="s">
        <v>41</v>
      </c>
      <c r="M885" t="s">
        <v>31</v>
      </c>
      <c r="N885" t="s">
        <v>42</v>
      </c>
      <c r="O885">
        <v>2781</v>
      </c>
      <c r="P885">
        <v>0</v>
      </c>
      <c r="Q885" t="s">
        <v>36</v>
      </c>
      <c r="R885">
        <v>13</v>
      </c>
      <c r="S885" t="s">
        <v>33</v>
      </c>
      <c r="T885" t="s">
        <v>27</v>
      </c>
      <c r="U885">
        <v>5</v>
      </c>
      <c r="V885" t="s">
        <v>44</v>
      </c>
      <c r="W885" t="str">
        <f>IF(HR_Data[[#This Row],[age]]&lt;25,"Under 25",IF(HR_Data[[#This Row],[age]]&lt;35,"25-34",IF(HR_Data[[#This Row],[age]]&lt;45,"35-44",IF(HR_Data[[#This Row],[age]]&lt;55,"45-54","55+"))))</f>
        <v>25-34</v>
      </c>
      <c r="X885" t="str">
        <f t="shared" si="13"/>
        <v>Below 3,000</v>
      </c>
    </row>
    <row r="886" spans="1:24" x14ac:dyDescent="0.3">
      <c r="A886">
        <v>1239</v>
      </c>
      <c r="B886">
        <v>40</v>
      </c>
      <c r="C886" t="s">
        <v>36</v>
      </c>
      <c r="D886" t="s">
        <v>23</v>
      </c>
      <c r="E886" t="s">
        <v>24</v>
      </c>
      <c r="F886">
        <v>10</v>
      </c>
      <c r="G886" t="s">
        <v>50</v>
      </c>
      <c r="H886" t="s">
        <v>60</v>
      </c>
      <c r="I886" t="s">
        <v>27</v>
      </c>
      <c r="J886" t="s">
        <v>28</v>
      </c>
      <c r="K886" t="s">
        <v>27</v>
      </c>
      <c r="L886" t="s">
        <v>30</v>
      </c>
      <c r="M886" t="s">
        <v>27</v>
      </c>
      <c r="N886" t="s">
        <v>51</v>
      </c>
      <c r="O886">
        <v>6852</v>
      </c>
      <c r="P886">
        <v>7</v>
      </c>
      <c r="Q886" t="s">
        <v>36</v>
      </c>
      <c r="R886">
        <v>12</v>
      </c>
      <c r="S886" t="s">
        <v>33</v>
      </c>
      <c r="T886" t="s">
        <v>27</v>
      </c>
      <c r="U886">
        <v>2</v>
      </c>
      <c r="V886" t="s">
        <v>59</v>
      </c>
      <c r="W886" t="str">
        <f>IF(HR_Data[[#This Row],[age]]&lt;25,"Under 25",IF(HR_Data[[#This Row],[age]]&lt;35,"25-34",IF(HR_Data[[#This Row],[age]]&lt;45,"35-44",IF(HR_Data[[#This Row],[age]]&lt;55,"45-54","55+"))))</f>
        <v>35-44</v>
      </c>
      <c r="X886" t="str">
        <f t="shared" si="13"/>
        <v>5,000-7,999</v>
      </c>
    </row>
    <row r="887" spans="1:24" x14ac:dyDescent="0.3">
      <c r="A887">
        <v>1240</v>
      </c>
      <c r="B887">
        <v>25</v>
      </c>
      <c r="C887" t="s">
        <v>36</v>
      </c>
      <c r="D887" t="s">
        <v>23</v>
      </c>
      <c r="E887" t="s">
        <v>24</v>
      </c>
      <c r="F887">
        <v>10</v>
      </c>
      <c r="G887" t="s">
        <v>47</v>
      </c>
      <c r="H887" t="s">
        <v>26</v>
      </c>
      <c r="I887" t="s">
        <v>29</v>
      </c>
      <c r="J887" t="s">
        <v>40</v>
      </c>
      <c r="K887" t="s">
        <v>29</v>
      </c>
      <c r="L887" t="s">
        <v>30</v>
      </c>
      <c r="M887" t="s">
        <v>31</v>
      </c>
      <c r="N887" t="s">
        <v>32</v>
      </c>
      <c r="O887">
        <v>4950</v>
      </c>
      <c r="P887">
        <v>0</v>
      </c>
      <c r="Q887" t="s">
        <v>36</v>
      </c>
      <c r="R887">
        <v>14</v>
      </c>
      <c r="S887" t="s">
        <v>33</v>
      </c>
      <c r="T887" t="s">
        <v>27</v>
      </c>
      <c r="U887">
        <v>4</v>
      </c>
      <c r="V887" t="s">
        <v>44</v>
      </c>
      <c r="W887" t="str">
        <f>IF(HR_Data[[#This Row],[age]]&lt;25,"Under 25",IF(HR_Data[[#This Row],[age]]&lt;35,"25-34",IF(HR_Data[[#This Row],[age]]&lt;45,"35-44",IF(HR_Data[[#This Row],[age]]&lt;55,"45-54","55+"))))</f>
        <v>25-34</v>
      </c>
      <c r="X887" t="str">
        <f t="shared" si="13"/>
        <v>3,000-4,999</v>
      </c>
    </row>
    <row r="888" spans="1:24" x14ac:dyDescent="0.3">
      <c r="A888">
        <v>1241</v>
      </c>
      <c r="B888">
        <v>30</v>
      </c>
      <c r="C888" t="s">
        <v>36</v>
      </c>
      <c r="D888" t="s">
        <v>23</v>
      </c>
      <c r="E888" t="s">
        <v>38</v>
      </c>
      <c r="F888">
        <v>1</v>
      </c>
      <c r="G888" t="s">
        <v>50</v>
      </c>
      <c r="H888" t="s">
        <v>48</v>
      </c>
      <c r="I888" t="s">
        <v>31</v>
      </c>
      <c r="J888" t="s">
        <v>40</v>
      </c>
      <c r="K888" t="s">
        <v>29</v>
      </c>
      <c r="L888" t="s">
        <v>41</v>
      </c>
      <c r="M888" t="s">
        <v>27</v>
      </c>
      <c r="N888" t="s">
        <v>42</v>
      </c>
      <c r="O888">
        <v>3579</v>
      </c>
      <c r="P888">
        <v>0</v>
      </c>
      <c r="Q888" t="s">
        <v>22</v>
      </c>
      <c r="R888">
        <v>21</v>
      </c>
      <c r="S888" t="s">
        <v>43</v>
      </c>
      <c r="T888" t="s">
        <v>34</v>
      </c>
      <c r="U888">
        <v>2</v>
      </c>
      <c r="V888" t="s">
        <v>44</v>
      </c>
      <c r="W888" t="str">
        <f>IF(HR_Data[[#This Row],[age]]&lt;25,"Under 25",IF(HR_Data[[#This Row],[age]]&lt;35,"25-34",IF(HR_Data[[#This Row],[age]]&lt;45,"35-44",IF(HR_Data[[#This Row],[age]]&lt;55,"45-54","55+"))))</f>
        <v>25-34</v>
      </c>
      <c r="X888" t="str">
        <f t="shared" si="13"/>
        <v>3,000-4,999</v>
      </c>
    </row>
    <row r="889" spans="1:24" x14ac:dyDescent="0.3">
      <c r="A889">
        <v>1242</v>
      </c>
      <c r="B889">
        <v>42</v>
      </c>
      <c r="C889" t="s">
        <v>36</v>
      </c>
      <c r="D889" t="s">
        <v>37</v>
      </c>
      <c r="E889" t="s">
        <v>38</v>
      </c>
      <c r="F889">
        <v>26</v>
      </c>
      <c r="G889" t="s">
        <v>61</v>
      </c>
      <c r="H889" t="s">
        <v>48</v>
      </c>
      <c r="I889" t="s">
        <v>34</v>
      </c>
      <c r="J889" t="s">
        <v>28</v>
      </c>
      <c r="K889" t="s">
        <v>29</v>
      </c>
      <c r="L889" t="s">
        <v>57</v>
      </c>
      <c r="M889" t="s">
        <v>34</v>
      </c>
      <c r="N889" t="s">
        <v>42</v>
      </c>
      <c r="O889">
        <v>13191</v>
      </c>
      <c r="P889">
        <v>3</v>
      </c>
      <c r="Q889" t="s">
        <v>22</v>
      </c>
      <c r="R889">
        <v>17</v>
      </c>
      <c r="S889" t="s">
        <v>33</v>
      </c>
      <c r="T889" t="s">
        <v>29</v>
      </c>
      <c r="U889">
        <v>6</v>
      </c>
      <c r="V889" t="s">
        <v>44</v>
      </c>
      <c r="W889" t="str">
        <f>IF(HR_Data[[#This Row],[age]]&lt;25,"Under 25",IF(HR_Data[[#This Row],[age]]&lt;35,"25-34",IF(HR_Data[[#This Row],[age]]&lt;45,"35-44",IF(HR_Data[[#This Row],[age]]&lt;55,"45-54","55+"))))</f>
        <v>35-44</v>
      </c>
      <c r="X889" t="str">
        <f t="shared" si="13"/>
        <v>8,000+</v>
      </c>
    </row>
    <row r="890" spans="1:24" x14ac:dyDescent="0.3">
      <c r="A890">
        <v>1243</v>
      </c>
      <c r="B890">
        <v>35</v>
      </c>
      <c r="C890" t="s">
        <v>36</v>
      </c>
      <c r="D890" t="s">
        <v>54</v>
      </c>
      <c r="E890" t="s">
        <v>24</v>
      </c>
      <c r="F890">
        <v>8</v>
      </c>
      <c r="G890" t="s">
        <v>25</v>
      </c>
      <c r="H890" t="s">
        <v>58</v>
      </c>
      <c r="I890" t="s">
        <v>29</v>
      </c>
      <c r="J890" t="s">
        <v>28</v>
      </c>
      <c r="K890" t="s">
        <v>27</v>
      </c>
      <c r="L890" t="s">
        <v>30</v>
      </c>
      <c r="M890" t="s">
        <v>31</v>
      </c>
      <c r="N890" t="s">
        <v>42</v>
      </c>
      <c r="O890">
        <v>10377</v>
      </c>
      <c r="P890">
        <v>4</v>
      </c>
      <c r="Q890" t="s">
        <v>22</v>
      </c>
      <c r="R890">
        <v>11</v>
      </c>
      <c r="S890" t="s">
        <v>33</v>
      </c>
      <c r="T890" t="s">
        <v>27</v>
      </c>
      <c r="U890">
        <v>6</v>
      </c>
      <c r="V890" t="s">
        <v>49</v>
      </c>
      <c r="W890" t="str">
        <f>IF(HR_Data[[#This Row],[age]]&lt;25,"Under 25",IF(HR_Data[[#This Row],[age]]&lt;35,"25-34",IF(HR_Data[[#This Row],[age]]&lt;45,"35-44",IF(HR_Data[[#This Row],[age]]&lt;55,"45-54","55+"))))</f>
        <v>35-44</v>
      </c>
      <c r="X890" t="str">
        <f t="shared" si="13"/>
        <v>8,000+</v>
      </c>
    </row>
    <row r="891" spans="1:24" x14ac:dyDescent="0.3">
      <c r="A891">
        <v>1244</v>
      </c>
      <c r="B891">
        <v>27</v>
      </c>
      <c r="C891" t="s">
        <v>36</v>
      </c>
      <c r="D891" t="s">
        <v>23</v>
      </c>
      <c r="E891" t="s">
        <v>38</v>
      </c>
      <c r="F891">
        <v>14</v>
      </c>
      <c r="G891" t="s">
        <v>50</v>
      </c>
      <c r="H891" t="s">
        <v>26</v>
      </c>
      <c r="I891" t="s">
        <v>34</v>
      </c>
      <c r="J891" t="s">
        <v>40</v>
      </c>
      <c r="K891" t="s">
        <v>29</v>
      </c>
      <c r="L891" t="s">
        <v>41</v>
      </c>
      <c r="M891" t="s">
        <v>34</v>
      </c>
      <c r="N891" t="s">
        <v>42</v>
      </c>
      <c r="O891">
        <v>2235</v>
      </c>
      <c r="P891">
        <v>1</v>
      </c>
      <c r="Q891" t="s">
        <v>22</v>
      </c>
      <c r="R891">
        <v>14</v>
      </c>
      <c r="S891" t="s">
        <v>33</v>
      </c>
      <c r="T891" t="s">
        <v>31</v>
      </c>
      <c r="U891">
        <v>3</v>
      </c>
      <c r="V891" t="s">
        <v>49</v>
      </c>
      <c r="W891" t="str">
        <f>IF(HR_Data[[#This Row],[age]]&lt;25,"Under 25",IF(HR_Data[[#This Row],[age]]&lt;35,"25-34",IF(HR_Data[[#This Row],[age]]&lt;45,"35-44",IF(HR_Data[[#This Row],[age]]&lt;55,"45-54","55+"))))</f>
        <v>25-34</v>
      </c>
      <c r="X891" t="str">
        <f t="shared" si="13"/>
        <v>Below 3,000</v>
      </c>
    </row>
    <row r="892" spans="1:24" x14ac:dyDescent="0.3">
      <c r="A892">
        <v>1245</v>
      </c>
      <c r="B892">
        <v>54</v>
      </c>
      <c r="C892" t="s">
        <v>36</v>
      </c>
      <c r="D892" t="s">
        <v>37</v>
      </c>
      <c r="E892" t="s">
        <v>38</v>
      </c>
      <c r="F892">
        <v>1</v>
      </c>
      <c r="G892" t="s">
        <v>47</v>
      </c>
      <c r="H892" t="s">
        <v>26</v>
      </c>
      <c r="I892" t="s">
        <v>31</v>
      </c>
      <c r="J892" t="s">
        <v>28</v>
      </c>
      <c r="K892" t="s">
        <v>29</v>
      </c>
      <c r="L892" t="s">
        <v>52</v>
      </c>
      <c r="M892" t="s">
        <v>29</v>
      </c>
      <c r="N892" t="s">
        <v>51</v>
      </c>
      <c r="O892">
        <v>10502</v>
      </c>
      <c r="P892">
        <v>7</v>
      </c>
      <c r="Q892" t="s">
        <v>36</v>
      </c>
      <c r="R892">
        <v>17</v>
      </c>
      <c r="S892" t="s">
        <v>33</v>
      </c>
      <c r="T892" t="s">
        <v>34</v>
      </c>
      <c r="U892">
        <v>2</v>
      </c>
      <c r="V892" t="s">
        <v>35</v>
      </c>
      <c r="W892" t="str">
        <f>IF(HR_Data[[#This Row],[age]]&lt;25,"Under 25",IF(HR_Data[[#This Row],[age]]&lt;35,"25-34",IF(HR_Data[[#This Row],[age]]&lt;45,"35-44",IF(HR_Data[[#This Row],[age]]&lt;55,"45-54","55+"))))</f>
        <v>45-54</v>
      </c>
      <c r="X892" t="str">
        <f t="shared" si="13"/>
        <v>8,000+</v>
      </c>
    </row>
    <row r="893" spans="1:24" x14ac:dyDescent="0.3">
      <c r="A893">
        <v>1246</v>
      </c>
      <c r="B893">
        <v>44</v>
      </c>
      <c r="C893" t="s">
        <v>36</v>
      </c>
      <c r="D893" t="s">
        <v>23</v>
      </c>
      <c r="E893" t="s">
        <v>38</v>
      </c>
      <c r="F893">
        <v>2</v>
      </c>
      <c r="G893" t="s">
        <v>39</v>
      </c>
      <c r="H893" t="s">
        <v>26</v>
      </c>
      <c r="I893" t="s">
        <v>34</v>
      </c>
      <c r="J893" t="s">
        <v>28</v>
      </c>
      <c r="K893" t="s">
        <v>31</v>
      </c>
      <c r="L893" t="s">
        <v>41</v>
      </c>
      <c r="M893" t="s">
        <v>31</v>
      </c>
      <c r="N893" t="s">
        <v>42</v>
      </c>
      <c r="O893">
        <v>2011</v>
      </c>
      <c r="P893">
        <v>1</v>
      </c>
      <c r="Q893" t="s">
        <v>36</v>
      </c>
      <c r="R893">
        <v>13</v>
      </c>
      <c r="S893" t="s">
        <v>33</v>
      </c>
      <c r="T893" t="s">
        <v>31</v>
      </c>
      <c r="U893">
        <v>5</v>
      </c>
      <c r="V893" t="s">
        <v>44</v>
      </c>
      <c r="W893" t="str">
        <f>IF(HR_Data[[#This Row],[age]]&lt;25,"Under 25",IF(HR_Data[[#This Row],[age]]&lt;35,"25-34",IF(HR_Data[[#This Row],[age]]&lt;45,"35-44",IF(HR_Data[[#This Row],[age]]&lt;55,"45-54","55+"))))</f>
        <v>35-44</v>
      </c>
      <c r="X893" t="str">
        <f t="shared" si="13"/>
        <v>Below 3,000</v>
      </c>
    </row>
    <row r="894" spans="1:24" x14ac:dyDescent="0.3">
      <c r="A894">
        <v>1248</v>
      </c>
      <c r="B894">
        <v>19</v>
      </c>
      <c r="C894" t="s">
        <v>22</v>
      </c>
      <c r="D894" t="s">
        <v>54</v>
      </c>
      <c r="E894" t="s">
        <v>38</v>
      </c>
      <c r="F894">
        <v>10</v>
      </c>
      <c r="G894" t="s">
        <v>50</v>
      </c>
      <c r="H894" t="s">
        <v>48</v>
      </c>
      <c r="I894" t="s">
        <v>34</v>
      </c>
      <c r="J894" t="s">
        <v>28</v>
      </c>
      <c r="K894" t="s">
        <v>27</v>
      </c>
      <c r="L894" t="s">
        <v>41</v>
      </c>
      <c r="M894" t="s">
        <v>27</v>
      </c>
      <c r="N894" t="s">
        <v>32</v>
      </c>
      <c r="O894">
        <v>1859</v>
      </c>
      <c r="P894">
        <v>1</v>
      </c>
      <c r="Q894" t="s">
        <v>22</v>
      </c>
      <c r="R894">
        <v>25</v>
      </c>
      <c r="S894" t="s">
        <v>43</v>
      </c>
      <c r="T894" t="s">
        <v>27</v>
      </c>
      <c r="U894">
        <v>2</v>
      </c>
      <c r="V894" t="s">
        <v>59</v>
      </c>
      <c r="W894" t="str">
        <f>IF(HR_Data[[#This Row],[age]]&lt;25,"Under 25",IF(HR_Data[[#This Row],[age]]&lt;35,"25-34",IF(HR_Data[[#This Row],[age]]&lt;45,"35-44",IF(HR_Data[[#This Row],[age]]&lt;55,"45-54","55+"))))</f>
        <v>Under 25</v>
      </c>
      <c r="X894" t="str">
        <f t="shared" si="13"/>
        <v>Below 3,000</v>
      </c>
    </row>
    <row r="895" spans="1:24" x14ac:dyDescent="0.3">
      <c r="A895">
        <v>1249</v>
      </c>
      <c r="B895">
        <v>29</v>
      </c>
      <c r="C895" t="s">
        <v>36</v>
      </c>
      <c r="D895" t="s">
        <v>23</v>
      </c>
      <c r="E895" t="s">
        <v>38</v>
      </c>
      <c r="F895">
        <v>1</v>
      </c>
      <c r="G895" t="s">
        <v>50</v>
      </c>
      <c r="H895" t="s">
        <v>26</v>
      </c>
      <c r="I895" t="s">
        <v>34</v>
      </c>
      <c r="J895" t="s">
        <v>28</v>
      </c>
      <c r="K895" t="s">
        <v>29</v>
      </c>
      <c r="L895" t="s">
        <v>41</v>
      </c>
      <c r="M895" t="s">
        <v>31</v>
      </c>
      <c r="N895" t="s">
        <v>51</v>
      </c>
      <c r="O895">
        <v>3760</v>
      </c>
      <c r="P895">
        <v>1</v>
      </c>
      <c r="Q895" t="s">
        <v>36</v>
      </c>
      <c r="R895">
        <v>15</v>
      </c>
      <c r="S895" t="s">
        <v>33</v>
      </c>
      <c r="T895" t="s">
        <v>34</v>
      </c>
      <c r="U895">
        <v>5</v>
      </c>
      <c r="V895" t="s">
        <v>44</v>
      </c>
      <c r="W895" t="str">
        <f>IF(HR_Data[[#This Row],[age]]&lt;25,"Under 25",IF(HR_Data[[#This Row],[age]]&lt;35,"25-34",IF(HR_Data[[#This Row],[age]]&lt;45,"35-44",IF(HR_Data[[#This Row],[age]]&lt;55,"45-54","55+"))))</f>
        <v>25-34</v>
      </c>
      <c r="X895" t="str">
        <f t="shared" si="13"/>
        <v>3,000-4,999</v>
      </c>
    </row>
    <row r="896" spans="1:24" x14ac:dyDescent="0.3">
      <c r="A896">
        <v>1250</v>
      </c>
      <c r="B896">
        <v>54</v>
      </c>
      <c r="C896" t="s">
        <v>36</v>
      </c>
      <c r="D896" t="s">
        <v>23</v>
      </c>
      <c r="E896" t="s">
        <v>38</v>
      </c>
      <c r="F896">
        <v>3</v>
      </c>
      <c r="G896" t="s">
        <v>50</v>
      </c>
      <c r="H896" t="s">
        <v>26</v>
      </c>
      <c r="I896" t="s">
        <v>31</v>
      </c>
      <c r="J896" t="s">
        <v>40</v>
      </c>
      <c r="K896" t="s">
        <v>29</v>
      </c>
      <c r="L896" t="s">
        <v>57</v>
      </c>
      <c r="M896" t="s">
        <v>31</v>
      </c>
      <c r="N896" t="s">
        <v>42</v>
      </c>
      <c r="O896">
        <v>17779</v>
      </c>
      <c r="P896">
        <v>3</v>
      </c>
      <c r="Q896" t="s">
        <v>36</v>
      </c>
      <c r="R896">
        <v>14</v>
      </c>
      <c r="S896" t="s">
        <v>33</v>
      </c>
      <c r="T896" t="s">
        <v>34</v>
      </c>
      <c r="U896">
        <v>2</v>
      </c>
      <c r="V896" t="s">
        <v>44</v>
      </c>
      <c r="W896" t="str">
        <f>IF(HR_Data[[#This Row],[age]]&lt;25,"Under 25",IF(HR_Data[[#This Row],[age]]&lt;35,"25-34",IF(HR_Data[[#This Row],[age]]&lt;45,"35-44",IF(HR_Data[[#This Row],[age]]&lt;55,"45-54","55+"))))</f>
        <v>45-54</v>
      </c>
      <c r="X896" t="str">
        <f t="shared" si="13"/>
        <v>8,000+</v>
      </c>
    </row>
    <row r="897" spans="1:24" x14ac:dyDescent="0.3">
      <c r="A897">
        <v>1251</v>
      </c>
      <c r="B897">
        <v>31</v>
      </c>
      <c r="C897" t="s">
        <v>36</v>
      </c>
      <c r="D897" t="s">
        <v>23</v>
      </c>
      <c r="E897" t="s">
        <v>38</v>
      </c>
      <c r="F897">
        <v>11</v>
      </c>
      <c r="G897" t="s">
        <v>25</v>
      </c>
      <c r="H897" t="s">
        <v>48</v>
      </c>
      <c r="I897" t="s">
        <v>29</v>
      </c>
      <c r="J897" t="s">
        <v>40</v>
      </c>
      <c r="K897" t="s">
        <v>29</v>
      </c>
      <c r="L897" t="s">
        <v>53</v>
      </c>
      <c r="M897" t="s">
        <v>34</v>
      </c>
      <c r="N897" t="s">
        <v>42</v>
      </c>
      <c r="O897">
        <v>6833</v>
      </c>
      <c r="P897">
        <v>1</v>
      </c>
      <c r="Q897" t="s">
        <v>22</v>
      </c>
      <c r="R897">
        <v>12</v>
      </c>
      <c r="S897" t="s">
        <v>33</v>
      </c>
      <c r="T897" t="s">
        <v>31</v>
      </c>
      <c r="U897">
        <v>2</v>
      </c>
      <c r="V897" t="s">
        <v>49</v>
      </c>
      <c r="W897" t="str">
        <f>IF(HR_Data[[#This Row],[age]]&lt;25,"Under 25",IF(HR_Data[[#This Row],[age]]&lt;35,"25-34",IF(HR_Data[[#This Row],[age]]&lt;45,"35-44",IF(HR_Data[[#This Row],[age]]&lt;55,"45-54","55+"))))</f>
        <v>25-34</v>
      </c>
      <c r="X897" t="str">
        <f t="shared" si="13"/>
        <v>5,000-7,999</v>
      </c>
    </row>
    <row r="898" spans="1:24" x14ac:dyDescent="0.3">
      <c r="A898">
        <v>1252</v>
      </c>
      <c r="B898">
        <v>31</v>
      </c>
      <c r="C898" t="s">
        <v>36</v>
      </c>
      <c r="D898" t="s">
        <v>23</v>
      </c>
      <c r="E898" t="s">
        <v>38</v>
      </c>
      <c r="F898">
        <v>24</v>
      </c>
      <c r="G898" t="s">
        <v>50</v>
      </c>
      <c r="H898" t="s">
        <v>48</v>
      </c>
      <c r="I898" t="s">
        <v>29</v>
      </c>
      <c r="J898" t="s">
        <v>28</v>
      </c>
      <c r="K898" t="s">
        <v>27</v>
      </c>
      <c r="L898" t="s">
        <v>53</v>
      </c>
      <c r="M898" t="s">
        <v>34</v>
      </c>
      <c r="N898" t="s">
        <v>32</v>
      </c>
      <c r="O898">
        <v>6812</v>
      </c>
      <c r="P898">
        <v>1</v>
      </c>
      <c r="Q898" t="s">
        <v>36</v>
      </c>
      <c r="R898">
        <v>19</v>
      </c>
      <c r="S898" t="s">
        <v>33</v>
      </c>
      <c r="T898" t="s">
        <v>27</v>
      </c>
      <c r="U898">
        <v>2</v>
      </c>
      <c r="V898" t="s">
        <v>44</v>
      </c>
      <c r="W898" t="str">
        <f>IF(HR_Data[[#This Row],[age]]&lt;25,"Under 25",IF(HR_Data[[#This Row],[age]]&lt;35,"25-34",IF(HR_Data[[#This Row],[age]]&lt;45,"35-44",IF(HR_Data[[#This Row],[age]]&lt;55,"45-54","55+"))))</f>
        <v>25-34</v>
      </c>
      <c r="X898" t="str">
        <f t="shared" si="13"/>
        <v>5,000-7,999</v>
      </c>
    </row>
    <row r="899" spans="1:24" x14ac:dyDescent="0.3">
      <c r="A899">
        <v>1254</v>
      </c>
      <c r="B899">
        <v>59</v>
      </c>
      <c r="C899" t="s">
        <v>36</v>
      </c>
      <c r="D899" t="s">
        <v>23</v>
      </c>
      <c r="E899" t="s">
        <v>24</v>
      </c>
      <c r="F899">
        <v>3</v>
      </c>
      <c r="G899" t="s">
        <v>50</v>
      </c>
      <c r="H899" t="s">
        <v>26</v>
      </c>
      <c r="I899" t="s">
        <v>29</v>
      </c>
      <c r="J899" t="s">
        <v>28</v>
      </c>
      <c r="K899" t="s">
        <v>27</v>
      </c>
      <c r="L899" t="s">
        <v>30</v>
      </c>
      <c r="M899" t="s">
        <v>31</v>
      </c>
      <c r="N899" t="s">
        <v>32</v>
      </c>
      <c r="O899">
        <v>5171</v>
      </c>
      <c r="P899">
        <v>5</v>
      </c>
      <c r="Q899" t="s">
        <v>36</v>
      </c>
      <c r="R899">
        <v>17</v>
      </c>
      <c r="S899" t="s">
        <v>33</v>
      </c>
      <c r="T899" t="s">
        <v>31</v>
      </c>
      <c r="U899">
        <v>2</v>
      </c>
      <c r="V899" t="s">
        <v>44</v>
      </c>
      <c r="W899" t="str">
        <f>IF(HR_Data[[#This Row],[age]]&lt;25,"Under 25",IF(HR_Data[[#This Row],[age]]&lt;35,"25-34",IF(HR_Data[[#This Row],[age]]&lt;45,"35-44",IF(HR_Data[[#This Row],[age]]&lt;55,"45-54","55+"))))</f>
        <v>55+</v>
      </c>
      <c r="X899" t="str">
        <f t="shared" ref="X899:X962" si="14">IF(O899&lt;3000,"Below 3,000",IF(O899&lt;5000,"3,000-4,999",IF(O899&lt;8000,"5,000-7,999","8,000+")))</f>
        <v>5,000-7,999</v>
      </c>
    </row>
    <row r="900" spans="1:24" x14ac:dyDescent="0.3">
      <c r="A900">
        <v>1255</v>
      </c>
      <c r="B900">
        <v>43</v>
      </c>
      <c r="C900" t="s">
        <v>36</v>
      </c>
      <c r="D900" t="s">
        <v>23</v>
      </c>
      <c r="E900" t="s">
        <v>38</v>
      </c>
      <c r="F900">
        <v>3</v>
      </c>
      <c r="G900" t="s">
        <v>50</v>
      </c>
      <c r="H900" t="s">
        <v>26</v>
      </c>
      <c r="I900" t="s">
        <v>29</v>
      </c>
      <c r="J900" t="s">
        <v>40</v>
      </c>
      <c r="K900" t="s">
        <v>34</v>
      </c>
      <c r="L900" t="s">
        <v>57</v>
      </c>
      <c r="M900" t="s">
        <v>31</v>
      </c>
      <c r="N900" t="s">
        <v>42</v>
      </c>
      <c r="O900">
        <v>19740</v>
      </c>
      <c r="P900">
        <v>3</v>
      </c>
      <c r="Q900" t="s">
        <v>36</v>
      </c>
      <c r="R900">
        <v>14</v>
      </c>
      <c r="S900" t="s">
        <v>33</v>
      </c>
      <c r="T900" t="s">
        <v>27</v>
      </c>
      <c r="U900">
        <v>2</v>
      </c>
      <c r="V900" t="s">
        <v>44</v>
      </c>
      <c r="W900" t="str">
        <f>IF(HR_Data[[#This Row],[age]]&lt;25,"Under 25",IF(HR_Data[[#This Row],[age]]&lt;35,"25-34",IF(HR_Data[[#This Row],[age]]&lt;45,"35-44",IF(HR_Data[[#This Row],[age]]&lt;55,"45-54","55+"))))</f>
        <v>35-44</v>
      </c>
      <c r="X900" t="str">
        <f t="shared" si="14"/>
        <v>8,000+</v>
      </c>
    </row>
    <row r="901" spans="1:24" x14ac:dyDescent="0.3">
      <c r="A901">
        <v>1256</v>
      </c>
      <c r="B901">
        <v>49</v>
      </c>
      <c r="C901" t="s">
        <v>36</v>
      </c>
      <c r="D901" t="s">
        <v>23</v>
      </c>
      <c r="E901" t="s">
        <v>38</v>
      </c>
      <c r="F901">
        <v>4</v>
      </c>
      <c r="G901" t="s">
        <v>25</v>
      </c>
      <c r="H901" t="s">
        <v>48</v>
      </c>
      <c r="I901" t="s">
        <v>34</v>
      </c>
      <c r="J901" t="s">
        <v>40</v>
      </c>
      <c r="K901" t="s">
        <v>27</v>
      </c>
      <c r="L901" t="s">
        <v>55</v>
      </c>
      <c r="M901" t="s">
        <v>29</v>
      </c>
      <c r="N901" t="s">
        <v>42</v>
      </c>
      <c r="O901">
        <v>18711</v>
      </c>
      <c r="P901">
        <v>2</v>
      </c>
      <c r="Q901" t="s">
        <v>36</v>
      </c>
      <c r="R901">
        <v>13</v>
      </c>
      <c r="S901" t="s">
        <v>33</v>
      </c>
      <c r="T901" t="s">
        <v>29</v>
      </c>
      <c r="U901">
        <v>2</v>
      </c>
      <c r="V901" t="s">
        <v>59</v>
      </c>
      <c r="W901" t="str">
        <f>IF(HR_Data[[#This Row],[age]]&lt;25,"Under 25",IF(HR_Data[[#This Row],[age]]&lt;35,"25-34",IF(HR_Data[[#This Row],[age]]&lt;45,"35-44",IF(HR_Data[[#This Row],[age]]&lt;55,"45-54","55+"))))</f>
        <v>45-54</v>
      </c>
      <c r="X901" t="str">
        <f t="shared" si="14"/>
        <v>8,000+</v>
      </c>
    </row>
    <row r="902" spans="1:24" x14ac:dyDescent="0.3">
      <c r="A902">
        <v>1257</v>
      </c>
      <c r="B902">
        <v>36</v>
      </c>
      <c r="C902" t="s">
        <v>36</v>
      </c>
      <c r="D902" t="s">
        <v>37</v>
      </c>
      <c r="E902" t="s">
        <v>38</v>
      </c>
      <c r="F902">
        <v>3</v>
      </c>
      <c r="G902" t="s">
        <v>50</v>
      </c>
      <c r="H902" t="s">
        <v>60</v>
      </c>
      <c r="I902" t="s">
        <v>29</v>
      </c>
      <c r="J902" t="s">
        <v>40</v>
      </c>
      <c r="K902" t="s">
        <v>29</v>
      </c>
      <c r="L902" t="s">
        <v>41</v>
      </c>
      <c r="M902" t="s">
        <v>27</v>
      </c>
      <c r="N902" t="s">
        <v>42</v>
      </c>
      <c r="O902">
        <v>3692</v>
      </c>
      <c r="P902">
        <v>1</v>
      </c>
      <c r="Q902" t="s">
        <v>36</v>
      </c>
      <c r="R902">
        <v>12</v>
      </c>
      <c r="S902" t="s">
        <v>33</v>
      </c>
      <c r="T902" t="s">
        <v>29</v>
      </c>
      <c r="U902">
        <v>2</v>
      </c>
      <c r="V902" t="s">
        <v>49</v>
      </c>
      <c r="W902" t="str">
        <f>IF(HR_Data[[#This Row],[age]]&lt;25,"Under 25",IF(HR_Data[[#This Row],[age]]&lt;35,"25-34",IF(HR_Data[[#This Row],[age]]&lt;45,"35-44",IF(HR_Data[[#This Row],[age]]&lt;55,"45-54","55+"))))</f>
        <v>35-44</v>
      </c>
      <c r="X902" t="str">
        <f t="shared" si="14"/>
        <v>3,000-4,999</v>
      </c>
    </row>
    <row r="903" spans="1:24" x14ac:dyDescent="0.3">
      <c r="A903">
        <v>1258</v>
      </c>
      <c r="B903">
        <v>48</v>
      </c>
      <c r="C903" t="s">
        <v>36</v>
      </c>
      <c r="D903" t="s">
        <v>23</v>
      </c>
      <c r="E903" t="s">
        <v>38</v>
      </c>
      <c r="F903">
        <v>2</v>
      </c>
      <c r="G903" t="s">
        <v>25</v>
      </c>
      <c r="H903" t="s">
        <v>60</v>
      </c>
      <c r="I903" t="s">
        <v>31</v>
      </c>
      <c r="J903" t="s">
        <v>40</v>
      </c>
      <c r="K903" t="s">
        <v>31</v>
      </c>
      <c r="L903" t="s">
        <v>46</v>
      </c>
      <c r="M903" t="s">
        <v>27</v>
      </c>
      <c r="N903" t="s">
        <v>32</v>
      </c>
      <c r="O903">
        <v>2559</v>
      </c>
      <c r="P903">
        <v>5</v>
      </c>
      <c r="Q903" t="s">
        <v>36</v>
      </c>
      <c r="R903">
        <v>11</v>
      </c>
      <c r="S903" t="s">
        <v>33</v>
      </c>
      <c r="T903" t="s">
        <v>29</v>
      </c>
      <c r="U903">
        <v>4</v>
      </c>
      <c r="V903" t="s">
        <v>49</v>
      </c>
      <c r="W903" t="str">
        <f>IF(HR_Data[[#This Row],[age]]&lt;25,"Under 25",IF(HR_Data[[#This Row],[age]]&lt;35,"25-34",IF(HR_Data[[#This Row],[age]]&lt;45,"35-44",IF(HR_Data[[#This Row],[age]]&lt;55,"45-54","55+"))))</f>
        <v>45-54</v>
      </c>
      <c r="X903" t="str">
        <f t="shared" si="14"/>
        <v>Below 3,000</v>
      </c>
    </row>
    <row r="904" spans="1:24" x14ac:dyDescent="0.3">
      <c r="A904">
        <v>1259</v>
      </c>
      <c r="B904">
        <v>27</v>
      </c>
      <c r="C904" t="s">
        <v>36</v>
      </c>
      <c r="D904" t="s">
        <v>23</v>
      </c>
      <c r="E904" t="s">
        <v>38</v>
      </c>
      <c r="F904">
        <v>4</v>
      </c>
      <c r="G904" t="s">
        <v>25</v>
      </c>
      <c r="H904" t="s">
        <v>26</v>
      </c>
      <c r="I904" t="s">
        <v>34</v>
      </c>
      <c r="J904" t="s">
        <v>40</v>
      </c>
      <c r="K904" t="s">
        <v>29</v>
      </c>
      <c r="L904" t="s">
        <v>41</v>
      </c>
      <c r="M904" t="s">
        <v>29</v>
      </c>
      <c r="N904" t="s">
        <v>51</v>
      </c>
      <c r="O904">
        <v>2517</v>
      </c>
      <c r="P904">
        <v>1</v>
      </c>
      <c r="Q904" t="s">
        <v>36</v>
      </c>
      <c r="R904">
        <v>11</v>
      </c>
      <c r="S904" t="s">
        <v>33</v>
      </c>
      <c r="T904" t="s">
        <v>27</v>
      </c>
      <c r="U904">
        <v>2</v>
      </c>
      <c r="V904" t="s">
        <v>44</v>
      </c>
      <c r="W904" t="str">
        <f>IF(HR_Data[[#This Row],[age]]&lt;25,"Under 25",IF(HR_Data[[#This Row],[age]]&lt;35,"25-34",IF(HR_Data[[#This Row],[age]]&lt;45,"35-44",IF(HR_Data[[#This Row],[age]]&lt;55,"45-54","55+"))))</f>
        <v>25-34</v>
      </c>
      <c r="X904" t="str">
        <f t="shared" si="14"/>
        <v>Below 3,000</v>
      </c>
    </row>
    <row r="905" spans="1:24" x14ac:dyDescent="0.3">
      <c r="A905">
        <v>1260</v>
      </c>
      <c r="B905">
        <v>29</v>
      </c>
      <c r="C905" t="s">
        <v>36</v>
      </c>
      <c r="D905" t="s">
        <v>23</v>
      </c>
      <c r="E905" t="s">
        <v>38</v>
      </c>
      <c r="F905">
        <v>7</v>
      </c>
      <c r="G905" t="s">
        <v>50</v>
      </c>
      <c r="H905" t="s">
        <v>26</v>
      </c>
      <c r="I905" t="s">
        <v>29</v>
      </c>
      <c r="J905" t="s">
        <v>40</v>
      </c>
      <c r="K905" t="s">
        <v>29</v>
      </c>
      <c r="L905" t="s">
        <v>53</v>
      </c>
      <c r="M905" t="s">
        <v>31</v>
      </c>
      <c r="N905" t="s">
        <v>51</v>
      </c>
      <c r="O905">
        <v>6623</v>
      </c>
      <c r="P905">
        <v>1</v>
      </c>
      <c r="Q905" t="s">
        <v>22</v>
      </c>
      <c r="R905">
        <v>11</v>
      </c>
      <c r="S905" t="s">
        <v>33</v>
      </c>
      <c r="T905" t="s">
        <v>27</v>
      </c>
      <c r="U905">
        <v>2</v>
      </c>
      <c r="V905" t="s">
        <v>44</v>
      </c>
      <c r="W905" t="str">
        <f>IF(HR_Data[[#This Row],[age]]&lt;25,"Under 25",IF(HR_Data[[#This Row],[age]]&lt;35,"25-34",IF(HR_Data[[#This Row],[age]]&lt;45,"35-44",IF(HR_Data[[#This Row],[age]]&lt;55,"45-54","55+"))))</f>
        <v>25-34</v>
      </c>
      <c r="X905" t="str">
        <f t="shared" si="14"/>
        <v>5,000-7,999</v>
      </c>
    </row>
    <row r="906" spans="1:24" x14ac:dyDescent="0.3">
      <c r="A906">
        <v>1263</v>
      </c>
      <c r="B906">
        <v>48</v>
      </c>
      <c r="C906" t="s">
        <v>36</v>
      </c>
      <c r="D906" t="s">
        <v>23</v>
      </c>
      <c r="E906" t="s">
        <v>38</v>
      </c>
      <c r="F906">
        <v>1</v>
      </c>
      <c r="G906" t="s">
        <v>50</v>
      </c>
      <c r="H906" t="s">
        <v>26</v>
      </c>
      <c r="I906" t="s">
        <v>31</v>
      </c>
      <c r="J906" t="s">
        <v>40</v>
      </c>
      <c r="K906" t="s">
        <v>27</v>
      </c>
      <c r="L906" t="s">
        <v>57</v>
      </c>
      <c r="M906" t="s">
        <v>31</v>
      </c>
      <c r="N906" t="s">
        <v>32</v>
      </c>
      <c r="O906">
        <v>18265</v>
      </c>
      <c r="P906">
        <v>6</v>
      </c>
      <c r="Q906" t="s">
        <v>36</v>
      </c>
      <c r="R906">
        <v>12</v>
      </c>
      <c r="S906" t="s">
        <v>33</v>
      </c>
      <c r="T906" t="s">
        <v>29</v>
      </c>
      <c r="U906">
        <v>3</v>
      </c>
      <c r="V906" t="s">
        <v>59</v>
      </c>
      <c r="W906" t="str">
        <f>IF(HR_Data[[#This Row],[age]]&lt;25,"Under 25",IF(HR_Data[[#This Row],[age]]&lt;35,"25-34",IF(HR_Data[[#This Row],[age]]&lt;45,"35-44",IF(HR_Data[[#This Row],[age]]&lt;55,"45-54","55+"))))</f>
        <v>45-54</v>
      </c>
      <c r="X906" t="str">
        <f t="shared" si="14"/>
        <v>8,000+</v>
      </c>
    </row>
    <row r="907" spans="1:24" x14ac:dyDescent="0.3">
      <c r="A907">
        <v>1264</v>
      </c>
      <c r="B907">
        <v>29</v>
      </c>
      <c r="C907" t="s">
        <v>36</v>
      </c>
      <c r="D907" t="s">
        <v>23</v>
      </c>
      <c r="E907" t="s">
        <v>38</v>
      </c>
      <c r="F907">
        <v>1</v>
      </c>
      <c r="G907" t="s">
        <v>50</v>
      </c>
      <c r="H907" t="s">
        <v>26</v>
      </c>
      <c r="I907" t="s">
        <v>31</v>
      </c>
      <c r="J907" t="s">
        <v>28</v>
      </c>
      <c r="K907" t="s">
        <v>27</v>
      </c>
      <c r="L907" t="s">
        <v>57</v>
      </c>
      <c r="M907" t="s">
        <v>31</v>
      </c>
      <c r="N907" t="s">
        <v>51</v>
      </c>
      <c r="O907">
        <v>16124</v>
      </c>
      <c r="P907">
        <v>3</v>
      </c>
      <c r="Q907" t="s">
        <v>36</v>
      </c>
      <c r="R907">
        <v>14</v>
      </c>
      <c r="S907" t="s">
        <v>33</v>
      </c>
      <c r="T907" t="s">
        <v>27</v>
      </c>
      <c r="U907">
        <v>2</v>
      </c>
      <c r="V907" t="s">
        <v>49</v>
      </c>
      <c r="W907" t="str">
        <f>IF(HR_Data[[#This Row],[age]]&lt;25,"Under 25",IF(HR_Data[[#This Row],[age]]&lt;35,"25-34",IF(HR_Data[[#This Row],[age]]&lt;45,"35-44",IF(HR_Data[[#This Row],[age]]&lt;55,"45-54","55+"))))</f>
        <v>25-34</v>
      </c>
      <c r="X907" t="str">
        <f t="shared" si="14"/>
        <v>8,000+</v>
      </c>
    </row>
    <row r="908" spans="1:24" x14ac:dyDescent="0.3">
      <c r="A908">
        <v>1265</v>
      </c>
      <c r="B908">
        <v>34</v>
      </c>
      <c r="C908" t="s">
        <v>36</v>
      </c>
      <c r="D908" t="s">
        <v>23</v>
      </c>
      <c r="E908" t="s">
        <v>38</v>
      </c>
      <c r="F908">
        <v>20</v>
      </c>
      <c r="G908" t="s">
        <v>50</v>
      </c>
      <c r="H908" t="s">
        <v>60</v>
      </c>
      <c r="I908" t="s">
        <v>29</v>
      </c>
      <c r="J908" t="s">
        <v>28</v>
      </c>
      <c r="K908" t="s">
        <v>31</v>
      </c>
      <c r="L908" t="s">
        <v>41</v>
      </c>
      <c r="M908" t="s">
        <v>29</v>
      </c>
      <c r="N908" t="s">
        <v>42</v>
      </c>
      <c r="O908">
        <v>2585</v>
      </c>
      <c r="P908">
        <v>0</v>
      </c>
      <c r="Q908" t="s">
        <v>36</v>
      </c>
      <c r="R908">
        <v>17</v>
      </c>
      <c r="S908" t="s">
        <v>33</v>
      </c>
      <c r="T908" t="s">
        <v>31</v>
      </c>
      <c r="U908">
        <v>5</v>
      </c>
      <c r="V908" t="s">
        <v>49</v>
      </c>
      <c r="W908" t="str">
        <f>IF(HR_Data[[#This Row],[age]]&lt;25,"Under 25",IF(HR_Data[[#This Row],[age]]&lt;35,"25-34",IF(HR_Data[[#This Row],[age]]&lt;45,"35-44",IF(HR_Data[[#This Row],[age]]&lt;55,"45-54","55+"))))</f>
        <v>25-34</v>
      </c>
      <c r="X908" t="str">
        <f t="shared" si="14"/>
        <v>Below 3,000</v>
      </c>
    </row>
    <row r="909" spans="1:24" x14ac:dyDescent="0.3">
      <c r="A909">
        <v>1267</v>
      </c>
      <c r="B909">
        <v>44</v>
      </c>
      <c r="C909" t="s">
        <v>36</v>
      </c>
      <c r="D909" t="s">
        <v>23</v>
      </c>
      <c r="E909" t="s">
        <v>24</v>
      </c>
      <c r="F909">
        <v>5</v>
      </c>
      <c r="G909" t="s">
        <v>50</v>
      </c>
      <c r="H909" t="s">
        <v>58</v>
      </c>
      <c r="I909" t="s">
        <v>27</v>
      </c>
      <c r="J909" t="s">
        <v>40</v>
      </c>
      <c r="K909" t="s">
        <v>29</v>
      </c>
      <c r="L909" t="s">
        <v>55</v>
      </c>
      <c r="M909" t="s">
        <v>27</v>
      </c>
      <c r="N909" t="s">
        <v>42</v>
      </c>
      <c r="O909">
        <v>18213</v>
      </c>
      <c r="P909">
        <v>7</v>
      </c>
      <c r="Q909" t="s">
        <v>36</v>
      </c>
      <c r="R909">
        <v>11</v>
      </c>
      <c r="S909" t="s">
        <v>33</v>
      </c>
      <c r="T909" t="s">
        <v>29</v>
      </c>
      <c r="U909">
        <v>5</v>
      </c>
      <c r="V909" t="s">
        <v>44</v>
      </c>
      <c r="W909" t="str">
        <f>IF(HR_Data[[#This Row],[age]]&lt;25,"Under 25",IF(HR_Data[[#This Row],[age]]&lt;35,"25-34",IF(HR_Data[[#This Row],[age]]&lt;45,"35-44",IF(HR_Data[[#This Row],[age]]&lt;55,"45-54","55+"))))</f>
        <v>35-44</v>
      </c>
      <c r="X909" t="str">
        <f t="shared" si="14"/>
        <v>8,000+</v>
      </c>
    </row>
    <row r="910" spans="1:24" x14ac:dyDescent="0.3">
      <c r="A910">
        <v>1268</v>
      </c>
      <c r="B910">
        <v>33</v>
      </c>
      <c r="C910" t="s">
        <v>36</v>
      </c>
      <c r="D910" t="s">
        <v>23</v>
      </c>
      <c r="E910" t="s">
        <v>24</v>
      </c>
      <c r="F910">
        <v>10</v>
      </c>
      <c r="G910" t="s">
        <v>61</v>
      </c>
      <c r="H910" t="s">
        <v>58</v>
      </c>
      <c r="I910" t="s">
        <v>31</v>
      </c>
      <c r="J910" t="s">
        <v>40</v>
      </c>
      <c r="K910" t="s">
        <v>31</v>
      </c>
      <c r="L910" t="s">
        <v>30</v>
      </c>
      <c r="M910" t="s">
        <v>29</v>
      </c>
      <c r="N910" t="s">
        <v>51</v>
      </c>
      <c r="O910">
        <v>8380</v>
      </c>
      <c r="P910">
        <v>0</v>
      </c>
      <c r="Q910" t="s">
        <v>22</v>
      </c>
      <c r="R910">
        <v>14</v>
      </c>
      <c r="S910" t="s">
        <v>33</v>
      </c>
      <c r="T910" t="s">
        <v>31</v>
      </c>
      <c r="U910">
        <v>3</v>
      </c>
      <c r="V910" t="s">
        <v>44</v>
      </c>
      <c r="W910" t="str">
        <f>IF(HR_Data[[#This Row],[age]]&lt;25,"Under 25",IF(HR_Data[[#This Row],[age]]&lt;35,"25-34",IF(HR_Data[[#This Row],[age]]&lt;45,"35-44",IF(HR_Data[[#This Row],[age]]&lt;55,"45-54","55+"))))</f>
        <v>25-34</v>
      </c>
      <c r="X910" t="str">
        <f t="shared" si="14"/>
        <v>8,000+</v>
      </c>
    </row>
    <row r="911" spans="1:24" x14ac:dyDescent="0.3">
      <c r="A911">
        <v>1269</v>
      </c>
      <c r="B911">
        <v>19</v>
      </c>
      <c r="C911" t="s">
        <v>36</v>
      </c>
      <c r="D911" t="s">
        <v>23</v>
      </c>
      <c r="E911" t="s">
        <v>38</v>
      </c>
      <c r="F911">
        <v>25</v>
      </c>
      <c r="G911" t="s">
        <v>50</v>
      </c>
      <c r="H911" t="s">
        <v>26</v>
      </c>
      <c r="I911" t="s">
        <v>27</v>
      </c>
      <c r="J911" t="s">
        <v>28</v>
      </c>
      <c r="K911" t="s">
        <v>31</v>
      </c>
      <c r="L911" t="s">
        <v>41</v>
      </c>
      <c r="M911" t="s">
        <v>31</v>
      </c>
      <c r="N911" t="s">
        <v>32</v>
      </c>
      <c r="O911">
        <v>2994</v>
      </c>
      <c r="P911">
        <v>1</v>
      </c>
      <c r="Q911" t="s">
        <v>22</v>
      </c>
      <c r="R911">
        <v>12</v>
      </c>
      <c r="S911" t="s">
        <v>33</v>
      </c>
      <c r="T911" t="s">
        <v>31</v>
      </c>
      <c r="U911">
        <v>2</v>
      </c>
      <c r="V911" t="s">
        <v>44</v>
      </c>
      <c r="W911" t="str">
        <f>IF(HR_Data[[#This Row],[age]]&lt;25,"Under 25",IF(HR_Data[[#This Row],[age]]&lt;35,"25-34",IF(HR_Data[[#This Row],[age]]&lt;45,"35-44",IF(HR_Data[[#This Row],[age]]&lt;55,"45-54","55+"))))</f>
        <v>Under 25</v>
      </c>
      <c r="X911" t="str">
        <f t="shared" si="14"/>
        <v>Below 3,000</v>
      </c>
    </row>
    <row r="912" spans="1:24" x14ac:dyDescent="0.3">
      <c r="A912">
        <v>1270</v>
      </c>
      <c r="B912">
        <v>23</v>
      </c>
      <c r="C912" t="s">
        <v>36</v>
      </c>
      <c r="D912" t="s">
        <v>23</v>
      </c>
      <c r="E912" t="s">
        <v>38</v>
      </c>
      <c r="F912">
        <v>1</v>
      </c>
      <c r="G912" t="s">
        <v>25</v>
      </c>
      <c r="H912" t="s">
        <v>26</v>
      </c>
      <c r="I912" t="s">
        <v>31</v>
      </c>
      <c r="J912" t="s">
        <v>40</v>
      </c>
      <c r="K912" t="s">
        <v>29</v>
      </c>
      <c r="L912" t="s">
        <v>41</v>
      </c>
      <c r="M912" t="s">
        <v>29</v>
      </c>
      <c r="N912" t="s">
        <v>42</v>
      </c>
      <c r="O912">
        <v>1223</v>
      </c>
      <c r="P912">
        <v>1</v>
      </c>
      <c r="Q912" t="s">
        <v>36</v>
      </c>
      <c r="R912">
        <v>22</v>
      </c>
      <c r="S912" t="s">
        <v>43</v>
      </c>
      <c r="T912" t="s">
        <v>31</v>
      </c>
      <c r="U912">
        <v>2</v>
      </c>
      <c r="V912" t="s">
        <v>44</v>
      </c>
      <c r="W912" t="str">
        <f>IF(HR_Data[[#This Row],[age]]&lt;25,"Under 25",IF(HR_Data[[#This Row],[age]]&lt;35,"25-34",IF(HR_Data[[#This Row],[age]]&lt;45,"35-44",IF(HR_Data[[#This Row],[age]]&lt;55,"45-54","55+"))))</f>
        <v>Under 25</v>
      </c>
      <c r="X912" t="str">
        <f t="shared" si="14"/>
        <v>Below 3,000</v>
      </c>
    </row>
    <row r="913" spans="1:24" x14ac:dyDescent="0.3">
      <c r="A913">
        <v>1273</v>
      </c>
      <c r="B913">
        <v>25</v>
      </c>
      <c r="C913" t="s">
        <v>22</v>
      </c>
      <c r="D913" t="s">
        <v>37</v>
      </c>
      <c r="E913" t="s">
        <v>24</v>
      </c>
      <c r="F913">
        <v>24</v>
      </c>
      <c r="G913" t="s">
        <v>39</v>
      </c>
      <c r="H913" t="s">
        <v>26</v>
      </c>
      <c r="I913" t="s">
        <v>29</v>
      </c>
      <c r="J913" t="s">
        <v>40</v>
      </c>
      <c r="K913" t="s">
        <v>34</v>
      </c>
      <c r="L913" t="s">
        <v>56</v>
      </c>
      <c r="M913" t="s">
        <v>31</v>
      </c>
      <c r="N913" t="s">
        <v>32</v>
      </c>
      <c r="O913">
        <v>1118</v>
      </c>
      <c r="P913">
        <v>1</v>
      </c>
      <c r="Q913" t="s">
        <v>22</v>
      </c>
      <c r="R913">
        <v>14</v>
      </c>
      <c r="S913" t="s">
        <v>33</v>
      </c>
      <c r="T913" t="s">
        <v>31</v>
      </c>
      <c r="U913">
        <v>4</v>
      </c>
      <c r="V913" t="s">
        <v>44</v>
      </c>
      <c r="W913" t="str">
        <f>IF(HR_Data[[#This Row],[age]]&lt;25,"Under 25",IF(HR_Data[[#This Row],[age]]&lt;35,"25-34",IF(HR_Data[[#This Row],[age]]&lt;45,"35-44",IF(HR_Data[[#This Row],[age]]&lt;55,"45-54","55+"))))</f>
        <v>25-34</v>
      </c>
      <c r="X913" t="str">
        <f t="shared" si="14"/>
        <v>Below 3,000</v>
      </c>
    </row>
    <row r="914" spans="1:24" x14ac:dyDescent="0.3">
      <c r="A914">
        <v>1275</v>
      </c>
      <c r="B914">
        <v>26</v>
      </c>
      <c r="C914" t="s">
        <v>36</v>
      </c>
      <c r="D914" t="s">
        <v>23</v>
      </c>
      <c r="E914" t="s">
        <v>38</v>
      </c>
      <c r="F914">
        <v>4</v>
      </c>
      <c r="G914" t="s">
        <v>25</v>
      </c>
      <c r="H914" t="s">
        <v>26</v>
      </c>
      <c r="I914" t="s">
        <v>29</v>
      </c>
      <c r="J914" t="s">
        <v>40</v>
      </c>
      <c r="K914" t="s">
        <v>29</v>
      </c>
      <c r="L914" t="s">
        <v>41</v>
      </c>
      <c r="M914" t="s">
        <v>31</v>
      </c>
      <c r="N914" t="s">
        <v>32</v>
      </c>
      <c r="O914">
        <v>2875</v>
      </c>
      <c r="P914">
        <v>1</v>
      </c>
      <c r="Q914" t="s">
        <v>22</v>
      </c>
      <c r="R914">
        <v>20</v>
      </c>
      <c r="S914" t="s">
        <v>43</v>
      </c>
      <c r="T914" t="s">
        <v>27</v>
      </c>
      <c r="U914">
        <v>2</v>
      </c>
      <c r="V914" t="s">
        <v>49</v>
      </c>
      <c r="W914" t="str">
        <f>IF(HR_Data[[#This Row],[age]]&lt;25,"Under 25",IF(HR_Data[[#This Row],[age]]&lt;35,"25-34",IF(HR_Data[[#This Row],[age]]&lt;45,"35-44",IF(HR_Data[[#This Row],[age]]&lt;55,"45-54","55+"))))</f>
        <v>25-34</v>
      </c>
      <c r="X914" t="str">
        <f t="shared" si="14"/>
        <v>Below 3,000</v>
      </c>
    </row>
    <row r="915" spans="1:24" x14ac:dyDescent="0.3">
      <c r="A915">
        <v>1277</v>
      </c>
      <c r="B915">
        <v>45</v>
      </c>
      <c r="C915" t="s">
        <v>22</v>
      </c>
      <c r="D915" t="s">
        <v>23</v>
      </c>
      <c r="E915" t="s">
        <v>24</v>
      </c>
      <c r="F915">
        <v>2</v>
      </c>
      <c r="G915" t="s">
        <v>50</v>
      </c>
      <c r="H915" t="s">
        <v>58</v>
      </c>
      <c r="I915" t="s">
        <v>34</v>
      </c>
      <c r="J915" t="s">
        <v>28</v>
      </c>
      <c r="K915" t="s">
        <v>34</v>
      </c>
      <c r="L915" t="s">
        <v>55</v>
      </c>
      <c r="M915" t="s">
        <v>27</v>
      </c>
      <c r="N915" t="s">
        <v>32</v>
      </c>
      <c r="O915">
        <v>18824</v>
      </c>
      <c r="P915">
        <v>2</v>
      </c>
      <c r="Q915" t="s">
        <v>22</v>
      </c>
      <c r="R915">
        <v>16</v>
      </c>
      <c r="S915" t="s">
        <v>33</v>
      </c>
      <c r="T915" t="s">
        <v>34</v>
      </c>
      <c r="U915">
        <v>2</v>
      </c>
      <c r="V915" t="s">
        <v>44</v>
      </c>
      <c r="W915" t="str">
        <f>IF(HR_Data[[#This Row],[age]]&lt;25,"Under 25",IF(HR_Data[[#This Row],[age]]&lt;35,"25-34",IF(HR_Data[[#This Row],[age]]&lt;45,"35-44",IF(HR_Data[[#This Row],[age]]&lt;55,"45-54","55+"))))</f>
        <v>45-54</v>
      </c>
      <c r="X915" t="str">
        <f t="shared" si="14"/>
        <v>8,000+</v>
      </c>
    </row>
    <row r="916" spans="1:24" x14ac:dyDescent="0.3">
      <c r="A916">
        <v>1278</v>
      </c>
      <c r="B916">
        <v>55</v>
      </c>
      <c r="C916" t="s">
        <v>36</v>
      </c>
      <c r="D916" t="s">
        <v>54</v>
      </c>
      <c r="E916" t="s">
        <v>38</v>
      </c>
      <c r="F916">
        <v>8</v>
      </c>
      <c r="G916" t="s">
        <v>39</v>
      </c>
      <c r="H916" t="s">
        <v>48</v>
      </c>
      <c r="I916" t="s">
        <v>31</v>
      </c>
      <c r="J916" t="s">
        <v>40</v>
      </c>
      <c r="K916" t="s">
        <v>27</v>
      </c>
      <c r="L916" t="s">
        <v>53</v>
      </c>
      <c r="M916" t="s">
        <v>27</v>
      </c>
      <c r="N916" t="s">
        <v>51</v>
      </c>
      <c r="O916">
        <v>13577</v>
      </c>
      <c r="P916">
        <v>1</v>
      </c>
      <c r="Q916" t="s">
        <v>22</v>
      </c>
      <c r="R916">
        <v>15</v>
      </c>
      <c r="S916" t="s">
        <v>33</v>
      </c>
      <c r="T916" t="s">
        <v>31</v>
      </c>
      <c r="U916">
        <v>3</v>
      </c>
      <c r="V916" t="s">
        <v>44</v>
      </c>
      <c r="W916" t="str">
        <f>IF(HR_Data[[#This Row],[age]]&lt;25,"Under 25",IF(HR_Data[[#This Row],[age]]&lt;35,"25-34",IF(HR_Data[[#This Row],[age]]&lt;45,"35-44",IF(HR_Data[[#This Row],[age]]&lt;55,"45-54","55+"))))</f>
        <v>55+</v>
      </c>
      <c r="X916" t="str">
        <f t="shared" si="14"/>
        <v>8,000+</v>
      </c>
    </row>
    <row r="917" spans="1:24" x14ac:dyDescent="0.3">
      <c r="A917">
        <v>1279</v>
      </c>
      <c r="B917">
        <v>21</v>
      </c>
      <c r="C917" t="s">
        <v>22</v>
      </c>
      <c r="D917" t="s">
        <v>37</v>
      </c>
      <c r="E917" t="s">
        <v>38</v>
      </c>
      <c r="F917">
        <v>10</v>
      </c>
      <c r="G917" t="s">
        <v>25</v>
      </c>
      <c r="H917" t="s">
        <v>26</v>
      </c>
      <c r="I917" t="s">
        <v>34</v>
      </c>
      <c r="J917" t="s">
        <v>28</v>
      </c>
      <c r="K917" t="s">
        <v>27</v>
      </c>
      <c r="L917" t="s">
        <v>46</v>
      </c>
      <c r="M917" t="s">
        <v>29</v>
      </c>
      <c r="N917" t="s">
        <v>32</v>
      </c>
      <c r="O917">
        <v>2625</v>
      </c>
      <c r="P917">
        <v>1</v>
      </c>
      <c r="Q917" t="s">
        <v>36</v>
      </c>
      <c r="R917">
        <v>20</v>
      </c>
      <c r="S917" t="s">
        <v>43</v>
      </c>
      <c r="T917" t="s">
        <v>29</v>
      </c>
      <c r="U917">
        <v>2</v>
      </c>
      <c r="V917" t="s">
        <v>35</v>
      </c>
      <c r="W917" t="str">
        <f>IF(HR_Data[[#This Row],[age]]&lt;25,"Under 25",IF(HR_Data[[#This Row],[age]]&lt;35,"25-34",IF(HR_Data[[#This Row],[age]]&lt;45,"35-44",IF(HR_Data[[#This Row],[age]]&lt;55,"45-54","55+"))))</f>
        <v>Under 25</v>
      </c>
      <c r="X917" t="str">
        <f t="shared" si="14"/>
        <v>Below 3,000</v>
      </c>
    </row>
    <row r="918" spans="1:24" x14ac:dyDescent="0.3">
      <c r="A918">
        <v>1280</v>
      </c>
      <c r="B918">
        <v>46</v>
      </c>
      <c r="C918" t="s">
        <v>36</v>
      </c>
      <c r="D918" t="s">
        <v>23</v>
      </c>
      <c r="E918" t="s">
        <v>24</v>
      </c>
      <c r="F918">
        <v>4</v>
      </c>
      <c r="G918" t="s">
        <v>25</v>
      </c>
      <c r="H918" t="s">
        <v>58</v>
      </c>
      <c r="I918" t="s">
        <v>31</v>
      </c>
      <c r="J918" t="s">
        <v>28</v>
      </c>
      <c r="K918" t="s">
        <v>27</v>
      </c>
      <c r="L918" t="s">
        <v>55</v>
      </c>
      <c r="M918" t="s">
        <v>27</v>
      </c>
      <c r="N918" t="s">
        <v>42</v>
      </c>
      <c r="O918">
        <v>18789</v>
      </c>
      <c r="P918">
        <v>2</v>
      </c>
      <c r="Q918" t="s">
        <v>36</v>
      </c>
      <c r="R918">
        <v>14</v>
      </c>
      <c r="S918" t="s">
        <v>33</v>
      </c>
      <c r="T918" t="s">
        <v>29</v>
      </c>
      <c r="U918">
        <v>2</v>
      </c>
      <c r="V918" t="s">
        <v>44</v>
      </c>
      <c r="W918" t="str">
        <f>IF(HR_Data[[#This Row],[age]]&lt;25,"Under 25",IF(HR_Data[[#This Row],[age]]&lt;35,"25-34",IF(HR_Data[[#This Row],[age]]&lt;45,"35-44",IF(HR_Data[[#This Row],[age]]&lt;55,"45-54","55+"))))</f>
        <v>45-54</v>
      </c>
      <c r="X918" t="str">
        <f t="shared" si="14"/>
        <v>8,000+</v>
      </c>
    </row>
    <row r="919" spans="1:24" x14ac:dyDescent="0.3">
      <c r="A919">
        <v>1281</v>
      </c>
      <c r="B919">
        <v>34</v>
      </c>
      <c r="C919" t="s">
        <v>36</v>
      </c>
      <c r="D919" t="s">
        <v>23</v>
      </c>
      <c r="E919" t="s">
        <v>24</v>
      </c>
      <c r="F919">
        <v>2</v>
      </c>
      <c r="G919" t="s">
        <v>50</v>
      </c>
      <c r="H919" t="s">
        <v>58</v>
      </c>
      <c r="I919" t="s">
        <v>29</v>
      </c>
      <c r="J919" t="s">
        <v>28</v>
      </c>
      <c r="K919" t="s">
        <v>29</v>
      </c>
      <c r="L919" t="s">
        <v>30</v>
      </c>
      <c r="M919" t="s">
        <v>34</v>
      </c>
      <c r="N919" t="s">
        <v>32</v>
      </c>
      <c r="O919">
        <v>4538</v>
      </c>
      <c r="P919">
        <v>0</v>
      </c>
      <c r="Q919" t="s">
        <v>22</v>
      </c>
      <c r="R919">
        <v>12</v>
      </c>
      <c r="S919" t="s">
        <v>33</v>
      </c>
      <c r="T919" t="s">
        <v>31</v>
      </c>
      <c r="U919">
        <v>3</v>
      </c>
      <c r="V919" t="s">
        <v>44</v>
      </c>
      <c r="W919" t="str">
        <f>IF(HR_Data[[#This Row],[age]]&lt;25,"Under 25",IF(HR_Data[[#This Row],[age]]&lt;35,"25-34",IF(HR_Data[[#This Row],[age]]&lt;45,"35-44",IF(HR_Data[[#This Row],[age]]&lt;55,"45-54","55+"))))</f>
        <v>25-34</v>
      </c>
      <c r="X919" t="str">
        <f t="shared" si="14"/>
        <v>3,000-4,999</v>
      </c>
    </row>
    <row r="920" spans="1:24" x14ac:dyDescent="0.3">
      <c r="A920">
        <v>1282</v>
      </c>
      <c r="B920">
        <v>51</v>
      </c>
      <c r="C920" t="s">
        <v>36</v>
      </c>
      <c r="D920" t="s">
        <v>37</v>
      </c>
      <c r="E920" t="s">
        <v>24</v>
      </c>
      <c r="F920">
        <v>9</v>
      </c>
      <c r="G920" t="s">
        <v>50</v>
      </c>
      <c r="H920" t="s">
        <v>26</v>
      </c>
      <c r="I920" t="s">
        <v>31</v>
      </c>
      <c r="J920" t="s">
        <v>40</v>
      </c>
      <c r="K920" t="s">
        <v>29</v>
      </c>
      <c r="L920" t="s">
        <v>55</v>
      </c>
      <c r="M920" t="s">
        <v>27</v>
      </c>
      <c r="N920" t="s">
        <v>51</v>
      </c>
      <c r="O920">
        <v>19847</v>
      </c>
      <c r="P920">
        <v>4</v>
      </c>
      <c r="Q920" t="s">
        <v>22</v>
      </c>
      <c r="R920">
        <v>24</v>
      </c>
      <c r="S920" t="s">
        <v>43</v>
      </c>
      <c r="T920" t="s">
        <v>34</v>
      </c>
      <c r="U920">
        <v>5</v>
      </c>
      <c r="V920" t="s">
        <v>49</v>
      </c>
      <c r="W920" t="str">
        <f>IF(HR_Data[[#This Row],[age]]&lt;25,"Under 25",IF(HR_Data[[#This Row],[age]]&lt;35,"25-34",IF(HR_Data[[#This Row],[age]]&lt;45,"35-44",IF(HR_Data[[#This Row],[age]]&lt;55,"45-54","55+"))))</f>
        <v>45-54</v>
      </c>
      <c r="X920" t="str">
        <f t="shared" si="14"/>
        <v>8,000+</v>
      </c>
    </row>
    <row r="921" spans="1:24" x14ac:dyDescent="0.3">
      <c r="A921">
        <v>1283</v>
      </c>
      <c r="B921">
        <v>59</v>
      </c>
      <c r="C921" t="s">
        <v>36</v>
      </c>
      <c r="D921" t="s">
        <v>23</v>
      </c>
      <c r="E921" t="s">
        <v>38</v>
      </c>
      <c r="F921">
        <v>18</v>
      </c>
      <c r="G921" t="s">
        <v>47</v>
      </c>
      <c r="H921" t="s">
        <v>48</v>
      </c>
      <c r="I921" t="s">
        <v>31</v>
      </c>
      <c r="J921" t="s">
        <v>40</v>
      </c>
      <c r="K921" t="s">
        <v>29</v>
      </c>
      <c r="L921" t="s">
        <v>52</v>
      </c>
      <c r="M921" t="s">
        <v>31</v>
      </c>
      <c r="N921" t="s">
        <v>32</v>
      </c>
      <c r="O921">
        <v>10512</v>
      </c>
      <c r="P921">
        <v>6</v>
      </c>
      <c r="Q921" t="s">
        <v>36</v>
      </c>
      <c r="R921">
        <v>12</v>
      </c>
      <c r="S921" t="s">
        <v>33</v>
      </c>
      <c r="T921" t="s">
        <v>31</v>
      </c>
      <c r="U921">
        <v>6</v>
      </c>
      <c r="V921" t="s">
        <v>49</v>
      </c>
      <c r="W921" t="str">
        <f>IF(HR_Data[[#This Row],[age]]&lt;25,"Under 25",IF(HR_Data[[#This Row],[age]]&lt;35,"25-34",IF(HR_Data[[#This Row],[age]]&lt;45,"35-44",IF(HR_Data[[#This Row],[age]]&lt;55,"45-54","55+"))))</f>
        <v>55+</v>
      </c>
      <c r="X921" t="str">
        <f t="shared" si="14"/>
        <v>8,000+</v>
      </c>
    </row>
    <row r="922" spans="1:24" x14ac:dyDescent="0.3">
      <c r="A922">
        <v>1285</v>
      </c>
      <c r="B922">
        <v>34</v>
      </c>
      <c r="C922" t="s">
        <v>36</v>
      </c>
      <c r="D922" t="s">
        <v>37</v>
      </c>
      <c r="E922" t="s">
        <v>38</v>
      </c>
      <c r="F922">
        <v>19</v>
      </c>
      <c r="G922" t="s">
        <v>50</v>
      </c>
      <c r="H922" t="s">
        <v>48</v>
      </c>
      <c r="I922" t="s">
        <v>29</v>
      </c>
      <c r="J922" t="s">
        <v>28</v>
      </c>
      <c r="K922" t="s">
        <v>29</v>
      </c>
      <c r="L922" t="s">
        <v>46</v>
      </c>
      <c r="M922" t="s">
        <v>27</v>
      </c>
      <c r="N922" t="s">
        <v>51</v>
      </c>
      <c r="O922">
        <v>4444</v>
      </c>
      <c r="P922">
        <v>4</v>
      </c>
      <c r="Q922" t="s">
        <v>36</v>
      </c>
      <c r="R922">
        <v>13</v>
      </c>
      <c r="S922" t="s">
        <v>33</v>
      </c>
      <c r="T922" t="s">
        <v>29</v>
      </c>
      <c r="U922">
        <v>2</v>
      </c>
      <c r="V922" t="s">
        <v>59</v>
      </c>
      <c r="W922" t="str">
        <f>IF(HR_Data[[#This Row],[age]]&lt;25,"Under 25",IF(HR_Data[[#This Row],[age]]&lt;35,"25-34",IF(HR_Data[[#This Row],[age]]&lt;45,"35-44",IF(HR_Data[[#This Row],[age]]&lt;55,"45-54","55+"))))</f>
        <v>25-34</v>
      </c>
      <c r="X922" t="str">
        <f t="shared" si="14"/>
        <v>3,000-4,999</v>
      </c>
    </row>
    <row r="923" spans="1:24" x14ac:dyDescent="0.3">
      <c r="A923">
        <v>1286</v>
      </c>
      <c r="B923">
        <v>28</v>
      </c>
      <c r="C923" t="s">
        <v>36</v>
      </c>
      <c r="D923" t="s">
        <v>37</v>
      </c>
      <c r="E923" t="s">
        <v>38</v>
      </c>
      <c r="F923">
        <v>1</v>
      </c>
      <c r="G923" t="s">
        <v>47</v>
      </c>
      <c r="H923" t="s">
        <v>48</v>
      </c>
      <c r="I923" t="s">
        <v>31</v>
      </c>
      <c r="J923" t="s">
        <v>40</v>
      </c>
      <c r="K923" t="s">
        <v>29</v>
      </c>
      <c r="L923" t="s">
        <v>46</v>
      </c>
      <c r="M923" t="s">
        <v>29</v>
      </c>
      <c r="N923" t="s">
        <v>32</v>
      </c>
      <c r="O923">
        <v>2154</v>
      </c>
      <c r="P923">
        <v>0</v>
      </c>
      <c r="Q923" t="s">
        <v>22</v>
      </c>
      <c r="R923">
        <v>11</v>
      </c>
      <c r="S923" t="s">
        <v>33</v>
      </c>
      <c r="T923" t="s">
        <v>29</v>
      </c>
      <c r="U923">
        <v>2</v>
      </c>
      <c r="V923" t="s">
        <v>49</v>
      </c>
      <c r="W923" t="str">
        <f>IF(HR_Data[[#This Row],[age]]&lt;25,"Under 25",IF(HR_Data[[#This Row],[age]]&lt;35,"25-34",IF(HR_Data[[#This Row],[age]]&lt;45,"35-44",IF(HR_Data[[#This Row],[age]]&lt;55,"45-54","55+"))))</f>
        <v>25-34</v>
      </c>
      <c r="X923" t="str">
        <f t="shared" si="14"/>
        <v>Below 3,000</v>
      </c>
    </row>
    <row r="924" spans="1:24" x14ac:dyDescent="0.3">
      <c r="A924">
        <v>1288</v>
      </c>
      <c r="B924">
        <v>44</v>
      </c>
      <c r="C924" t="s">
        <v>36</v>
      </c>
      <c r="D924" t="s">
        <v>23</v>
      </c>
      <c r="E924" t="s">
        <v>38</v>
      </c>
      <c r="F924">
        <v>4</v>
      </c>
      <c r="G924" t="s">
        <v>25</v>
      </c>
      <c r="H924" t="s">
        <v>26</v>
      </c>
      <c r="I924" t="s">
        <v>29</v>
      </c>
      <c r="J924" t="s">
        <v>40</v>
      </c>
      <c r="K924" t="s">
        <v>31</v>
      </c>
      <c r="L924" t="s">
        <v>55</v>
      </c>
      <c r="M924" t="s">
        <v>34</v>
      </c>
      <c r="N924" t="s">
        <v>51</v>
      </c>
      <c r="O924">
        <v>19190</v>
      </c>
      <c r="P924">
        <v>1</v>
      </c>
      <c r="Q924" t="s">
        <v>36</v>
      </c>
      <c r="R924">
        <v>14</v>
      </c>
      <c r="S924" t="s">
        <v>33</v>
      </c>
      <c r="T924" t="s">
        <v>31</v>
      </c>
      <c r="U924">
        <v>4</v>
      </c>
      <c r="V924" t="s">
        <v>49</v>
      </c>
      <c r="W924" t="str">
        <f>IF(HR_Data[[#This Row],[age]]&lt;25,"Under 25",IF(HR_Data[[#This Row],[age]]&lt;35,"25-34",IF(HR_Data[[#This Row],[age]]&lt;45,"35-44",IF(HR_Data[[#This Row],[age]]&lt;55,"45-54","55+"))))</f>
        <v>35-44</v>
      </c>
      <c r="X924" t="str">
        <f t="shared" si="14"/>
        <v>8,000+</v>
      </c>
    </row>
    <row r="925" spans="1:24" x14ac:dyDescent="0.3">
      <c r="A925">
        <v>1289</v>
      </c>
      <c r="B925">
        <v>34</v>
      </c>
      <c r="C925" t="s">
        <v>36</v>
      </c>
      <c r="D925" t="s">
        <v>37</v>
      </c>
      <c r="E925" t="s">
        <v>62</v>
      </c>
      <c r="F925">
        <v>11</v>
      </c>
      <c r="G925" t="s">
        <v>50</v>
      </c>
      <c r="H925" t="s">
        <v>26</v>
      </c>
      <c r="I925" t="s">
        <v>29</v>
      </c>
      <c r="J925" t="s">
        <v>40</v>
      </c>
      <c r="K925" t="s">
        <v>27</v>
      </c>
      <c r="L925" t="s">
        <v>62</v>
      </c>
      <c r="M925" t="s">
        <v>27</v>
      </c>
      <c r="N925" t="s">
        <v>42</v>
      </c>
      <c r="O925">
        <v>4490</v>
      </c>
      <c r="P925">
        <v>4</v>
      </c>
      <c r="Q925" t="s">
        <v>36</v>
      </c>
      <c r="R925">
        <v>11</v>
      </c>
      <c r="S925" t="s">
        <v>33</v>
      </c>
      <c r="T925" t="s">
        <v>31</v>
      </c>
      <c r="U925">
        <v>5</v>
      </c>
      <c r="V925" t="s">
        <v>59</v>
      </c>
      <c r="W925" t="str">
        <f>IF(HR_Data[[#This Row],[age]]&lt;25,"Under 25",IF(HR_Data[[#This Row],[age]]&lt;35,"25-34",IF(HR_Data[[#This Row],[age]]&lt;45,"35-44",IF(HR_Data[[#This Row],[age]]&lt;55,"45-54","55+"))))</f>
        <v>25-34</v>
      </c>
      <c r="X925" t="str">
        <f t="shared" si="14"/>
        <v>3,000-4,999</v>
      </c>
    </row>
    <row r="926" spans="1:24" x14ac:dyDescent="0.3">
      <c r="A926">
        <v>1291</v>
      </c>
      <c r="B926">
        <v>35</v>
      </c>
      <c r="C926" t="s">
        <v>36</v>
      </c>
      <c r="D926" t="s">
        <v>23</v>
      </c>
      <c r="E926" t="s">
        <v>38</v>
      </c>
      <c r="F926">
        <v>6</v>
      </c>
      <c r="G926" t="s">
        <v>39</v>
      </c>
      <c r="H926" t="s">
        <v>26</v>
      </c>
      <c r="I926" t="s">
        <v>29</v>
      </c>
      <c r="J926" t="s">
        <v>40</v>
      </c>
      <c r="K926" t="s">
        <v>29</v>
      </c>
      <c r="L926" t="s">
        <v>41</v>
      </c>
      <c r="M926" t="s">
        <v>29</v>
      </c>
      <c r="N926" t="s">
        <v>42</v>
      </c>
      <c r="O926">
        <v>3506</v>
      </c>
      <c r="P926">
        <v>0</v>
      </c>
      <c r="Q926" t="s">
        <v>22</v>
      </c>
      <c r="R926">
        <v>14</v>
      </c>
      <c r="S926" t="s">
        <v>33</v>
      </c>
      <c r="T926" t="s">
        <v>31</v>
      </c>
      <c r="U926">
        <v>3</v>
      </c>
      <c r="V926" t="s">
        <v>44</v>
      </c>
      <c r="W926" t="str">
        <f>IF(HR_Data[[#This Row],[age]]&lt;25,"Under 25",IF(HR_Data[[#This Row],[age]]&lt;35,"25-34",IF(HR_Data[[#This Row],[age]]&lt;45,"35-44",IF(HR_Data[[#This Row],[age]]&lt;55,"45-54","55+"))))</f>
        <v>35-44</v>
      </c>
      <c r="X926" t="str">
        <f t="shared" si="14"/>
        <v>3,000-4,999</v>
      </c>
    </row>
    <row r="927" spans="1:24" x14ac:dyDescent="0.3">
      <c r="A927">
        <v>1292</v>
      </c>
      <c r="B927">
        <v>42</v>
      </c>
      <c r="C927" t="s">
        <v>36</v>
      </c>
      <c r="D927" t="s">
        <v>23</v>
      </c>
      <c r="E927" t="s">
        <v>38</v>
      </c>
      <c r="F927">
        <v>7</v>
      </c>
      <c r="G927" t="s">
        <v>47</v>
      </c>
      <c r="H927" t="s">
        <v>48</v>
      </c>
      <c r="I927" t="s">
        <v>27</v>
      </c>
      <c r="J927" t="s">
        <v>28</v>
      </c>
      <c r="K927" t="s">
        <v>31</v>
      </c>
      <c r="L927" t="s">
        <v>41</v>
      </c>
      <c r="M927" t="s">
        <v>27</v>
      </c>
      <c r="N927" t="s">
        <v>42</v>
      </c>
      <c r="O927">
        <v>2372</v>
      </c>
      <c r="P927">
        <v>6</v>
      </c>
      <c r="Q927" t="s">
        <v>22</v>
      </c>
      <c r="R927">
        <v>16</v>
      </c>
      <c r="S927" t="s">
        <v>33</v>
      </c>
      <c r="T927" t="s">
        <v>31</v>
      </c>
      <c r="U927">
        <v>2</v>
      </c>
      <c r="V927" t="s">
        <v>44</v>
      </c>
      <c r="W927" t="str">
        <f>IF(HR_Data[[#This Row],[age]]&lt;25,"Under 25",IF(HR_Data[[#This Row],[age]]&lt;35,"25-34",IF(HR_Data[[#This Row],[age]]&lt;45,"35-44",IF(HR_Data[[#This Row],[age]]&lt;55,"45-54","55+"))))</f>
        <v>35-44</v>
      </c>
      <c r="X927" t="str">
        <f t="shared" si="14"/>
        <v>Below 3,000</v>
      </c>
    </row>
    <row r="928" spans="1:24" x14ac:dyDescent="0.3">
      <c r="A928">
        <v>1293</v>
      </c>
      <c r="B928">
        <v>43</v>
      </c>
      <c r="C928" t="s">
        <v>36</v>
      </c>
      <c r="D928" t="s">
        <v>23</v>
      </c>
      <c r="E928" t="s">
        <v>24</v>
      </c>
      <c r="F928">
        <v>4</v>
      </c>
      <c r="G928" t="s">
        <v>47</v>
      </c>
      <c r="H928" t="s">
        <v>58</v>
      </c>
      <c r="I928" t="s">
        <v>31</v>
      </c>
      <c r="J928" t="s">
        <v>28</v>
      </c>
      <c r="K928" t="s">
        <v>27</v>
      </c>
      <c r="L928" t="s">
        <v>30</v>
      </c>
      <c r="M928" t="s">
        <v>31</v>
      </c>
      <c r="N928" t="s">
        <v>32</v>
      </c>
      <c r="O928">
        <v>10231</v>
      </c>
      <c r="P928">
        <v>3</v>
      </c>
      <c r="Q928" t="s">
        <v>36</v>
      </c>
      <c r="R928">
        <v>14</v>
      </c>
      <c r="S928" t="s">
        <v>33</v>
      </c>
      <c r="T928" t="s">
        <v>31</v>
      </c>
      <c r="U928">
        <v>3</v>
      </c>
      <c r="V928" t="s">
        <v>59</v>
      </c>
      <c r="W928" t="str">
        <f>IF(HR_Data[[#This Row],[age]]&lt;25,"Under 25",IF(HR_Data[[#This Row],[age]]&lt;35,"25-34",IF(HR_Data[[#This Row],[age]]&lt;45,"35-44",IF(HR_Data[[#This Row],[age]]&lt;55,"45-54","55+"))))</f>
        <v>35-44</v>
      </c>
      <c r="X928" t="str">
        <f t="shared" si="14"/>
        <v>8,000+</v>
      </c>
    </row>
    <row r="929" spans="1:24" x14ac:dyDescent="0.3">
      <c r="A929">
        <v>1294</v>
      </c>
      <c r="B929">
        <v>36</v>
      </c>
      <c r="C929" t="s">
        <v>36</v>
      </c>
      <c r="D929" t="s">
        <v>23</v>
      </c>
      <c r="E929" t="s">
        <v>38</v>
      </c>
      <c r="F929">
        <v>2</v>
      </c>
      <c r="G929" t="s">
        <v>47</v>
      </c>
      <c r="H929" t="s">
        <v>26</v>
      </c>
      <c r="I929" t="s">
        <v>29</v>
      </c>
      <c r="J929" t="s">
        <v>28</v>
      </c>
      <c r="K929" t="s">
        <v>29</v>
      </c>
      <c r="L929" t="s">
        <v>52</v>
      </c>
      <c r="M929" t="s">
        <v>27</v>
      </c>
      <c r="N929" t="s">
        <v>32</v>
      </c>
      <c r="O929">
        <v>5410</v>
      </c>
      <c r="P929">
        <v>9</v>
      </c>
      <c r="Q929" t="s">
        <v>22</v>
      </c>
      <c r="R929">
        <v>11</v>
      </c>
      <c r="S929" t="s">
        <v>33</v>
      </c>
      <c r="T929" t="s">
        <v>31</v>
      </c>
      <c r="U929">
        <v>2</v>
      </c>
      <c r="V929" t="s">
        <v>44</v>
      </c>
      <c r="W929" t="str">
        <f>IF(HR_Data[[#This Row],[age]]&lt;25,"Under 25",IF(HR_Data[[#This Row],[age]]&lt;35,"25-34",IF(HR_Data[[#This Row],[age]]&lt;45,"35-44",IF(HR_Data[[#This Row],[age]]&lt;55,"45-54","55+"))))</f>
        <v>35-44</v>
      </c>
      <c r="X929" t="str">
        <f t="shared" si="14"/>
        <v>5,000-7,999</v>
      </c>
    </row>
    <row r="930" spans="1:24" x14ac:dyDescent="0.3">
      <c r="A930">
        <v>1295</v>
      </c>
      <c r="B930">
        <v>44</v>
      </c>
      <c r="C930" t="s">
        <v>22</v>
      </c>
      <c r="D930" t="s">
        <v>23</v>
      </c>
      <c r="E930" t="s">
        <v>38</v>
      </c>
      <c r="F930">
        <v>15</v>
      </c>
      <c r="G930" t="s">
        <v>50</v>
      </c>
      <c r="H930" t="s">
        <v>48</v>
      </c>
      <c r="I930" t="s">
        <v>34</v>
      </c>
      <c r="J930" t="s">
        <v>28</v>
      </c>
      <c r="K930" t="s">
        <v>29</v>
      </c>
      <c r="L930" t="s">
        <v>53</v>
      </c>
      <c r="M930" t="s">
        <v>31</v>
      </c>
      <c r="N930" t="s">
        <v>42</v>
      </c>
      <c r="O930">
        <v>7978</v>
      </c>
      <c r="P930">
        <v>1</v>
      </c>
      <c r="Q930" t="s">
        <v>36</v>
      </c>
      <c r="R930">
        <v>11</v>
      </c>
      <c r="S930" t="s">
        <v>33</v>
      </c>
      <c r="T930" t="s">
        <v>31</v>
      </c>
      <c r="U930">
        <v>2</v>
      </c>
      <c r="V930" t="s">
        <v>44</v>
      </c>
      <c r="W930" t="str">
        <f>IF(HR_Data[[#This Row],[age]]&lt;25,"Under 25",IF(HR_Data[[#This Row],[age]]&lt;35,"25-34",IF(HR_Data[[#This Row],[age]]&lt;45,"35-44",IF(HR_Data[[#This Row],[age]]&lt;55,"45-54","55+"))))</f>
        <v>35-44</v>
      </c>
      <c r="X930" t="str">
        <f t="shared" si="14"/>
        <v>5,000-7,999</v>
      </c>
    </row>
    <row r="931" spans="1:24" x14ac:dyDescent="0.3">
      <c r="A931">
        <v>1296</v>
      </c>
      <c r="B931">
        <v>28</v>
      </c>
      <c r="C931" t="s">
        <v>36</v>
      </c>
      <c r="D931" t="s">
        <v>37</v>
      </c>
      <c r="E931" t="s">
        <v>38</v>
      </c>
      <c r="F931">
        <v>2</v>
      </c>
      <c r="G931" t="s">
        <v>50</v>
      </c>
      <c r="H931" t="s">
        <v>26</v>
      </c>
      <c r="I931" t="s">
        <v>31</v>
      </c>
      <c r="J931" t="s">
        <v>40</v>
      </c>
      <c r="K931" t="s">
        <v>27</v>
      </c>
      <c r="L931" t="s">
        <v>46</v>
      </c>
      <c r="M931" t="s">
        <v>31</v>
      </c>
      <c r="N931" t="s">
        <v>42</v>
      </c>
      <c r="O931">
        <v>3867</v>
      </c>
      <c r="P931">
        <v>1</v>
      </c>
      <c r="Q931" t="s">
        <v>22</v>
      </c>
      <c r="R931">
        <v>12</v>
      </c>
      <c r="S931" t="s">
        <v>33</v>
      </c>
      <c r="T931" t="s">
        <v>27</v>
      </c>
      <c r="U931">
        <v>2</v>
      </c>
      <c r="V931" t="s">
        <v>44</v>
      </c>
      <c r="W931" t="str">
        <f>IF(HR_Data[[#This Row],[age]]&lt;25,"Under 25",IF(HR_Data[[#This Row],[age]]&lt;35,"25-34",IF(HR_Data[[#This Row],[age]]&lt;45,"35-44",IF(HR_Data[[#This Row],[age]]&lt;55,"45-54","55+"))))</f>
        <v>25-34</v>
      </c>
      <c r="X931" t="str">
        <f t="shared" si="14"/>
        <v>3,000-4,999</v>
      </c>
    </row>
    <row r="932" spans="1:24" x14ac:dyDescent="0.3">
      <c r="A932">
        <v>1297</v>
      </c>
      <c r="B932">
        <v>51</v>
      </c>
      <c r="C932" t="s">
        <v>36</v>
      </c>
      <c r="D932" t="s">
        <v>37</v>
      </c>
      <c r="E932" t="s">
        <v>38</v>
      </c>
      <c r="F932">
        <v>6</v>
      </c>
      <c r="G932" t="s">
        <v>25</v>
      </c>
      <c r="H932" t="s">
        <v>48</v>
      </c>
      <c r="I932" t="s">
        <v>27</v>
      </c>
      <c r="J932" t="s">
        <v>28</v>
      </c>
      <c r="K932" t="s">
        <v>27</v>
      </c>
      <c r="L932" t="s">
        <v>46</v>
      </c>
      <c r="M932" t="s">
        <v>29</v>
      </c>
      <c r="N932" t="s">
        <v>32</v>
      </c>
      <c r="O932">
        <v>2838</v>
      </c>
      <c r="P932">
        <v>0</v>
      </c>
      <c r="Q932" t="s">
        <v>36</v>
      </c>
      <c r="R932">
        <v>14</v>
      </c>
      <c r="S932" t="s">
        <v>33</v>
      </c>
      <c r="T932" t="s">
        <v>27</v>
      </c>
      <c r="U932">
        <v>6</v>
      </c>
      <c r="V932" t="s">
        <v>49</v>
      </c>
      <c r="W932" t="str">
        <f>IF(HR_Data[[#This Row],[age]]&lt;25,"Under 25",IF(HR_Data[[#This Row],[age]]&lt;35,"25-34",IF(HR_Data[[#This Row],[age]]&lt;45,"35-44",IF(HR_Data[[#This Row],[age]]&lt;55,"45-54","55+"))))</f>
        <v>45-54</v>
      </c>
      <c r="X932" t="str">
        <f t="shared" si="14"/>
        <v>Below 3,000</v>
      </c>
    </row>
    <row r="933" spans="1:24" x14ac:dyDescent="0.3">
      <c r="A933">
        <v>1298</v>
      </c>
      <c r="B933">
        <v>30</v>
      </c>
      <c r="C933" t="s">
        <v>36</v>
      </c>
      <c r="D933" t="s">
        <v>54</v>
      </c>
      <c r="E933" t="s">
        <v>38</v>
      </c>
      <c r="F933">
        <v>9</v>
      </c>
      <c r="G933" t="s">
        <v>25</v>
      </c>
      <c r="H933" t="s">
        <v>48</v>
      </c>
      <c r="I933" t="s">
        <v>29</v>
      </c>
      <c r="J933" t="s">
        <v>28</v>
      </c>
      <c r="K933" t="s">
        <v>29</v>
      </c>
      <c r="L933" t="s">
        <v>52</v>
      </c>
      <c r="M933" t="s">
        <v>29</v>
      </c>
      <c r="N933" t="s">
        <v>32</v>
      </c>
      <c r="O933">
        <v>4695</v>
      </c>
      <c r="P933">
        <v>7</v>
      </c>
      <c r="Q933" t="s">
        <v>22</v>
      </c>
      <c r="R933">
        <v>18</v>
      </c>
      <c r="S933" t="s">
        <v>33</v>
      </c>
      <c r="T933" t="s">
        <v>29</v>
      </c>
      <c r="U933">
        <v>3</v>
      </c>
      <c r="V933" t="s">
        <v>44</v>
      </c>
      <c r="W933" t="str">
        <f>IF(HR_Data[[#This Row],[age]]&lt;25,"Under 25",IF(HR_Data[[#This Row],[age]]&lt;35,"25-34",IF(HR_Data[[#This Row],[age]]&lt;45,"35-44",IF(HR_Data[[#This Row],[age]]&lt;55,"45-54","55+"))))</f>
        <v>25-34</v>
      </c>
      <c r="X933" t="str">
        <f t="shared" si="14"/>
        <v>3,000-4,999</v>
      </c>
    </row>
    <row r="934" spans="1:24" x14ac:dyDescent="0.3">
      <c r="A934">
        <v>1299</v>
      </c>
      <c r="B934">
        <v>29</v>
      </c>
      <c r="C934" t="s">
        <v>22</v>
      </c>
      <c r="D934" t="s">
        <v>23</v>
      </c>
      <c r="E934" t="s">
        <v>38</v>
      </c>
      <c r="F934">
        <v>7</v>
      </c>
      <c r="G934" t="s">
        <v>50</v>
      </c>
      <c r="H934" t="s">
        <v>60</v>
      </c>
      <c r="I934" t="s">
        <v>27</v>
      </c>
      <c r="J934" t="s">
        <v>28</v>
      </c>
      <c r="K934" t="s">
        <v>29</v>
      </c>
      <c r="L934" t="s">
        <v>46</v>
      </c>
      <c r="M934" t="s">
        <v>29</v>
      </c>
      <c r="N934" t="s">
        <v>51</v>
      </c>
      <c r="O934">
        <v>3339</v>
      </c>
      <c r="P934">
        <v>3</v>
      </c>
      <c r="Q934" t="s">
        <v>22</v>
      </c>
      <c r="R934">
        <v>13</v>
      </c>
      <c r="S934" t="s">
        <v>33</v>
      </c>
      <c r="T934" t="s">
        <v>34</v>
      </c>
      <c r="U934">
        <v>2</v>
      </c>
      <c r="V934" t="s">
        <v>44</v>
      </c>
      <c r="W934" t="str">
        <f>IF(HR_Data[[#This Row],[age]]&lt;25,"Under 25",IF(HR_Data[[#This Row],[age]]&lt;35,"25-34",IF(HR_Data[[#This Row],[age]]&lt;45,"35-44",IF(HR_Data[[#This Row],[age]]&lt;55,"45-54","55+"))))</f>
        <v>25-34</v>
      </c>
      <c r="X934" t="str">
        <f t="shared" si="14"/>
        <v>3,000-4,999</v>
      </c>
    </row>
    <row r="935" spans="1:24" x14ac:dyDescent="0.3">
      <c r="A935">
        <v>1301</v>
      </c>
      <c r="B935">
        <v>28</v>
      </c>
      <c r="C935" t="s">
        <v>36</v>
      </c>
      <c r="D935" t="s">
        <v>23</v>
      </c>
      <c r="E935" t="s">
        <v>38</v>
      </c>
      <c r="F935">
        <v>1</v>
      </c>
      <c r="G935" t="s">
        <v>50</v>
      </c>
      <c r="H935" t="s">
        <v>60</v>
      </c>
      <c r="I935" t="s">
        <v>31</v>
      </c>
      <c r="J935" t="s">
        <v>40</v>
      </c>
      <c r="K935" t="s">
        <v>29</v>
      </c>
      <c r="L935" t="s">
        <v>41</v>
      </c>
      <c r="M935" t="s">
        <v>34</v>
      </c>
      <c r="N935" t="s">
        <v>32</v>
      </c>
      <c r="O935">
        <v>2080</v>
      </c>
      <c r="P935">
        <v>2</v>
      </c>
      <c r="Q935" t="s">
        <v>36</v>
      </c>
      <c r="R935">
        <v>11</v>
      </c>
      <c r="S935" t="s">
        <v>33</v>
      </c>
      <c r="T935" t="s">
        <v>27</v>
      </c>
      <c r="U935">
        <v>2</v>
      </c>
      <c r="V935" t="s">
        <v>49</v>
      </c>
      <c r="W935" t="str">
        <f>IF(HR_Data[[#This Row],[age]]&lt;25,"Under 25",IF(HR_Data[[#This Row],[age]]&lt;35,"25-34",IF(HR_Data[[#This Row],[age]]&lt;45,"35-44",IF(HR_Data[[#This Row],[age]]&lt;55,"45-54","55+"))))</f>
        <v>25-34</v>
      </c>
      <c r="X935" t="str">
        <f t="shared" si="14"/>
        <v>Below 3,000</v>
      </c>
    </row>
    <row r="936" spans="1:24" x14ac:dyDescent="0.3">
      <c r="A936">
        <v>1303</v>
      </c>
      <c r="B936">
        <v>25</v>
      </c>
      <c r="C936" t="s">
        <v>36</v>
      </c>
      <c r="D936" t="s">
        <v>23</v>
      </c>
      <c r="E936" t="s">
        <v>38</v>
      </c>
      <c r="F936">
        <v>1</v>
      </c>
      <c r="G936" t="s">
        <v>50</v>
      </c>
      <c r="H936" t="s">
        <v>48</v>
      </c>
      <c r="I936" t="s">
        <v>31</v>
      </c>
      <c r="J936" t="s">
        <v>28</v>
      </c>
      <c r="K936" t="s">
        <v>29</v>
      </c>
      <c r="L936" t="s">
        <v>41</v>
      </c>
      <c r="M936" t="s">
        <v>27</v>
      </c>
      <c r="N936" t="s">
        <v>32</v>
      </c>
      <c r="O936">
        <v>2096</v>
      </c>
      <c r="P936">
        <v>1</v>
      </c>
      <c r="Q936" t="s">
        <v>36</v>
      </c>
      <c r="R936">
        <v>18</v>
      </c>
      <c r="S936" t="s">
        <v>33</v>
      </c>
      <c r="T936" t="s">
        <v>31</v>
      </c>
      <c r="U936">
        <v>3</v>
      </c>
      <c r="V936" t="s">
        <v>49</v>
      </c>
      <c r="W936" t="str">
        <f>IF(HR_Data[[#This Row],[age]]&lt;25,"Under 25",IF(HR_Data[[#This Row],[age]]&lt;35,"25-34",IF(HR_Data[[#This Row],[age]]&lt;45,"35-44",IF(HR_Data[[#This Row],[age]]&lt;55,"45-54","55+"))))</f>
        <v>25-34</v>
      </c>
      <c r="X936" t="str">
        <f t="shared" si="14"/>
        <v>Below 3,000</v>
      </c>
    </row>
    <row r="937" spans="1:24" x14ac:dyDescent="0.3">
      <c r="A937">
        <v>1304</v>
      </c>
      <c r="B937">
        <v>32</v>
      </c>
      <c r="C937" t="s">
        <v>36</v>
      </c>
      <c r="D937" t="s">
        <v>23</v>
      </c>
      <c r="E937" t="s">
        <v>24</v>
      </c>
      <c r="F937">
        <v>8</v>
      </c>
      <c r="G937" t="s">
        <v>50</v>
      </c>
      <c r="H937" t="s">
        <v>48</v>
      </c>
      <c r="I937" t="s">
        <v>29</v>
      </c>
      <c r="J937" t="s">
        <v>40</v>
      </c>
      <c r="K937" t="s">
        <v>31</v>
      </c>
      <c r="L937" t="s">
        <v>30</v>
      </c>
      <c r="M937" t="s">
        <v>31</v>
      </c>
      <c r="N937" t="s">
        <v>42</v>
      </c>
      <c r="O937">
        <v>6209</v>
      </c>
      <c r="P937">
        <v>1</v>
      </c>
      <c r="Q937" t="s">
        <v>36</v>
      </c>
      <c r="R937">
        <v>15</v>
      </c>
      <c r="S937" t="s">
        <v>33</v>
      </c>
      <c r="T937" t="s">
        <v>29</v>
      </c>
      <c r="U937">
        <v>4</v>
      </c>
      <c r="V937" t="s">
        <v>59</v>
      </c>
      <c r="W937" t="str">
        <f>IF(HR_Data[[#This Row],[age]]&lt;25,"Under 25",IF(HR_Data[[#This Row],[age]]&lt;35,"25-34",IF(HR_Data[[#This Row],[age]]&lt;45,"35-44",IF(HR_Data[[#This Row],[age]]&lt;55,"45-54","55+"))))</f>
        <v>25-34</v>
      </c>
      <c r="X937" t="str">
        <f t="shared" si="14"/>
        <v>5,000-7,999</v>
      </c>
    </row>
    <row r="938" spans="1:24" x14ac:dyDescent="0.3">
      <c r="A938">
        <v>1306</v>
      </c>
      <c r="B938">
        <v>45</v>
      </c>
      <c r="C938" t="s">
        <v>36</v>
      </c>
      <c r="D938" t="s">
        <v>37</v>
      </c>
      <c r="E938" t="s">
        <v>38</v>
      </c>
      <c r="F938">
        <v>25</v>
      </c>
      <c r="G938" t="s">
        <v>50</v>
      </c>
      <c r="H938" t="s">
        <v>48</v>
      </c>
      <c r="I938" t="s">
        <v>27</v>
      </c>
      <c r="J938" t="s">
        <v>28</v>
      </c>
      <c r="K938" t="s">
        <v>29</v>
      </c>
      <c r="L938" t="s">
        <v>55</v>
      </c>
      <c r="M938" t="s">
        <v>27</v>
      </c>
      <c r="N938" t="s">
        <v>32</v>
      </c>
      <c r="O938">
        <v>18061</v>
      </c>
      <c r="P938">
        <v>3</v>
      </c>
      <c r="Q938" t="s">
        <v>36</v>
      </c>
      <c r="R938">
        <v>22</v>
      </c>
      <c r="S938" t="s">
        <v>43</v>
      </c>
      <c r="T938" t="s">
        <v>29</v>
      </c>
      <c r="U938">
        <v>4</v>
      </c>
      <c r="V938" t="s">
        <v>44</v>
      </c>
      <c r="W938" t="str">
        <f>IF(HR_Data[[#This Row],[age]]&lt;25,"Under 25",IF(HR_Data[[#This Row],[age]]&lt;35,"25-34",IF(HR_Data[[#This Row],[age]]&lt;45,"35-44",IF(HR_Data[[#This Row],[age]]&lt;55,"45-54","55+"))))</f>
        <v>45-54</v>
      </c>
      <c r="X938" t="str">
        <f t="shared" si="14"/>
        <v>8,000+</v>
      </c>
    </row>
    <row r="939" spans="1:24" x14ac:dyDescent="0.3">
      <c r="A939">
        <v>1307</v>
      </c>
      <c r="B939">
        <v>39</v>
      </c>
      <c r="C939" t="s">
        <v>36</v>
      </c>
      <c r="D939" t="s">
        <v>23</v>
      </c>
      <c r="E939" t="s">
        <v>38</v>
      </c>
      <c r="F939">
        <v>13</v>
      </c>
      <c r="G939" t="s">
        <v>47</v>
      </c>
      <c r="H939" t="s">
        <v>48</v>
      </c>
      <c r="I939" t="s">
        <v>29</v>
      </c>
      <c r="J939" t="s">
        <v>28</v>
      </c>
      <c r="K939" t="s">
        <v>27</v>
      </c>
      <c r="L939" t="s">
        <v>55</v>
      </c>
      <c r="M939" t="s">
        <v>27</v>
      </c>
      <c r="N939" t="s">
        <v>51</v>
      </c>
      <c r="O939">
        <v>17123</v>
      </c>
      <c r="P939">
        <v>6</v>
      </c>
      <c r="Q939" t="s">
        <v>22</v>
      </c>
      <c r="R939">
        <v>13</v>
      </c>
      <c r="S939" t="s">
        <v>33</v>
      </c>
      <c r="T939" t="s">
        <v>31</v>
      </c>
      <c r="U939">
        <v>4</v>
      </c>
      <c r="V939" t="s">
        <v>44</v>
      </c>
      <c r="W939" t="str">
        <f>IF(HR_Data[[#This Row],[age]]&lt;25,"Under 25",IF(HR_Data[[#This Row],[age]]&lt;35,"25-34",IF(HR_Data[[#This Row],[age]]&lt;45,"35-44",IF(HR_Data[[#This Row],[age]]&lt;55,"45-54","55+"))))</f>
        <v>35-44</v>
      </c>
      <c r="X939" t="str">
        <f t="shared" si="14"/>
        <v>8,000+</v>
      </c>
    </row>
    <row r="940" spans="1:24" x14ac:dyDescent="0.3">
      <c r="A940">
        <v>1308</v>
      </c>
      <c r="B940">
        <v>58</v>
      </c>
      <c r="C940" t="s">
        <v>36</v>
      </c>
      <c r="D940" t="s">
        <v>23</v>
      </c>
      <c r="E940" t="s">
        <v>38</v>
      </c>
      <c r="F940">
        <v>23</v>
      </c>
      <c r="G940" t="s">
        <v>47</v>
      </c>
      <c r="H940" t="s">
        <v>26</v>
      </c>
      <c r="I940" t="s">
        <v>34</v>
      </c>
      <c r="J940" t="s">
        <v>40</v>
      </c>
      <c r="K940" t="s">
        <v>29</v>
      </c>
      <c r="L940" t="s">
        <v>41</v>
      </c>
      <c r="M940" t="s">
        <v>29</v>
      </c>
      <c r="N940" t="s">
        <v>51</v>
      </c>
      <c r="O940">
        <v>2372</v>
      </c>
      <c r="P940">
        <v>1</v>
      </c>
      <c r="Q940" t="s">
        <v>36</v>
      </c>
      <c r="R940">
        <v>12</v>
      </c>
      <c r="S940" t="s">
        <v>33</v>
      </c>
      <c r="T940" t="s">
        <v>31</v>
      </c>
      <c r="U940">
        <v>3</v>
      </c>
      <c r="V940" t="s">
        <v>44</v>
      </c>
      <c r="W940" t="str">
        <f>IF(HR_Data[[#This Row],[age]]&lt;25,"Under 25",IF(HR_Data[[#This Row],[age]]&lt;35,"25-34",IF(HR_Data[[#This Row],[age]]&lt;45,"35-44",IF(HR_Data[[#This Row],[age]]&lt;55,"45-54","55+"))))</f>
        <v>55+</v>
      </c>
      <c r="X940" t="str">
        <f t="shared" si="14"/>
        <v>Below 3,000</v>
      </c>
    </row>
    <row r="941" spans="1:24" x14ac:dyDescent="0.3">
      <c r="A941">
        <v>1309</v>
      </c>
      <c r="B941">
        <v>32</v>
      </c>
      <c r="C941" t="s">
        <v>22</v>
      </c>
      <c r="D941" t="s">
        <v>23</v>
      </c>
      <c r="E941" t="s">
        <v>38</v>
      </c>
      <c r="F941">
        <v>7</v>
      </c>
      <c r="G941" t="s">
        <v>25</v>
      </c>
      <c r="H941" t="s">
        <v>26</v>
      </c>
      <c r="I941" t="s">
        <v>31</v>
      </c>
      <c r="J941" t="s">
        <v>40</v>
      </c>
      <c r="K941" t="s">
        <v>29</v>
      </c>
      <c r="L941" t="s">
        <v>46</v>
      </c>
      <c r="M941" t="s">
        <v>29</v>
      </c>
      <c r="N941" t="s">
        <v>42</v>
      </c>
      <c r="O941">
        <v>4883</v>
      </c>
      <c r="P941">
        <v>1</v>
      </c>
      <c r="Q941" t="s">
        <v>36</v>
      </c>
      <c r="R941">
        <v>18</v>
      </c>
      <c r="S941" t="s">
        <v>33</v>
      </c>
      <c r="T941" t="s">
        <v>34</v>
      </c>
      <c r="U941">
        <v>3</v>
      </c>
      <c r="V941" t="s">
        <v>44</v>
      </c>
      <c r="W941" t="str">
        <f>IF(HR_Data[[#This Row],[age]]&lt;25,"Under 25",IF(HR_Data[[#This Row],[age]]&lt;35,"25-34",IF(HR_Data[[#This Row],[age]]&lt;45,"35-44",IF(HR_Data[[#This Row],[age]]&lt;55,"45-54","55+"))))</f>
        <v>25-34</v>
      </c>
      <c r="X941" t="str">
        <f t="shared" si="14"/>
        <v>3,000-4,999</v>
      </c>
    </row>
    <row r="942" spans="1:24" x14ac:dyDescent="0.3">
      <c r="A942">
        <v>1310</v>
      </c>
      <c r="B942">
        <v>39</v>
      </c>
      <c r="C942" t="s">
        <v>22</v>
      </c>
      <c r="D942" t="s">
        <v>23</v>
      </c>
      <c r="E942" t="s">
        <v>38</v>
      </c>
      <c r="F942">
        <v>23</v>
      </c>
      <c r="G942" t="s">
        <v>50</v>
      </c>
      <c r="H942" t="s">
        <v>48</v>
      </c>
      <c r="I942" t="s">
        <v>29</v>
      </c>
      <c r="J942" t="s">
        <v>40</v>
      </c>
      <c r="K942" t="s">
        <v>29</v>
      </c>
      <c r="L942" t="s">
        <v>41</v>
      </c>
      <c r="M942" t="s">
        <v>34</v>
      </c>
      <c r="N942" t="s">
        <v>32</v>
      </c>
      <c r="O942">
        <v>3904</v>
      </c>
      <c r="P942">
        <v>0</v>
      </c>
      <c r="Q942" t="s">
        <v>36</v>
      </c>
      <c r="R942">
        <v>13</v>
      </c>
      <c r="S942" t="s">
        <v>33</v>
      </c>
      <c r="T942" t="s">
        <v>34</v>
      </c>
      <c r="U942">
        <v>2</v>
      </c>
      <c r="V942" t="s">
        <v>44</v>
      </c>
      <c r="W942" t="str">
        <f>IF(HR_Data[[#This Row],[age]]&lt;25,"Under 25",IF(HR_Data[[#This Row],[age]]&lt;35,"25-34",IF(HR_Data[[#This Row],[age]]&lt;45,"35-44",IF(HR_Data[[#This Row],[age]]&lt;55,"45-54","55+"))))</f>
        <v>35-44</v>
      </c>
      <c r="X942" t="str">
        <f t="shared" si="14"/>
        <v>3,000-4,999</v>
      </c>
    </row>
    <row r="943" spans="1:24" x14ac:dyDescent="0.3">
      <c r="A943">
        <v>1311</v>
      </c>
      <c r="B943">
        <v>30</v>
      </c>
      <c r="C943" t="s">
        <v>36</v>
      </c>
      <c r="D943" t="s">
        <v>23</v>
      </c>
      <c r="E943" t="s">
        <v>38</v>
      </c>
      <c r="F943">
        <v>6</v>
      </c>
      <c r="G943" t="s">
        <v>50</v>
      </c>
      <c r="H943" t="s">
        <v>60</v>
      </c>
      <c r="I943" t="s">
        <v>34</v>
      </c>
      <c r="J943" t="s">
        <v>28</v>
      </c>
      <c r="K943" t="s">
        <v>27</v>
      </c>
      <c r="L943" t="s">
        <v>46</v>
      </c>
      <c r="M943" t="s">
        <v>31</v>
      </c>
      <c r="N943" t="s">
        <v>42</v>
      </c>
      <c r="O943">
        <v>4627</v>
      </c>
      <c r="P943">
        <v>0</v>
      </c>
      <c r="Q943" t="s">
        <v>36</v>
      </c>
      <c r="R943">
        <v>12</v>
      </c>
      <c r="S943" t="s">
        <v>33</v>
      </c>
      <c r="T943" t="s">
        <v>34</v>
      </c>
      <c r="U943">
        <v>6</v>
      </c>
      <c r="V943" t="s">
        <v>44</v>
      </c>
      <c r="W943" t="str">
        <f>IF(HR_Data[[#This Row],[age]]&lt;25,"Under 25",IF(HR_Data[[#This Row],[age]]&lt;35,"25-34",IF(HR_Data[[#This Row],[age]]&lt;45,"35-44",IF(HR_Data[[#This Row],[age]]&lt;55,"45-54","55+"))))</f>
        <v>25-34</v>
      </c>
      <c r="X943" t="str">
        <f t="shared" si="14"/>
        <v>3,000-4,999</v>
      </c>
    </row>
    <row r="944" spans="1:24" x14ac:dyDescent="0.3">
      <c r="A944">
        <v>1312</v>
      </c>
      <c r="B944">
        <v>36</v>
      </c>
      <c r="C944" t="s">
        <v>36</v>
      </c>
      <c r="D944" t="s">
        <v>23</v>
      </c>
      <c r="E944" t="s">
        <v>38</v>
      </c>
      <c r="F944">
        <v>10</v>
      </c>
      <c r="G944" t="s">
        <v>47</v>
      </c>
      <c r="H944" t="s">
        <v>60</v>
      </c>
      <c r="I944" t="s">
        <v>31</v>
      </c>
      <c r="J944" t="s">
        <v>28</v>
      </c>
      <c r="K944" t="s">
        <v>29</v>
      </c>
      <c r="L944" t="s">
        <v>53</v>
      </c>
      <c r="M944" t="s">
        <v>29</v>
      </c>
      <c r="N944" t="s">
        <v>42</v>
      </c>
      <c r="O944">
        <v>7094</v>
      </c>
      <c r="P944">
        <v>3</v>
      </c>
      <c r="Q944" t="s">
        <v>36</v>
      </c>
      <c r="R944">
        <v>12</v>
      </c>
      <c r="S944" t="s">
        <v>33</v>
      </c>
      <c r="T944" t="s">
        <v>34</v>
      </c>
      <c r="U944">
        <v>0</v>
      </c>
      <c r="V944" t="s">
        <v>44</v>
      </c>
      <c r="W944" t="str">
        <f>IF(HR_Data[[#This Row],[age]]&lt;25,"Under 25",IF(HR_Data[[#This Row],[age]]&lt;35,"25-34",IF(HR_Data[[#This Row],[age]]&lt;45,"35-44",IF(HR_Data[[#This Row],[age]]&lt;55,"45-54","55+"))))</f>
        <v>35-44</v>
      </c>
      <c r="X944" t="str">
        <f t="shared" si="14"/>
        <v>5,000-7,999</v>
      </c>
    </row>
    <row r="945" spans="1:24" x14ac:dyDescent="0.3">
      <c r="A945">
        <v>1314</v>
      </c>
      <c r="B945">
        <v>46</v>
      </c>
      <c r="C945" t="s">
        <v>36</v>
      </c>
      <c r="D945" t="s">
        <v>23</v>
      </c>
      <c r="E945" t="s">
        <v>62</v>
      </c>
      <c r="F945">
        <v>1</v>
      </c>
      <c r="G945" t="s">
        <v>25</v>
      </c>
      <c r="H945" t="s">
        <v>26</v>
      </c>
      <c r="I945" t="s">
        <v>31</v>
      </c>
      <c r="J945" t="s">
        <v>28</v>
      </c>
      <c r="K945" t="s">
        <v>29</v>
      </c>
      <c r="L945" t="s">
        <v>62</v>
      </c>
      <c r="M945" t="s">
        <v>34</v>
      </c>
      <c r="N945" t="s">
        <v>32</v>
      </c>
      <c r="O945">
        <v>3423</v>
      </c>
      <c r="P945">
        <v>6</v>
      </c>
      <c r="Q945" t="s">
        <v>36</v>
      </c>
      <c r="R945">
        <v>12</v>
      </c>
      <c r="S945" t="s">
        <v>33</v>
      </c>
      <c r="T945" t="s">
        <v>29</v>
      </c>
      <c r="U945">
        <v>3</v>
      </c>
      <c r="V945" t="s">
        <v>59</v>
      </c>
      <c r="W945" t="str">
        <f>IF(HR_Data[[#This Row],[age]]&lt;25,"Under 25",IF(HR_Data[[#This Row],[age]]&lt;35,"25-34",IF(HR_Data[[#This Row],[age]]&lt;45,"35-44",IF(HR_Data[[#This Row],[age]]&lt;55,"45-54","55+"))))</f>
        <v>45-54</v>
      </c>
      <c r="X945" t="str">
        <f t="shared" si="14"/>
        <v>3,000-4,999</v>
      </c>
    </row>
    <row r="946" spans="1:24" x14ac:dyDescent="0.3">
      <c r="A946">
        <v>1315</v>
      </c>
      <c r="B946">
        <v>28</v>
      </c>
      <c r="C946" t="s">
        <v>36</v>
      </c>
      <c r="D946" t="s">
        <v>54</v>
      </c>
      <c r="E946" t="s">
        <v>38</v>
      </c>
      <c r="F946">
        <v>1</v>
      </c>
      <c r="G946" t="s">
        <v>50</v>
      </c>
      <c r="H946" t="s">
        <v>26</v>
      </c>
      <c r="I946" t="s">
        <v>29</v>
      </c>
      <c r="J946" t="s">
        <v>28</v>
      </c>
      <c r="K946" t="s">
        <v>34</v>
      </c>
      <c r="L946" t="s">
        <v>46</v>
      </c>
      <c r="M946" t="s">
        <v>31</v>
      </c>
      <c r="N946" t="s">
        <v>42</v>
      </c>
      <c r="O946">
        <v>6674</v>
      </c>
      <c r="P946">
        <v>0</v>
      </c>
      <c r="Q946" t="s">
        <v>36</v>
      </c>
      <c r="R946">
        <v>11</v>
      </c>
      <c r="S946" t="s">
        <v>33</v>
      </c>
      <c r="T946" t="s">
        <v>34</v>
      </c>
      <c r="U946">
        <v>6</v>
      </c>
      <c r="V946" t="s">
        <v>44</v>
      </c>
      <c r="W946" t="str">
        <f>IF(HR_Data[[#This Row],[age]]&lt;25,"Under 25",IF(HR_Data[[#This Row],[age]]&lt;35,"25-34",IF(HR_Data[[#This Row],[age]]&lt;45,"35-44",IF(HR_Data[[#This Row],[age]]&lt;55,"45-54","55+"))))</f>
        <v>25-34</v>
      </c>
      <c r="X946" t="str">
        <f t="shared" si="14"/>
        <v>5,000-7,999</v>
      </c>
    </row>
    <row r="947" spans="1:24" x14ac:dyDescent="0.3">
      <c r="A947">
        <v>1317</v>
      </c>
      <c r="B947">
        <v>50</v>
      </c>
      <c r="C947" t="s">
        <v>36</v>
      </c>
      <c r="D947" t="s">
        <v>23</v>
      </c>
      <c r="E947" t="s">
        <v>38</v>
      </c>
      <c r="F947">
        <v>28</v>
      </c>
      <c r="G947" t="s">
        <v>50</v>
      </c>
      <c r="H947" t="s">
        <v>26</v>
      </c>
      <c r="I947" t="s">
        <v>31</v>
      </c>
      <c r="J947" t="s">
        <v>28</v>
      </c>
      <c r="K947" t="s">
        <v>29</v>
      </c>
      <c r="L947" t="s">
        <v>57</v>
      </c>
      <c r="M947" t="s">
        <v>34</v>
      </c>
      <c r="N947" t="s">
        <v>42</v>
      </c>
      <c r="O947">
        <v>16880</v>
      </c>
      <c r="P947">
        <v>4</v>
      </c>
      <c r="Q947" t="s">
        <v>22</v>
      </c>
      <c r="R947">
        <v>11</v>
      </c>
      <c r="S947" t="s">
        <v>33</v>
      </c>
      <c r="T947" t="s">
        <v>27</v>
      </c>
      <c r="U947">
        <v>2</v>
      </c>
      <c r="V947" t="s">
        <v>44</v>
      </c>
      <c r="W947" t="str">
        <f>IF(HR_Data[[#This Row],[age]]&lt;25,"Under 25",IF(HR_Data[[#This Row],[age]]&lt;35,"25-34",IF(HR_Data[[#This Row],[age]]&lt;45,"35-44",IF(HR_Data[[#This Row],[age]]&lt;55,"45-54","55+"))))</f>
        <v>45-54</v>
      </c>
      <c r="X947" t="str">
        <f t="shared" si="14"/>
        <v>8,000+</v>
      </c>
    </row>
    <row r="948" spans="1:24" x14ac:dyDescent="0.3">
      <c r="A948">
        <v>1318</v>
      </c>
      <c r="B948">
        <v>40</v>
      </c>
      <c r="C948" t="s">
        <v>22</v>
      </c>
      <c r="D948" t="s">
        <v>23</v>
      </c>
      <c r="E948" t="s">
        <v>24</v>
      </c>
      <c r="F948">
        <v>25</v>
      </c>
      <c r="G948" t="s">
        <v>47</v>
      </c>
      <c r="H948" t="s">
        <v>58</v>
      </c>
      <c r="I948" t="s">
        <v>31</v>
      </c>
      <c r="J948" t="s">
        <v>40</v>
      </c>
      <c r="K948" t="s">
        <v>27</v>
      </c>
      <c r="L948" t="s">
        <v>30</v>
      </c>
      <c r="M948" t="s">
        <v>27</v>
      </c>
      <c r="N948" t="s">
        <v>32</v>
      </c>
      <c r="O948">
        <v>9094</v>
      </c>
      <c r="P948">
        <v>2</v>
      </c>
      <c r="Q948" t="s">
        <v>22</v>
      </c>
      <c r="R948">
        <v>12</v>
      </c>
      <c r="S948" t="s">
        <v>33</v>
      </c>
      <c r="T948" t="s">
        <v>29</v>
      </c>
      <c r="U948">
        <v>2</v>
      </c>
      <c r="V948" t="s">
        <v>44</v>
      </c>
      <c r="W948" t="str">
        <f>IF(HR_Data[[#This Row],[age]]&lt;25,"Under 25",IF(HR_Data[[#This Row],[age]]&lt;35,"25-34",IF(HR_Data[[#This Row],[age]]&lt;45,"35-44",IF(HR_Data[[#This Row],[age]]&lt;55,"45-54","55+"))))</f>
        <v>35-44</v>
      </c>
      <c r="X948" t="str">
        <f t="shared" si="14"/>
        <v>8,000+</v>
      </c>
    </row>
    <row r="949" spans="1:24" x14ac:dyDescent="0.3">
      <c r="A949">
        <v>1319</v>
      </c>
      <c r="B949">
        <v>52</v>
      </c>
      <c r="C949" t="s">
        <v>22</v>
      </c>
      <c r="D949" t="s">
        <v>23</v>
      </c>
      <c r="E949" t="s">
        <v>24</v>
      </c>
      <c r="F949">
        <v>5</v>
      </c>
      <c r="G949" t="s">
        <v>50</v>
      </c>
      <c r="H949" t="s">
        <v>26</v>
      </c>
      <c r="I949" t="s">
        <v>27</v>
      </c>
      <c r="J949" t="s">
        <v>40</v>
      </c>
      <c r="K949" t="s">
        <v>29</v>
      </c>
      <c r="L949" t="s">
        <v>30</v>
      </c>
      <c r="M949" t="s">
        <v>27</v>
      </c>
      <c r="N949" t="s">
        <v>32</v>
      </c>
      <c r="O949">
        <v>8446</v>
      </c>
      <c r="P949">
        <v>9</v>
      </c>
      <c r="Q949" t="s">
        <v>22</v>
      </c>
      <c r="R949">
        <v>19</v>
      </c>
      <c r="S949" t="s">
        <v>33</v>
      </c>
      <c r="T949" t="s">
        <v>29</v>
      </c>
      <c r="U949">
        <v>2</v>
      </c>
      <c r="V949" t="s">
        <v>49</v>
      </c>
      <c r="W949" t="str">
        <f>IF(HR_Data[[#This Row],[age]]&lt;25,"Under 25",IF(HR_Data[[#This Row],[age]]&lt;35,"25-34",IF(HR_Data[[#This Row],[age]]&lt;45,"35-44",IF(HR_Data[[#This Row],[age]]&lt;55,"45-54","55+"))))</f>
        <v>45-54</v>
      </c>
      <c r="X949" t="str">
        <f t="shared" si="14"/>
        <v>8,000+</v>
      </c>
    </row>
    <row r="950" spans="1:24" x14ac:dyDescent="0.3">
      <c r="A950">
        <v>1321</v>
      </c>
      <c r="B950">
        <v>30</v>
      </c>
      <c r="C950" t="s">
        <v>36</v>
      </c>
      <c r="D950" t="s">
        <v>23</v>
      </c>
      <c r="E950" t="s">
        <v>38</v>
      </c>
      <c r="F950">
        <v>17</v>
      </c>
      <c r="G950" t="s">
        <v>47</v>
      </c>
      <c r="H950" t="s">
        <v>48</v>
      </c>
      <c r="I950" t="s">
        <v>27</v>
      </c>
      <c r="J950" t="s">
        <v>28</v>
      </c>
      <c r="K950" t="s">
        <v>29</v>
      </c>
      <c r="L950" t="s">
        <v>55</v>
      </c>
      <c r="M950" t="s">
        <v>34</v>
      </c>
      <c r="N950" t="s">
        <v>42</v>
      </c>
      <c r="O950">
        <v>11916</v>
      </c>
      <c r="P950">
        <v>1</v>
      </c>
      <c r="Q950" t="s">
        <v>22</v>
      </c>
      <c r="R950">
        <v>23</v>
      </c>
      <c r="S950" t="s">
        <v>43</v>
      </c>
      <c r="T950" t="s">
        <v>31</v>
      </c>
      <c r="U950">
        <v>2</v>
      </c>
      <c r="V950" t="s">
        <v>44</v>
      </c>
      <c r="W950" t="str">
        <f>IF(HR_Data[[#This Row],[age]]&lt;25,"Under 25",IF(HR_Data[[#This Row],[age]]&lt;35,"25-34",IF(HR_Data[[#This Row],[age]]&lt;45,"35-44",IF(HR_Data[[#This Row],[age]]&lt;55,"45-54","55+"))))</f>
        <v>25-34</v>
      </c>
      <c r="X950" t="str">
        <f t="shared" si="14"/>
        <v>8,000+</v>
      </c>
    </row>
    <row r="951" spans="1:24" x14ac:dyDescent="0.3">
      <c r="A951">
        <v>1322</v>
      </c>
      <c r="B951">
        <v>39</v>
      </c>
      <c r="C951" t="s">
        <v>36</v>
      </c>
      <c r="D951" t="s">
        <v>23</v>
      </c>
      <c r="E951" t="s">
        <v>38</v>
      </c>
      <c r="F951">
        <v>18</v>
      </c>
      <c r="G951" t="s">
        <v>25</v>
      </c>
      <c r="H951" t="s">
        <v>26</v>
      </c>
      <c r="I951" t="s">
        <v>34</v>
      </c>
      <c r="J951" t="s">
        <v>40</v>
      </c>
      <c r="K951" t="s">
        <v>29</v>
      </c>
      <c r="L951" t="s">
        <v>52</v>
      </c>
      <c r="M951" t="s">
        <v>29</v>
      </c>
      <c r="N951" t="s">
        <v>32</v>
      </c>
      <c r="O951">
        <v>4534</v>
      </c>
      <c r="P951">
        <v>0</v>
      </c>
      <c r="Q951" t="s">
        <v>36</v>
      </c>
      <c r="R951">
        <v>11</v>
      </c>
      <c r="S951" t="s">
        <v>33</v>
      </c>
      <c r="T951" t="s">
        <v>34</v>
      </c>
      <c r="U951">
        <v>6</v>
      </c>
      <c r="V951" t="s">
        <v>44</v>
      </c>
      <c r="W951" t="str">
        <f>IF(HR_Data[[#This Row],[age]]&lt;25,"Under 25",IF(HR_Data[[#This Row],[age]]&lt;35,"25-34",IF(HR_Data[[#This Row],[age]]&lt;45,"35-44",IF(HR_Data[[#This Row],[age]]&lt;55,"45-54","55+"))))</f>
        <v>35-44</v>
      </c>
      <c r="X951" t="str">
        <f t="shared" si="14"/>
        <v>3,000-4,999</v>
      </c>
    </row>
    <row r="952" spans="1:24" x14ac:dyDescent="0.3">
      <c r="A952">
        <v>1324</v>
      </c>
      <c r="B952">
        <v>31</v>
      </c>
      <c r="C952" t="s">
        <v>36</v>
      </c>
      <c r="D952" t="s">
        <v>54</v>
      </c>
      <c r="E952" t="s">
        <v>24</v>
      </c>
      <c r="F952">
        <v>2</v>
      </c>
      <c r="G952" t="s">
        <v>47</v>
      </c>
      <c r="H952" t="s">
        <v>26</v>
      </c>
      <c r="I952" t="s">
        <v>31</v>
      </c>
      <c r="J952" t="s">
        <v>28</v>
      </c>
      <c r="K952" t="s">
        <v>29</v>
      </c>
      <c r="L952" t="s">
        <v>30</v>
      </c>
      <c r="M952" t="s">
        <v>29</v>
      </c>
      <c r="N952" t="s">
        <v>51</v>
      </c>
      <c r="O952">
        <v>9852</v>
      </c>
      <c r="P952">
        <v>1</v>
      </c>
      <c r="Q952" t="s">
        <v>22</v>
      </c>
      <c r="R952">
        <v>19</v>
      </c>
      <c r="S952" t="s">
        <v>33</v>
      </c>
      <c r="T952" t="s">
        <v>34</v>
      </c>
      <c r="U952">
        <v>5</v>
      </c>
      <c r="V952" t="s">
        <v>49</v>
      </c>
      <c r="W952" t="str">
        <f>IF(HR_Data[[#This Row],[age]]&lt;25,"Under 25",IF(HR_Data[[#This Row],[age]]&lt;35,"25-34",IF(HR_Data[[#This Row],[age]]&lt;45,"35-44",IF(HR_Data[[#This Row],[age]]&lt;55,"45-54","55+"))))</f>
        <v>25-34</v>
      </c>
      <c r="X952" t="str">
        <f t="shared" si="14"/>
        <v>8,000+</v>
      </c>
    </row>
    <row r="953" spans="1:24" x14ac:dyDescent="0.3">
      <c r="A953">
        <v>1329</v>
      </c>
      <c r="B953">
        <v>41</v>
      </c>
      <c r="C953" t="s">
        <v>36</v>
      </c>
      <c r="D953" t="s">
        <v>54</v>
      </c>
      <c r="E953" t="s">
        <v>24</v>
      </c>
      <c r="F953">
        <v>10</v>
      </c>
      <c r="G953" t="s">
        <v>25</v>
      </c>
      <c r="H953" t="s">
        <v>48</v>
      </c>
      <c r="I953" t="s">
        <v>29</v>
      </c>
      <c r="J953" t="s">
        <v>40</v>
      </c>
      <c r="K953" t="s">
        <v>34</v>
      </c>
      <c r="L953" t="s">
        <v>30</v>
      </c>
      <c r="M953" t="s">
        <v>27</v>
      </c>
      <c r="N953" t="s">
        <v>32</v>
      </c>
      <c r="O953">
        <v>6151</v>
      </c>
      <c r="P953">
        <v>1</v>
      </c>
      <c r="Q953" t="s">
        <v>36</v>
      </c>
      <c r="R953">
        <v>13</v>
      </c>
      <c r="S953" t="s">
        <v>33</v>
      </c>
      <c r="T953" t="s">
        <v>34</v>
      </c>
      <c r="U953">
        <v>4</v>
      </c>
      <c r="V953" t="s">
        <v>44</v>
      </c>
      <c r="W953" t="str">
        <f>IF(HR_Data[[#This Row],[age]]&lt;25,"Under 25",IF(HR_Data[[#This Row],[age]]&lt;35,"25-34",IF(HR_Data[[#This Row],[age]]&lt;45,"35-44",IF(HR_Data[[#This Row],[age]]&lt;55,"45-54","55+"))))</f>
        <v>35-44</v>
      </c>
      <c r="X953" t="str">
        <f t="shared" si="14"/>
        <v>5,000-7,999</v>
      </c>
    </row>
    <row r="954" spans="1:24" x14ac:dyDescent="0.3">
      <c r="A954">
        <v>1331</v>
      </c>
      <c r="B954">
        <v>31</v>
      </c>
      <c r="C954" t="s">
        <v>22</v>
      </c>
      <c r="D954" t="s">
        <v>37</v>
      </c>
      <c r="E954" t="s">
        <v>24</v>
      </c>
      <c r="F954">
        <v>1</v>
      </c>
      <c r="G954" t="s">
        <v>50</v>
      </c>
      <c r="H954" t="s">
        <v>26</v>
      </c>
      <c r="I954" t="s">
        <v>31</v>
      </c>
      <c r="J954" t="s">
        <v>28</v>
      </c>
      <c r="K954" t="s">
        <v>29</v>
      </c>
      <c r="L954" t="s">
        <v>56</v>
      </c>
      <c r="M954" t="s">
        <v>27</v>
      </c>
      <c r="N954" t="s">
        <v>32</v>
      </c>
      <c r="O954">
        <v>2302</v>
      </c>
      <c r="P954">
        <v>1</v>
      </c>
      <c r="Q954" t="s">
        <v>22</v>
      </c>
      <c r="R954">
        <v>11</v>
      </c>
      <c r="S954" t="s">
        <v>33</v>
      </c>
      <c r="T954" t="s">
        <v>34</v>
      </c>
      <c r="U954">
        <v>2</v>
      </c>
      <c r="V954" t="s">
        <v>59</v>
      </c>
      <c r="W954" t="str">
        <f>IF(HR_Data[[#This Row],[age]]&lt;25,"Under 25",IF(HR_Data[[#This Row],[age]]&lt;35,"25-34",IF(HR_Data[[#This Row],[age]]&lt;45,"35-44",IF(HR_Data[[#This Row],[age]]&lt;55,"45-54","55+"))))</f>
        <v>25-34</v>
      </c>
      <c r="X954" t="str">
        <f t="shared" si="14"/>
        <v>Below 3,000</v>
      </c>
    </row>
    <row r="955" spans="1:24" x14ac:dyDescent="0.3">
      <c r="A955">
        <v>1333</v>
      </c>
      <c r="B955">
        <v>44</v>
      </c>
      <c r="C955" t="s">
        <v>22</v>
      </c>
      <c r="D955" t="s">
        <v>23</v>
      </c>
      <c r="E955" t="s">
        <v>38</v>
      </c>
      <c r="F955">
        <v>3</v>
      </c>
      <c r="G955" t="s">
        <v>50</v>
      </c>
      <c r="H955" t="s">
        <v>26</v>
      </c>
      <c r="I955" t="s">
        <v>34</v>
      </c>
      <c r="J955" t="s">
        <v>40</v>
      </c>
      <c r="K955" t="s">
        <v>29</v>
      </c>
      <c r="L955" t="s">
        <v>46</v>
      </c>
      <c r="M955" t="s">
        <v>34</v>
      </c>
      <c r="N955" t="s">
        <v>42</v>
      </c>
      <c r="O955">
        <v>2362</v>
      </c>
      <c r="P955">
        <v>4</v>
      </c>
      <c r="Q955" t="s">
        <v>36</v>
      </c>
      <c r="R955">
        <v>12</v>
      </c>
      <c r="S955" t="s">
        <v>33</v>
      </c>
      <c r="T955" t="s">
        <v>29</v>
      </c>
      <c r="U955">
        <v>4</v>
      </c>
      <c r="V955" t="s">
        <v>59</v>
      </c>
      <c r="W955" t="str">
        <f>IF(HR_Data[[#This Row],[age]]&lt;25,"Under 25",IF(HR_Data[[#This Row],[age]]&lt;35,"25-34",IF(HR_Data[[#This Row],[age]]&lt;45,"35-44",IF(HR_Data[[#This Row],[age]]&lt;55,"45-54","55+"))))</f>
        <v>35-44</v>
      </c>
      <c r="X955" t="str">
        <f t="shared" si="14"/>
        <v>Below 3,000</v>
      </c>
    </row>
    <row r="956" spans="1:24" x14ac:dyDescent="0.3">
      <c r="A956">
        <v>1334</v>
      </c>
      <c r="B956">
        <v>42</v>
      </c>
      <c r="C956" t="s">
        <v>36</v>
      </c>
      <c r="D956" t="s">
        <v>54</v>
      </c>
      <c r="E956" t="s">
        <v>38</v>
      </c>
      <c r="F956">
        <v>2</v>
      </c>
      <c r="G956" t="s">
        <v>39</v>
      </c>
      <c r="H956" t="s">
        <v>26</v>
      </c>
      <c r="I956" t="s">
        <v>29</v>
      </c>
      <c r="J956" t="s">
        <v>40</v>
      </c>
      <c r="K956" t="s">
        <v>29</v>
      </c>
      <c r="L956" t="s">
        <v>55</v>
      </c>
      <c r="M956" t="s">
        <v>29</v>
      </c>
      <c r="N956" t="s">
        <v>42</v>
      </c>
      <c r="O956">
        <v>17861</v>
      </c>
      <c r="P956">
        <v>0</v>
      </c>
      <c r="Q956" t="s">
        <v>22</v>
      </c>
      <c r="R956">
        <v>13</v>
      </c>
      <c r="S956" t="s">
        <v>33</v>
      </c>
      <c r="T956" t="s">
        <v>31</v>
      </c>
      <c r="U956">
        <v>3</v>
      </c>
      <c r="V956" t="s">
        <v>49</v>
      </c>
      <c r="W956" t="str">
        <f>IF(HR_Data[[#This Row],[age]]&lt;25,"Under 25",IF(HR_Data[[#This Row],[age]]&lt;35,"25-34",IF(HR_Data[[#This Row],[age]]&lt;45,"35-44",IF(HR_Data[[#This Row],[age]]&lt;55,"45-54","55+"))))</f>
        <v>35-44</v>
      </c>
      <c r="X956" t="str">
        <f t="shared" si="14"/>
        <v>8,000+</v>
      </c>
    </row>
    <row r="957" spans="1:24" x14ac:dyDescent="0.3">
      <c r="A957">
        <v>1336</v>
      </c>
      <c r="B957">
        <v>55</v>
      </c>
      <c r="C957" t="s">
        <v>36</v>
      </c>
      <c r="D957" t="s">
        <v>23</v>
      </c>
      <c r="E957" t="s">
        <v>38</v>
      </c>
      <c r="F957">
        <v>2</v>
      </c>
      <c r="G957" t="s">
        <v>25</v>
      </c>
      <c r="H957" t="s">
        <v>48</v>
      </c>
      <c r="I957" t="s">
        <v>31</v>
      </c>
      <c r="J957" t="s">
        <v>28</v>
      </c>
      <c r="K957" t="s">
        <v>34</v>
      </c>
      <c r="L957" t="s">
        <v>55</v>
      </c>
      <c r="M957" t="s">
        <v>29</v>
      </c>
      <c r="N957" t="s">
        <v>42</v>
      </c>
      <c r="O957">
        <v>19187</v>
      </c>
      <c r="P957">
        <v>4</v>
      </c>
      <c r="Q957" t="s">
        <v>36</v>
      </c>
      <c r="R957">
        <v>14</v>
      </c>
      <c r="S957" t="s">
        <v>33</v>
      </c>
      <c r="T957" t="s">
        <v>31</v>
      </c>
      <c r="U957">
        <v>5</v>
      </c>
      <c r="V957" t="s">
        <v>44</v>
      </c>
      <c r="W957" t="str">
        <f>IF(HR_Data[[#This Row],[age]]&lt;25,"Under 25",IF(HR_Data[[#This Row],[age]]&lt;35,"25-34",IF(HR_Data[[#This Row],[age]]&lt;45,"35-44",IF(HR_Data[[#This Row],[age]]&lt;55,"45-54","55+"))))</f>
        <v>55+</v>
      </c>
      <c r="X957" t="str">
        <f t="shared" si="14"/>
        <v>8,000+</v>
      </c>
    </row>
    <row r="958" spans="1:24" x14ac:dyDescent="0.3">
      <c r="A958">
        <v>1338</v>
      </c>
      <c r="B958">
        <v>56</v>
      </c>
      <c r="C958" t="s">
        <v>36</v>
      </c>
      <c r="D958" t="s">
        <v>23</v>
      </c>
      <c r="E958" t="s">
        <v>62</v>
      </c>
      <c r="F958">
        <v>8</v>
      </c>
      <c r="G958" t="s">
        <v>47</v>
      </c>
      <c r="H958" t="s">
        <v>26</v>
      </c>
      <c r="I958" t="s">
        <v>31</v>
      </c>
      <c r="J958" t="s">
        <v>40</v>
      </c>
      <c r="K958" t="s">
        <v>29</v>
      </c>
      <c r="L958" t="s">
        <v>55</v>
      </c>
      <c r="M958" t="s">
        <v>27</v>
      </c>
      <c r="N958" t="s">
        <v>32</v>
      </c>
      <c r="O958">
        <v>19717</v>
      </c>
      <c r="P958">
        <v>6</v>
      </c>
      <c r="Q958" t="s">
        <v>36</v>
      </c>
      <c r="R958">
        <v>14</v>
      </c>
      <c r="S958" t="s">
        <v>33</v>
      </c>
      <c r="T958" t="s">
        <v>34</v>
      </c>
      <c r="U958">
        <v>4</v>
      </c>
      <c r="V958" t="s">
        <v>44</v>
      </c>
      <c r="W958" t="str">
        <f>IF(HR_Data[[#This Row],[age]]&lt;25,"Under 25",IF(HR_Data[[#This Row],[age]]&lt;35,"25-34",IF(HR_Data[[#This Row],[age]]&lt;45,"35-44",IF(HR_Data[[#This Row],[age]]&lt;55,"45-54","55+"))))</f>
        <v>55+</v>
      </c>
      <c r="X958" t="str">
        <f t="shared" si="14"/>
        <v>8,000+</v>
      </c>
    </row>
    <row r="959" spans="1:24" x14ac:dyDescent="0.3">
      <c r="A959">
        <v>1340</v>
      </c>
      <c r="B959">
        <v>40</v>
      </c>
      <c r="C959" t="s">
        <v>36</v>
      </c>
      <c r="D959" t="s">
        <v>54</v>
      </c>
      <c r="E959" t="s">
        <v>38</v>
      </c>
      <c r="F959">
        <v>16</v>
      </c>
      <c r="G959" t="s">
        <v>25</v>
      </c>
      <c r="H959" t="s">
        <v>26</v>
      </c>
      <c r="I959" t="s">
        <v>29</v>
      </c>
      <c r="J959" t="s">
        <v>40</v>
      </c>
      <c r="K959" t="s">
        <v>29</v>
      </c>
      <c r="L959" t="s">
        <v>41</v>
      </c>
      <c r="M959" t="s">
        <v>29</v>
      </c>
      <c r="N959" t="s">
        <v>51</v>
      </c>
      <c r="O959">
        <v>3544</v>
      </c>
      <c r="P959">
        <v>9</v>
      </c>
      <c r="Q959" t="s">
        <v>36</v>
      </c>
      <c r="R959">
        <v>16</v>
      </c>
      <c r="S959" t="s">
        <v>33</v>
      </c>
      <c r="T959" t="s">
        <v>27</v>
      </c>
      <c r="U959">
        <v>0</v>
      </c>
      <c r="V959" t="s">
        <v>44</v>
      </c>
      <c r="W959" t="str">
        <f>IF(HR_Data[[#This Row],[age]]&lt;25,"Under 25",IF(HR_Data[[#This Row],[age]]&lt;35,"25-34",IF(HR_Data[[#This Row],[age]]&lt;45,"35-44",IF(HR_Data[[#This Row],[age]]&lt;55,"45-54","55+"))))</f>
        <v>35-44</v>
      </c>
      <c r="X959" t="str">
        <f t="shared" si="14"/>
        <v>3,000-4,999</v>
      </c>
    </row>
    <row r="960" spans="1:24" x14ac:dyDescent="0.3">
      <c r="A960">
        <v>1344</v>
      </c>
      <c r="B960">
        <v>34</v>
      </c>
      <c r="C960" t="s">
        <v>36</v>
      </c>
      <c r="D960" t="s">
        <v>23</v>
      </c>
      <c r="E960" t="s">
        <v>38</v>
      </c>
      <c r="F960">
        <v>9</v>
      </c>
      <c r="G960" t="s">
        <v>50</v>
      </c>
      <c r="H960" t="s">
        <v>26</v>
      </c>
      <c r="I960" t="s">
        <v>31</v>
      </c>
      <c r="J960" t="s">
        <v>40</v>
      </c>
      <c r="K960" t="s">
        <v>29</v>
      </c>
      <c r="L960" t="s">
        <v>53</v>
      </c>
      <c r="M960" t="s">
        <v>31</v>
      </c>
      <c r="N960" t="s">
        <v>51</v>
      </c>
      <c r="O960">
        <v>8500</v>
      </c>
      <c r="P960">
        <v>0</v>
      </c>
      <c r="Q960" t="s">
        <v>36</v>
      </c>
      <c r="R960">
        <v>11</v>
      </c>
      <c r="S960" t="s">
        <v>33</v>
      </c>
      <c r="T960" t="s">
        <v>31</v>
      </c>
      <c r="U960">
        <v>0</v>
      </c>
      <c r="V960" t="s">
        <v>49</v>
      </c>
      <c r="W960" t="str">
        <f>IF(HR_Data[[#This Row],[age]]&lt;25,"Under 25",IF(HR_Data[[#This Row],[age]]&lt;35,"25-34",IF(HR_Data[[#This Row],[age]]&lt;45,"35-44",IF(HR_Data[[#This Row],[age]]&lt;55,"45-54","55+"))))</f>
        <v>25-34</v>
      </c>
      <c r="X960" t="str">
        <f t="shared" si="14"/>
        <v>8,000+</v>
      </c>
    </row>
    <row r="961" spans="1:24" x14ac:dyDescent="0.3">
      <c r="A961">
        <v>1346</v>
      </c>
      <c r="B961">
        <v>40</v>
      </c>
      <c r="C961" t="s">
        <v>36</v>
      </c>
      <c r="D961" t="s">
        <v>23</v>
      </c>
      <c r="E961" t="s">
        <v>38</v>
      </c>
      <c r="F961">
        <v>2</v>
      </c>
      <c r="G961" t="s">
        <v>50</v>
      </c>
      <c r="H961" t="s">
        <v>26</v>
      </c>
      <c r="I961" t="s">
        <v>29</v>
      </c>
      <c r="J961" t="s">
        <v>40</v>
      </c>
      <c r="K961" t="s">
        <v>29</v>
      </c>
      <c r="L961" t="s">
        <v>41</v>
      </c>
      <c r="M961" t="s">
        <v>31</v>
      </c>
      <c r="N961" t="s">
        <v>32</v>
      </c>
      <c r="O961">
        <v>4661</v>
      </c>
      <c r="P961">
        <v>1</v>
      </c>
      <c r="Q961" t="s">
        <v>36</v>
      </c>
      <c r="R961">
        <v>13</v>
      </c>
      <c r="S961" t="s">
        <v>33</v>
      </c>
      <c r="T961" t="s">
        <v>29</v>
      </c>
      <c r="U961">
        <v>4</v>
      </c>
      <c r="V961" t="s">
        <v>44</v>
      </c>
      <c r="W961" t="str">
        <f>IF(HR_Data[[#This Row],[age]]&lt;25,"Under 25",IF(HR_Data[[#This Row],[age]]&lt;35,"25-34",IF(HR_Data[[#This Row],[age]]&lt;45,"35-44",IF(HR_Data[[#This Row],[age]]&lt;55,"45-54","55+"))))</f>
        <v>35-44</v>
      </c>
      <c r="X961" t="str">
        <f t="shared" si="14"/>
        <v>3,000-4,999</v>
      </c>
    </row>
    <row r="962" spans="1:24" x14ac:dyDescent="0.3">
      <c r="A962">
        <v>1349</v>
      </c>
      <c r="B962">
        <v>41</v>
      </c>
      <c r="C962" t="s">
        <v>36</v>
      </c>
      <c r="D962" t="s">
        <v>37</v>
      </c>
      <c r="E962" t="s">
        <v>24</v>
      </c>
      <c r="F962">
        <v>1</v>
      </c>
      <c r="G962" t="s">
        <v>50</v>
      </c>
      <c r="H962" t="s">
        <v>58</v>
      </c>
      <c r="I962" t="s">
        <v>29</v>
      </c>
      <c r="J962" t="s">
        <v>28</v>
      </c>
      <c r="K962" t="s">
        <v>29</v>
      </c>
      <c r="L962" t="s">
        <v>30</v>
      </c>
      <c r="M962" t="s">
        <v>34</v>
      </c>
      <c r="N962" t="s">
        <v>51</v>
      </c>
      <c r="O962">
        <v>4103</v>
      </c>
      <c r="P962">
        <v>0</v>
      </c>
      <c r="Q962" t="s">
        <v>36</v>
      </c>
      <c r="R962">
        <v>17</v>
      </c>
      <c r="S962" t="s">
        <v>33</v>
      </c>
      <c r="T962" t="s">
        <v>31</v>
      </c>
      <c r="U962">
        <v>2</v>
      </c>
      <c r="V962" t="s">
        <v>44</v>
      </c>
      <c r="W962" t="str">
        <f>IF(HR_Data[[#This Row],[age]]&lt;25,"Under 25",IF(HR_Data[[#This Row],[age]]&lt;35,"25-34",IF(HR_Data[[#This Row],[age]]&lt;45,"35-44",IF(HR_Data[[#This Row],[age]]&lt;55,"45-54","55+"))))</f>
        <v>35-44</v>
      </c>
      <c r="X962" t="str">
        <f t="shared" si="14"/>
        <v>3,000-4,999</v>
      </c>
    </row>
    <row r="963" spans="1:24" x14ac:dyDescent="0.3">
      <c r="A963">
        <v>1350</v>
      </c>
      <c r="B963">
        <v>35</v>
      </c>
      <c r="C963" t="s">
        <v>36</v>
      </c>
      <c r="D963" t="s">
        <v>37</v>
      </c>
      <c r="E963" t="s">
        <v>38</v>
      </c>
      <c r="F963">
        <v>4</v>
      </c>
      <c r="G963" t="s">
        <v>47</v>
      </c>
      <c r="H963" t="s">
        <v>26</v>
      </c>
      <c r="I963" t="s">
        <v>29</v>
      </c>
      <c r="J963" t="s">
        <v>40</v>
      </c>
      <c r="K963" t="s">
        <v>29</v>
      </c>
      <c r="L963" t="s">
        <v>41</v>
      </c>
      <c r="M963" t="s">
        <v>29</v>
      </c>
      <c r="N963" t="s">
        <v>32</v>
      </c>
      <c r="O963">
        <v>4249</v>
      </c>
      <c r="P963">
        <v>1</v>
      </c>
      <c r="Q963" t="s">
        <v>22</v>
      </c>
      <c r="R963">
        <v>11</v>
      </c>
      <c r="S963" t="s">
        <v>33</v>
      </c>
      <c r="T963" t="s">
        <v>27</v>
      </c>
      <c r="U963">
        <v>3</v>
      </c>
      <c r="V963" t="s">
        <v>44</v>
      </c>
      <c r="W963" t="str">
        <f>IF(HR_Data[[#This Row],[age]]&lt;25,"Under 25",IF(HR_Data[[#This Row],[age]]&lt;35,"25-34",IF(HR_Data[[#This Row],[age]]&lt;45,"35-44",IF(HR_Data[[#This Row],[age]]&lt;55,"45-54","55+"))))</f>
        <v>35-44</v>
      </c>
      <c r="X963" t="str">
        <f t="shared" ref="X963:X1026" si="15">IF(O963&lt;3000,"Below 3,000",IF(O963&lt;5000,"3,000-4,999",IF(O963&lt;8000,"5,000-7,999","8,000+")))</f>
        <v>3,000-4,999</v>
      </c>
    </row>
    <row r="964" spans="1:24" x14ac:dyDescent="0.3">
      <c r="A964">
        <v>1352</v>
      </c>
      <c r="B964">
        <v>51</v>
      </c>
      <c r="C964" t="s">
        <v>36</v>
      </c>
      <c r="D964" t="s">
        <v>23</v>
      </c>
      <c r="E964" t="s">
        <v>62</v>
      </c>
      <c r="F964">
        <v>5</v>
      </c>
      <c r="G964" t="s">
        <v>50</v>
      </c>
      <c r="H964" t="s">
        <v>26</v>
      </c>
      <c r="I964" t="s">
        <v>29</v>
      </c>
      <c r="J964" t="s">
        <v>40</v>
      </c>
      <c r="K964" t="s">
        <v>29</v>
      </c>
      <c r="L964" t="s">
        <v>55</v>
      </c>
      <c r="M964" t="s">
        <v>27</v>
      </c>
      <c r="N964" t="s">
        <v>51</v>
      </c>
      <c r="O964">
        <v>14026</v>
      </c>
      <c r="P964">
        <v>1</v>
      </c>
      <c r="Q964" t="s">
        <v>22</v>
      </c>
      <c r="R964">
        <v>11</v>
      </c>
      <c r="S964" t="s">
        <v>33</v>
      </c>
      <c r="T964" t="s">
        <v>27</v>
      </c>
      <c r="U964">
        <v>2</v>
      </c>
      <c r="V964" t="s">
        <v>44</v>
      </c>
      <c r="W964" t="str">
        <f>IF(HR_Data[[#This Row],[age]]&lt;25,"Under 25",IF(HR_Data[[#This Row],[age]]&lt;35,"25-34",IF(HR_Data[[#This Row],[age]]&lt;45,"35-44",IF(HR_Data[[#This Row],[age]]&lt;55,"45-54","55+"))))</f>
        <v>45-54</v>
      </c>
      <c r="X964" t="str">
        <f t="shared" si="15"/>
        <v>8,000+</v>
      </c>
    </row>
    <row r="965" spans="1:24" x14ac:dyDescent="0.3">
      <c r="A965">
        <v>1355</v>
      </c>
      <c r="B965">
        <v>38</v>
      </c>
      <c r="C965" t="s">
        <v>36</v>
      </c>
      <c r="D965" t="s">
        <v>23</v>
      </c>
      <c r="E965" t="s">
        <v>24</v>
      </c>
      <c r="F965">
        <v>2</v>
      </c>
      <c r="G965" t="s">
        <v>25</v>
      </c>
      <c r="H965" t="s">
        <v>26</v>
      </c>
      <c r="I965" t="s">
        <v>27</v>
      </c>
      <c r="J965" t="s">
        <v>28</v>
      </c>
      <c r="K965" t="s">
        <v>29</v>
      </c>
      <c r="L965" t="s">
        <v>30</v>
      </c>
      <c r="M965" t="s">
        <v>34</v>
      </c>
      <c r="N965" t="s">
        <v>51</v>
      </c>
      <c r="O965">
        <v>6893</v>
      </c>
      <c r="P965">
        <v>3</v>
      </c>
      <c r="Q965" t="s">
        <v>36</v>
      </c>
      <c r="R965">
        <v>15</v>
      </c>
      <c r="S965" t="s">
        <v>33</v>
      </c>
      <c r="T965" t="s">
        <v>31</v>
      </c>
      <c r="U965">
        <v>3</v>
      </c>
      <c r="V965" t="s">
        <v>44</v>
      </c>
      <c r="W965" t="str">
        <f>IF(HR_Data[[#This Row],[age]]&lt;25,"Under 25",IF(HR_Data[[#This Row],[age]]&lt;35,"25-34",IF(HR_Data[[#This Row],[age]]&lt;45,"35-44",IF(HR_Data[[#This Row],[age]]&lt;55,"45-54","55+"))))</f>
        <v>35-44</v>
      </c>
      <c r="X965" t="str">
        <f t="shared" si="15"/>
        <v>5,000-7,999</v>
      </c>
    </row>
    <row r="966" spans="1:24" x14ac:dyDescent="0.3">
      <c r="A966">
        <v>1356</v>
      </c>
      <c r="B966">
        <v>34</v>
      </c>
      <c r="C966" t="s">
        <v>36</v>
      </c>
      <c r="D966" t="s">
        <v>23</v>
      </c>
      <c r="E966" t="s">
        <v>24</v>
      </c>
      <c r="F966">
        <v>15</v>
      </c>
      <c r="G966" t="s">
        <v>25</v>
      </c>
      <c r="H966" t="s">
        <v>48</v>
      </c>
      <c r="I966" t="s">
        <v>29</v>
      </c>
      <c r="J966" t="s">
        <v>28</v>
      </c>
      <c r="K966" t="s">
        <v>29</v>
      </c>
      <c r="L966" t="s">
        <v>30</v>
      </c>
      <c r="M966" t="s">
        <v>34</v>
      </c>
      <c r="N966" t="s">
        <v>32</v>
      </c>
      <c r="O966">
        <v>6125</v>
      </c>
      <c r="P966">
        <v>1</v>
      </c>
      <c r="Q966" t="s">
        <v>36</v>
      </c>
      <c r="R966">
        <v>12</v>
      </c>
      <c r="S966" t="s">
        <v>33</v>
      </c>
      <c r="T966" t="s">
        <v>31</v>
      </c>
      <c r="U966">
        <v>6</v>
      </c>
      <c r="V966" t="s">
        <v>59</v>
      </c>
      <c r="W966" t="str">
        <f>IF(HR_Data[[#This Row],[age]]&lt;25,"Under 25",IF(HR_Data[[#This Row],[age]]&lt;35,"25-34",IF(HR_Data[[#This Row],[age]]&lt;45,"35-44",IF(HR_Data[[#This Row],[age]]&lt;55,"45-54","55+"))))</f>
        <v>25-34</v>
      </c>
      <c r="X966" t="str">
        <f t="shared" si="15"/>
        <v>5,000-7,999</v>
      </c>
    </row>
    <row r="967" spans="1:24" x14ac:dyDescent="0.3">
      <c r="A967">
        <v>1358</v>
      </c>
      <c r="B967">
        <v>25</v>
      </c>
      <c r="C967" t="s">
        <v>36</v>
      </c>
      <c r="D967" t="s">
        <v>23</v>
      </c>
      <c r="E967" t="s">
        <v>38</v>
      </c>
      <c r="F967">
        <v>19</v>
      </c>
      <c r="G967" t="s">
        <v>39</v>
      </c>
      <c r="H967" t="s">
        <v>48</v>
      </c>
      <c r="I967" t="s">
        <v>31</v>
      </c>
      <c r="J967" t="s">
        <v>40</v>
      </c>
      <c r="K967" t="s">
        <v>29</v>
      </c>
      <c r="L967" t="s">
        <v>46</v>
      </c>
      <c r="M967" t="s">
        <v>31</v>
      </c>
      <c r="N967" t="s">
        <v>42</v>
      </c>
      <c r="O967">
        <v>3669</v>
      </c>
      <c r="P967">
        <v>3</v>
      </c>
      <c r="Q967" t="s">
        <v>36</v>
      </c>
      <c r="R967">
        <v>11</v>
      </c>
      <c r="S967" t="s">
        <v>33</v>
      </c>
      <c r="T967" t="s">
        <v>29</v>
      </c>
      <c r="U967">
        <v>6</v>
      </c>
      <c r="V967" t="s">
        <v>49</v>
      </c>
      <c r="W967" t="str">
        <f>IF(HR_Data[[#This Row],[age]]&lt;25,"Under 25",IF(HR_Data[[#This Row],[age]]&lt;35,"25-34",IF(HR_Data[[#This Row],[age]]&lt;45,"35-44",IF(HR_Data[[#This Row],[age]]&lt;55,"45-54","55+"))))</f>
        <v>25-34</v>
      </c>
      <c r="X967" t="str">
        <f t="shared" si="15"/>
        <v>3,000-4,999</v>
      </c>
    </row>
    <row r="968" spans="1:24" x14ac:dyDescent="0.3">
      <c r="A968">
        <v>1360</v>
      </c>
      <c r="B968">
        <v>58</v>
      </c>
      <c r="C968" t="s">
        <v>22</v>
      </c>
      <c r="D968" t="s">
        <v>23</v>
      </c>
      <c r="E968" t="s">
        <v>38</v>
      </c>
      <c r="F968">
        <v>7</v>
      </c>
      <c r="G968" t="s">
        <v>47</v>
      </c>
      <c r="H968" t="s">
        <v>48</v>
      </c>
      <c r="I968" t="s">
        <v>29</v>
      </c>
      <c r="J968" t="s">
        <v>28</v>
      </c>
      <c r="K968" t="s">
        <v>27</v>
      </c>
      <c r="L968" t="s">
        <v>52</v>
      </c>
      <c r="M968" t="s">
        <v>34</v>
      </c>
      <c r="N968" t="s">
        <v>42</v>
      </c>
      <c r="O968">
        <v>10008</v>
      </c>
      <c r="P968">
        <v>7</v>
      </c>
      <c r="Q968" t="s">
        <v>22</v>
      </c>
      <c r="R968">
        <v>14</v>
      </c>
      <c r="S968" t="s">
        <v>33</v>
      </c>
      <c r="T968" t="s">
        <v>31</v>
      </c>
      <c r="U968">
        <v>0</v>
      </c>
      <c r="V968" t="s">
        <v>49</v>
      </c>
      <c r="W968" t="str">
        <f>IF(HR_Data[[#This Row],[age]]&lt;25,"Under 25",IF(HR_Data[[#This Row],[age]]&lt;35,"25-34",IF(HR_Data[[#This Row],[age]]&lt;45,"35-44",IF(HR_Data[[#This Row],[age]]&lt;55,"45-54","55+"))))</f>
        <v>55+</v>
      </c>
      <c r="X968" t="str">
        <f t="shared" si="15"/>
        <v>8,000+</v>
      </c>
    </row>
    <row r="969" spans="1:24" x14ac:dyDescent="0.3">
      <c r="A969">
        <v>1361</v>
      </c>
      <c r="B969">
        <v>40</v>
      </c>
      <c r="C969" t="s">
        <v>36</v>
      </c>
      <c r="D969" t="s">
        <v>23</v>
      </c>
      <c r="E969" t="s">
        <v>38</v>
      </c>
      <c r="F969">
        <v>1</v>
      </c>
      <c r="G969" t="s">
        <v>47</v>
      </c>
      <c r="H969" t="s">
        <v>26</v>
      </c>
      <c r="I969" t="s">
        <v>27</v>
      </c>
      <c r="J969" t="s">
        <v>40</v>
      </c>
      <c r="K969" t="s">
        <v>29</v>
      </c>
      <c r="L969" t="s">
        <v>46</v>
      </c>
      <c r="M969" t="s">
        <v>27</v>
      </c>
      <c r="N969" t="s">
        <v>42</v>
      </c>
      <c r="O969">
        <v>2387</v>
      </c>
      <c r="P969">
        <v>3</v>
      </c>
      <c r="Q969" t="s">
        <v>36</v>
      </c>
      <c r="R969">
        <v>22</v>
      </c>
      <c r="S969" t="s">
        <v>43</v>
      </c>
      <c r="T969" t="s">
        <v>29</v>
      </c>
      <c r="U969">
        <v>3</v>
      </c>
      <c r="V969" t="s">
        <v>44</v>
      </c>
      <c r="W969" t="str">
        <f>IF(HR_Data[[#This Row],[age]]&lt;25,"Under 25",IF(HR_Data[[#This Row],[age]]&lt;35,"25-34",IF(HR_Data[[#This Row],[age]]&lt;45,"35-44",IF(HR_Data[[#This Row],[age]]&lt;55,"45-54","55+"))))</f>
        <v>35-44</v>
      </c>
      <c r="X969" t="str">
        <f t="shared" si="15"/>
        <v>Below 3,000</v>
      </c>
    </row>
    <row r="970" spans="1:24" x14ac:dyDescent="0.3">
      <c r="A970">
        <v>1362</v>
      </c>
      <c r="B970">
        <v>36</v>
      </c>
      <c r="C970" t="s">
        <v>36</v>
      </c>
      <c r="D970" t="s">
        <v>37</v>
      </c>
      <c r="E970" t="s">
        <v>24</v>
      </c>
      <c r="F970">
        <v>7</v>
      </c>
      <c r="G970" t="s">
        <v>50</v>
      </c>
      <c r="H970" t="s">
        <v>58</v>
      </c>
      <c r="I970" t="s">
        <v>34</v>
      </c>
      <c r="J970" t="s">
        <v>28</v>
      </c>
      <c r="K970" t="s">
        <v>31</v>
      </c>
      <c r="L970" t="s">
        <v>30</v>
      </c>
      <c r="M970" t="s">
        <v>34</v>
      </c>
      <c r="N970" t="s">
        <v>42</v>
      </c>
      <c r="O970">
        <v>4639</v>
      </c>
      <c r="P970">
        <v>2</v>
      </c>
      <c r="Q970" t="s">
        <v>36</v>
      </c>
      <c r="R970">
        <v>16</v>
      </c>
      <c r="S970" t="s">
        <v>33</v>
      </c>
      <c r="T970" t="s">
        <v>31</v>
      </c>
      <c r="U970">
        <v>2</v>
      </c>
      <c r="V970" t="s">
        <v>49</v>
      </c>
      <c r="W970" t="str">
        <f>IF(HR_Data[[#This Row],[age]]&lt;25,"Under 25",IF(HR_Data[[#This Row],[age]]&lt;35,"25-34",IF(HR_Data[[#This Row],[age]]&lt;45,"35-44",IF(HR_Data[[#This Row],[age]]&lt;55,"45-54","55+"))))</f>
        <v>35-44</v>
      </c>
      <c r="X970" t="str">
        <f t="shared" si="15"/>
        <v>3,000-4,999</v>
      </c>
    </row>
    <row r="971" spans="1:24" x14ac:dyDescent="0.3">
      <c r="A971">
        <v>1363</v>
      </c>
      <c r="B971">
        <v>48</v>
      </c>
      <c r="C971" t="s">
        <v>36</v>
      </c>
      <c r="D971" t="s">
        <v>23</v>
      </c>
      <c r="E971" t="s">
        <v>38</v>
      </c>
      <c r="F971">
        <v>4</v>
      </c>
      <c r="G971" t="s">
        <v>50</v>
      </c>
      <c r="H971" t="s">
        <v>26</v>
      </c>
      <c r="I971" t="s">
        <v>31</v>
      </c>
      <c r="J971" t="s">
        <v>40</v>
      </c>
      <c r="K971" t="s">
        <v>29</v>
      </c>
      <c r="L971" t="s">
        <v>52</v>
      </c>
      <c r="M971" t="s">
        <v>31</v>
      </c>
      <c r="N971" t="s">
        <v>32</v>
      </c>
      <c r="O971">
        <v>7898</v>
      </c>
      <c r="P971">
        <v>1</v>
      </c>
      <c r="Q971" t="s">
        <v>36</v>
      </c>
      <c r="R971">
        <v>11</v>
      </c>
      <c r="S971" t="s">
        <v>33</v>
      </c>
      <c r="T971" t="s">
        <v>29</v>
      </c>
      <c r="U971">
        <v>2</v>
      </c>
      <c r="V971" t="s">
        <v>44</v>
      </c>
      <c r="W971" t="str">
        <f>IF(HR_Data[[#This Row],[age]]&lt;25,"Under 25",IF(HR_Data[[#This Row],[age]]&lt;35,"25-34",IF(HR_Data[[#This Row],[age]]&lt;45,"35-44",IF(HR_Data[[#This Row],[age]]&lt;55,"45-54","55+"))))</f>
        <v>45-54</v>
      </c>
      <c r="X971" t="str">
        <f t="shared" si="15"/>
        <v>5,000-7,999</v>
      </c>
    </row>
    <row r="972" spans="1:24" x14ac:dyDescent="0.3">
      <c r="A972">
        <v>1364</v>
      </c>
      <c r="B972">
        <v>27</v>
      </c>
      <c r="C972" t="s">
        <v>36</v>
      </c>
      <c r="D972" t="s">
        <v>23</v>
      </c>
      <c r="E972" t="s">
        <v>24</v>
      </c>
      <c r="F972">
        <v>11</v>
      </c>
      <c r="G972" t="s">
        <v>50</v>
      </c>
      <c r="H972" t="s">
        <v>48</v>
      </c>
      <c r="I972" t="s">
        <v>29</v>
      </c>
      <c r="J972" t="s">
        <v>28</v>
      </c>
      <c r="K972" t="s">
        <v>31</v>
      </c>
      <c r="L972" t="s">
        <v>56</v>
      </c>
      <c r="M972" t="s">
        <v>31</v>
      </c>
      <c r="N972" t="s">
        <v>42</v>
      </c>
      <c r="O972">
        <v>2534</v>
      </c>
      <c r="P972">
        <v>8</v>
      </c>
      <c r="Q972" t="s">
        <v>36</v>
      </c>
      <c r="R972">
        <v>14</v>
      </c>
      <c r="S972" t="s">
        <v>33</v>
      </c>
      <c r="T972" t="s">
        <v>27</v>
      </c>
      <c r="U972">
        <v>4</v>
      </c>
      <c r="V972" t="s">
        <v>44</v>
      </c>
      <c r="W972" t="str">
        <f>IF(HR_Data[[#This Row],[age]]&lt;25,"Under 25",IF(HR_Data[[#This Row],[age]]&lt;35,"25-34",IF(HR_Data[[#This Row],[age]]&lt;45,"35-44",IF(HR_Data[[#This Row],[age]]&lt;55,"45-54","55+"))))</f>
        <v>25-34</v>
      </c>
      <c r="X972" t="str">
        <f t="shared" si="15"/>
        <v>Below 3,000</v>
      </c>
    </row>
    <row r="973" spans="1:24" x14ac:dyDescent="0.3">
      <c r="A973">
        <v>1367</v>
      </c>
      <c r="B973">
        <v>51</v>
      </c>
      <c r="C973" t="s">
        <v>36</v>
      </c>
      <c r="D973" t="s">
        <v>23</v>
      </c>
      <c r="E973" t="s">
        <v>38</v>
      </c>
      <c r="F973">
        <v>11</v>
      </c>
      <c r="G973" t="s">
        <v>25</v>
      </c>
      <c r="H973" t="s">
        <v>60</v>
      </c>
      <c r="I973" t="s">
        <v>31</v>
      </c>
      <c r="J973" t="s">
        <v>28</v>
      </c>
      <c r="K973" t="s">
        <v>27</v>
      </c>
      <c r="L973" t="s">
        <v>52</v>
      </c>
      <c r="M973" t="s">
        <v>27</v>
      </c>
      <c r="N973" t="s">
        <v>32</v>
      </c>
      <c r="O973">
        <v>13142</v>
      </c>
      <c r="P973">
        <v>3</v>
      </c>
      <c r="Q973" t="s">
        <v>36</v>
      </c>
      <c r="R973">
        <v>16</v>
      </c>
      <c r="S973" t="s">
        <v>33</v>
      </c>
      <c r="T973" t="s">
        <v>27</v>
      </c>
      <c r="U973">
        <v>1</v>
      </c>
      <c r="V973" t="s">
        <v>49</v>
      </c>
      <c r="W973" t="str">
        <f>IF(HR_Data[[#This Row],[age]]&lt;25,"Under 25",IF(HR_Data[[#This Row],[age]]&lt;35,"25-34",IF(HR_Data[[#This Row],[age]]&lt;45,"35-44",IF(HR_Data[[#This Row],[age]]&lt;55,"45-54","55+"))))</f>
        <v>45-54</v>
      </c>
      <c r="X973" t="str">
        <f t="shared" si="15"/>
        <v>8,000+</v>
      </c>
    </row>
    <row r="974" spans="1:24" x14ac:dyDescent="0.3">
      <c r="A974">
        <v>1368</v>
      </c>
      <c r="B974">
        <v>18</v>
      </c>
      <c r="C974" t="s">
        <v>36</v>
      </c>
      <c r="D974" t="s">
        <v>54</v>
      </c>
      <c r="E974" t="s">
        <v>38</v>
      </c>
      <c r="F974">
        <v>1</v>
      </c>
      <c r="G974" t="s">
        <v>50</v>
      </c>
      <c r="H974" t="s">
        <v>26</v>
      </c>
      <c r="I974" t="s">
        <v>31</v>
      </c>
      <c r="J974" t="s">
        <v>28</v>
      </c>
      <c r="K974" t="s">
        <v>29</v>
      </c>
      <c r="L974" t="s">
        <v>46</v>
      </c>
      <c r="M974" t="s">
        <v>31</v>
      </c>
      <c r="N974" t="s">
        <v>32</v>
      </c>
      <c r="O974">
        <v>1611</v>
      </c>
      <c r="P974">
        <v>1</v>
      </c>
      <c r="Q974" t="s">
        <v>36</v>
      </c>
      <c r="R974">
        <v>15</v>
      </c>
      <c r="S974" t="s">
        <v>33</v>
      </c>
      <c r="T974" t="s">
        <v>29</v>
      </c>
      <c r="U974">
        <v>5</v>
      </c>
      <c r="V974" t="s">
        <v>59</v>
      </c>
      <c r="W974" t="str">
        <f>IF(HR_Data[[#This Row],[age]]&lt;25,"Under 25",IF(HR_Data[[#This Row],[age]]&lt;35,"25-34",IF(HR_Data[[#This Row],[age]]&lt;45,"35-44",IF(HR_Data[[#This Row],[age]]&lt;55,"45-54","55+"))))</f>
        <v>Under 25</v>
      </c>
      <c r="X974" t="str">
        <f t="shared" si="15"/>
        <v>Below 3,000</v>
      </c>
    </row>
    <row r="975" spans="1:24" x14ac:dyDescent="0.3">
      <c r="A975">
        <v>1369</v>
      </c>
      <c r="B975">
        <v>35</v>
      </c>
      <c r="C975" t="s">
        <v>36</v>
      </c>
      <c r="D975" t="s">
        <v>23</v>
      </c>
      <c r="E975" t="s">
        <v>38</v>
      </c>
      <c r="F975">
        <v>1</v>
      </c>
      <c r="G975" t="s">
        <v>50</v>
      </c>
      <c r="H975" t="s">
        <v>48</v>
      </c>
      <c r="I975" t="s">
        <v>31</v>
      </c>
      <c r="J975" t="s">
        <v>28</v>
      </c>
      <c r="K975" t="s">
        <v>27</v>
      </c>
      <c r="L975" t="s">
        <v>46</v>
      </c>
      <c r="M975" t="s">
        <v>31</v>
      </c>
      <c r="N975" t="s">
        <v>42</v>
      </c>
      <c r="O975">
        <v>5363</v>
      </c>
      <c r="P975">
        <v>0</v>
      </c>
      <c r="Q975" t="s">
        <v>36</v>
      </c>
      <c r="R975">
        <v>12</v>
      </c>
      <c r="S975" t="s">
        <v>33</v>
      </c>
      <c r="T975" t="s">
        <v>27</v>
      </c>
      <c r="U975">
        <v>0</v>
      </c>
      <c r="V975" t="s">
        <v>44</v>
      </c>
      <c r="W975" t="str">
        <f>IF(HR_Data[[#This Row],[age]]&lt;25,"Under 25",IF(HR_Data[[#This Row],[age]]&lt;35,"25-34",IF(HR_Data[[#This Row],[age]]&lt;45,"35-44",IF(HR_Data[[#This Row],[age]]&lt;55,"45-54","55+"))))</f>
        <v>35-44</v>
      </c>
      <c r="X975" t="str">
        <f t="shared" si="15"/>
        <v>5,000-7,999</v>
      </c>
    </row>
    <row r="976" spans="1:24" x14ac:dyDescent="0.3">
      <c r="A976">
        <v>1371</v>
      </c>
      <c r="B976">
        <v>27</v>
      </c>
      <c r="C976" t="s">
        <v>36</v>
      </c>
      <c r="D976" t="s">
        <v>37</v>
      </c>
      <c r="E976" t="s">
        <v>24</v>
      </c>
      <c r="F976">
        <v>2</v>
      </c>
      <c r="G976" t="s">
        <v>39</v>
      </c>
      <c r="H976" t="s">
        <v>26</v>
      </c>
      <c r="I976" t="s">
        <v>31</v>
      </c>
      <c r="J976" t="s">
        <v>40</v>
      </c>
      <c r="K976" t="s">
        <v>34</v>
      </c>
      <c r="L976" t="s">
        <v>30</v>
      </c>
      <c r="M976" t="s">
        <v>31</v>
      </c>
      <c r="N976" t="s">
        <v>32</v>
      </c>
      <c r="O976">
        <v>5071</v>
      </c>
      <c r="P976">
        <v>3</v>
      </c>
      <c r="Q976" t="s">
        <v>36</v>
      </c>
      <c r="R976">
        <v>20</v>
      </c>
      <c r="S976" t="s">
        <v>43</v>
      </c>
      <c r="T976" t="s">
        <v>27</v>
      </c>
      <c r="U976">
        <v>3</v>
      </c>
      <c r="V976" t="s">
        <v>44</v>
      </c>
      <c r="W976" t="str">
        <f>IF(HR_Data[[#This Row],[age]]&lt;25,"Under 25",IF(HR_Data[[#This Row],[age]]&lt;35,"25-34",IF(HR_Data[[#This Row],[age]]&lt;45,"35-44",IF(HR_Data[[#This Row],[age]]&lt;55,"45-54","55+"))))</f>
        <v>25-34</v>
      </c>
      <c r="X976" t="str">
        <f t="shared" si="15"/>
        <v>5,000-7,999</v>
      </c>
    </row>
    <row r="977" spans="1:24" x14ac:dyDescent="0.3">
      <c r="A977">
        <v>1372</v>
      </c>
      <c r="B977">
        <v>55</v>
      </c>
      <c r="C977" t="s">
        <v>22</v>
      </c>
      <c r="D977" t="s">
        <v>23</v>
      </c>
      <c r="E977" t="s">
        <v>24</v>
      </c>
      <c r="F977">
        <v>13</v>
      </c>
      <c r="G977" t="s">
        <v>47</v>
      </c>
      <c r="H977" t="s">
        <v>58</v>
      </c>
      <c r="I977" t="s">
        <v>34</v>
      </c>
      <c r="J977" t="s">
        <v>40</v>
      </c>
      <c r="K977" t="s">
        <v>31</v>
      </c>
      <c r="L977" t="s">
        <v>30</v>
      </c>
      <c r="M977" t="s">
        <v>29</v>
      </c>
      <c r="N977" t="s">
        <v>32</v>
      </c>
      <c r="O977">
        <v>13695</v>
      </c>
      <c r="P977">
        <v>6</v>
      </c>
      <c r="Q977" t="s">
        <v>22</v>
      </c>
      <c r="R977">
        <v>17</v>
      </c>
      <c r="S977" t="s">
        <v>33</v>
      </c>
      <c r="T977" t="s">
        <v>29</v>
      </c>
      <c r="U977">
        <v>2</v>
      </c>
      <c r="V977" t="s">
        <v>49</v>
      </c>
      <c r="W977" t="str">
        <f>IF(HR_Data[[#This Row],[age]]&lt;25,"Under 25",IF(HR_Data[[#This Row],[age]]&lt;35,"25-34",IF(HR_Data[[#This Row],[age]]&lt;45,"35-44",IF(HR_Data[[#This Row],[age]]&lt;55,"45-54","55+"))))</f>
        <v>55+</v>
      </c>
      <c r="X977" t="str">
        <f t="shared" si="15"/>
        <v>8,000+</v>
      </c>
    </row>
    <row r="978" spans="1:24" x14ac:dyDescent="0.3">
      <c r="A978">
        <v>1373</v>
      </c>
      <c r="B978">
        <v>56</v>
      </c>
      <c r="C978" t="s">
        <v>36</v>
      </c>
      <c r="D978" t="s">
        <v>23</v>
      </c>
      <c r="E978" t="s">
        <v>38</v>
      </c>
      <c r="F978">
        <v>23</v>
      </c>
      <c r="G978" t="s">
        <v>50</v>
      </c>
      <c r="H978" t="s">
        <v>26</v>
      </c>
      <c r="I978" t="s">
        <v>31</v>
      </c>
      <c r="J978" t="s">
        <v>40</v>
      </c>
      <c r="K978" t="s">
        <v>29</v>
      </c>
      <c r="L978" t="s">
        <v>52</v>
      </c>
      <c r="M978" t="s">
        <v>27</v>
      </c>
      <c r="N978" t="s">
        <v>42</v>
      </c>
      <c r="O978">
        <v>13402</v>
      </c>
      <c r="P978">
        <v>4</v>
      </c>
      <c r="Q978" t="s">
        <v>22</v>
      </c>
      <c r="R978">
        <v>12</v>
      </c>
      <c r="S978" t="s">
        <v>33</v>
      </c>
      <c r="T978" t="s">
        <v>34</v>
      </c>
      <c r="U978">
        <v>0</v>
      </c>
      <c r="V978" t="s">
        <v>44</v>
      </c>
      <c r="W978" t="str">
        <f>IF(HR_Data[[#This Row],[age]]&lt;25,"Under 25",IF(HR_Data[[#This Row],[age]]&lt;35,"25-34",IF(HR_Data[[#This Row],[age]]&lt;45,"35-44",IF(HR_Data[[#This Row],[age]]&lt;55,"45-54","55+"))))</f>
        <v>55+</v>
      </c>
      <c r="X978" t="str">
        <f t="shared" si="15"/>
        <v>8,000+</v>
      </c>
    </row>
    <row r="979" spans="1:24" x14ac:dyDescent="0.3">
      <c r="A979">
        <v>1374</v>
      </c>
      <c r="B979">
        <v>34</v>
      </c>
      <c r="C979" t="s">
        <v>36</v>
      </c>
      <c r="D979" t="s">
        <v>54</v>
      </c>
      <c r="E979" t="s">
        <v>38</v>
      </c>
      <c r="F979">
        <v>26</v>
      </c>
      <c r="G979" t="s">
        <v>39</v>
      </c>
      <c r="H979" t="s">
        <v>60</v>
      </c>
      <c r="I979" t="s">
        <v>34</v>
      </c>
      <c r="J979" t="s">
        <v>28</v>
      </c>
      <c r="K979" t="s">
        <v>27</v>
      </c>
      <c r="L979" t="s">
        <v>41</v>
      </c>
      <c r="M979" t="s">
        <v>29</v>
      </c>
      <c r="N979" t="s">
        <v>51</v>
      </c>
      <c r="O979">
        <v>2029</v>
      </c>
      <c r="P979">
        <v>1</v>
      </c>
      <c r="Q979" t="s">
        <v>36</v>
      </c>
      <c r="R979">
        <v>20</v>
      </c>
      <c r="S979" t="s">
        <v>43</v>
      </c>
      <c r="T979" t="s">
        <v>29</v>
      </c>
      <c r="U979">
        <v>2</v>
      </c>
      <c r="V979" t="s">
        <v>44</v>
      </c>
      <c r="W979" t="str">
        <f>IF(HR_Data[[#This Row],[age]]&lt;25,"Under 25",IF(HR_Data[[#This Row],[age]]&lt;35,"25-34",IF(HR_Data[[#This Row],[age]]&lt;45,"35-44",IF(HR_Data[[#This Row],[age]]&lt;55,"45-54","55+"))))</f>
        <v>25-34</v>
      </c>
      <c r="X979" t="str">
        <f t="shared" si="15"/>
        <v>Below 3,000</v>
      </c>
    </row>
    <row r="980" spans="1:24" x14ac:dyDescent="0.3">
      <c r="A980">
        <v>1375</v>
      </c>
      <c r="B980">
        <v>40</v>
      </c>
      <c r="C980" t="s">
        <v>36</v>
      </c>
      <c r="D980" t="s">
        <v>23</v>
      </c>
      <c r="E980" t="s">
        <v>38</v>
      </c>
      <c r="F980">
        <v>2</v>
      </c>
      <c r="G980" t="s">
        <v>39</v>
      </c>
      <c r="H980" t="s">
        <v>48</v>
      </c>
      <c r="I980" t="s">
        <v>27</v>
      </c>
      <c r="J980" t="s">
        <v>28</v>
      </c>
      <c r="K980" t="s">
        <v>31</v>
      </c>
      <c r="L980" t="s">
        <v>53</v>
      </c>
      <c r="M980" t="s">
        <v>29</v>
      </c>
      <c r="N980" t="s">
        <v>51</v>
      </c>
      <c r="O980">
        <v>6377</v>
      </c>
      <c r="P980">
        <v>5</v>
      </c>
      <c r="Q980" t="s">
        <v>36</v>
      </c>
      <c r="R980">
        <v>20</v>
      </c>
      <c r="S980" t="s">
        <v>43</v>
      </c>
      <c r="T980" t="s">
        <v>27</v>
      </c>
      <c r="U980">
        <v>0</v>
      </c>
      <c r="V980" t="s">
        <v>44</v>
      </c>
      <c r="W980" t="str">
        <f>IF(HR_Data[[#This Row],[age]]&lt;25,"Under 25",IF(HR_Data[[#This Row],[age]]&lt;35,"25-34",IF(HR_Data[[#This Row],[age]]&lt;45,"35-44",IF(HR_Data[[#This Row],[age]]&lt;55,"45-54","55+"))))</f>
        <v>35-44</v>
      </c>
      <c r="X980" t="str">
        <f t="shared" si="15"/>
        <v>5,000-7,999</v>
      </c>
    </row>
    <row r="981" spans="1:24" x14ac:dyDescent="0.3">
      <c r="A981">
        <v>1377</v>
      </c>
      <c r="B981">
        <v>34</v>
      </c>
      <c r="C981" t="s">
        <v>36</v>
      </c>
      <c r="D981" t="s">
        <v>23</v>
      </c>
      <c r="E981" t="s">
        <v>38</v>
      </c>
      <c r="F981">
        <v>29</v>
      </c>
      <c r="G981" t="s">
        <v>50</v>
      </c>
      <c r="H981" t="s">
        <v>48</v>
      </c>
      <c r="I981" t="s">
        <v>27</v>
      </c>
      <c r="J981" t="s">
        <v>40</v>
      </c>
      <c r="K981" t="s">
        <v>29</v>
      </c>
      <c r="L981" t="s">
        <v>46</v>
      </c>
      <c r="M981" t="s">
        <v>29</v>
      </c>
      <c r="N981" t="s">
        <v>42</v>
      </c>
      <c r="O981">
        <v>5429</v>
      </c>
      <c r="P981">
        <v>4</v>
      </c>
      <c r="Q981" t="s">
        <v>36</v>
      </c>
      <c r="R981">
        <v>13</v>
      </c>
      <c r="S981" t="s">
        <v>33</v>
      </c>
      <c r="T981" t="s">
        <v>34</v>
      </c>
      <c r="U981">
        <v>1</v>
      </c>
      <c r="V981" t="s">
        <v>44</v>
      </c>
      <c r="W981" t="str">
        <f>IF(HR_Data[[#This Row],[age]]&lt;25,"Under 25",IF(HR_Data[[#This Row],[age]]&lt;35,"25-34",IF(HR_Data[[#This Row],[age]]&lt;45,"35-44",IF(HR_Data[[#This Row],[age]]&lt;55,"45-54","55+"))))</f>
        <v>25-34</v>
      </c>
      <c r="X981" t="str">
        <f t="shared" si="15"/>
        <v>5,000-7,999</v>
      </c>
    </row>
    <row r="982" spans="1:24" x14ac:dyDescent="0.3">
      <c r="A982">
        <v>1379</v>
      </c>
      <c r="B982">
        <v>31</v>
      </c>
      <c r="C982" t="s">
        <v>22</v>
      </c>
      <c r="D982" t="s">
        <v>37</v>
      </c>
      <c r="E982" t="s">
        <v>24</v>
      </c>
      <c r="F982">
        <v>2</v>
      </c>
      <c r="G982" t="s">
        <v>50</v>
      </c>
      <c r="H982" t="s">
        <v>26</v>
      </c>
      <c r="I982" t="s">
        <v>29</v>
      </c>
      <c r="J982" t="s">
        <v>28</v>
      </c>
      <c r="K982" t="s">
        <v>27</v>
      </c>
      <c r="L982" t="s">
        <v>56</v>
      </c>
      <c r="M982" t="s">
        <v>31</v>
      </c>
      <c r="N982" t="s">
        <v>32</v>
      </c>
      <c r="O982">
        <v>2785</v>
      </c>
      <c r="P982">
        <v>7</v>
      </c>
      <c r="Q982" t="s">
        <v>36</v>
      </c>
      <c r="R982">
        <v>14</v>
      </c>
      <c r="S982" t="s">
        <v>33</v>
      </c>
      <c r="T982" t="s">
        <v>29</v>
      </c>
      <c r="U982">
        <v>3</v>
      </c>
      <c r="V982" t="s">
        <v>59</v>
      </c>
      <c r="W982" t="str">
        <f>IF(HR_Data[[#This Row],[age]]&lt;25,"Under 25",IF(HR_Data[[#This Row],[age]]&lt;35,"25-34",IF(HR_Data[[#This Row],[age]]&lt;45,"35-44",IF(HR_Data[[#This Row],[age]]&lt;55,"45-54","55+"))))</f>
        <v>25-34</v>
      </c>
      <c r="X982" t="str">
        <f t="shared" si="15"/>
        <v>Below 3,000</v>
      </c>
    </row>
    <row r="983" spans="1:24" x14ac:dyDescent="0.3">
      <c r="A983">
        <v>1380</v>
      </c>
      <c r="B983">
        <v>35</v>
      </c>
      <c r="C983" t="s">
        <v>22</v>
      </c>
      <c r="D983" t="s">
        <v>37</v>
      </c>
      <c r="E983" t="s">
        <v>24</v>
      </c>
      <c r="F983">
        <v>18</v>
      </c>
      <c r="G983" t="s">
        <v>47</v>
      </c>
      <c r="H983" t="s">
        <v>58</v>
      </c>
      <c r="I983" t="s">
        <v>31</v>
      </c>
      <c r="J983" t="s">
        <v>28</v>
      </c>
      <c r="K983" t="s">
        <v>29</v>
      </c>
      <c r="L983" t="s">
        <v>30</v>
      </c>
      <c r="M983" t="s">
        <v>29</v>
      </c>
      <c r="N983" t="s">
        <v>42</v>
      </c>
      <c r="O983">
        <v>4614</v>
      </c>
      <c r="P983">
        <v>0</v>
      </c>
      <c r="Q983" t="s">
        <v>22</v>
      </c>
      <c r="R983">
        <v>18</v>
      </c>
      <c r="S983" t="s">
        <v>33</v>
      </c>
      <c r="T983" t="s">
        <v>29</v>
      </c>
      <c r="U983">
        <v>0</v>
      </c>
      <c r="V983" t="s">
        <v>49</v>
      </c>
      <c r="W983" t="str">
        <f>IF(HR_Data[[#This Row],[age]]&lt;25,"Under 25",IF(HR_Data[[#This Row],[age]]&lt;35,"25-34",IF(HR_Data[[#This Row],[age]]&lt;45,"35-44",IF(HR_Data[[#This Row],[age]]&lt;55,"45-54","55+"))))</f>
        <v>35-44</v>
      </c>
      <c r="X983" t="str">
        <f t="shared" si="15"/>
        <v>3,000-4,999</v>
      </c>
    </row>
    <row r="984" spans="1:24" x14ac:dyDescent="0.3">
      <c r="A984">
        <v>1382</v>
      </c>
      <c r="B984">
        <v>38</v>
      </c>
      <c r="C984" t="s">
        <v>36</v>
      </c>
      <c r="D984" t="s">
        <v>37</v>
      </c>
      <c r="E984" t="s">
        <v>38</v>
      </c>
      <c r="F984">
        <v>7</v>
      </c>
      <c r="G984" t="s">
        <v>50</v>
      </c>
      <c r="H984" t="s">
        <v>26</v>
      </c>
      <c r="I984" t="s">
        <v>31</v>
      </c>
      <c r="J984" t="s">
        <v>40</v>
      </c>
      <c r="K984" t="s">
        <v>31</v>
      </c>
      <c r="L984" t="s">
        <v>41</v>
      </c>
      <c r="M984" t="s">
        <v>29</v>
      </c>
      <c r="N984" t="s">
        <v>51</v>
      </c>
      <c r="O984">
        <v>2610</v>
      </c>
      <c r="P984">
        <v>1</v>
      </c>
      <c r="Q984" t="s">
        <v>36</v>
      </c>
      <c r="R984">
        <v>11</v>
      </c>
      <c r="S984" t="s">
        <v>33</v>
      </c>
      <c r="T984" t="s">
        <v>31</v>
      </c>
      <c r="U984">
        <v>2</v>
      </c>
      <c r="V984" t="s">
        <v>44</v>
      </c>
      <c r="W984" t="str">
        <f>IF(HR_Data[[#This Row],[age]]&lt;25,"Under 25",IF(HR_Data[[#This Row],[age]]&lt;35,"25-34",IF(HR_Data[[#This Row],[age]]&lt;45,"35-44",IF(HR_Data[[#This Row],[age]]&lt;55,"45-54","55+"))))</f>
        <v>35-44</v>
      </c>
      <c r="X984" t="str">
        <f t="shared" si="15"/>
        <v>Below 3,000</v>
      </c>
    </row>
    <row r="985" spans="1:24" x14ac:dyDescent="0.3">
      <c r="A985">
        <v>1383</v>
      </c>
      <c r="B985">
        <v>34</v>
      </c>
      <c r="C985" t="s">
        <v>36</v>
      </c>
      <c r="D985" t="s">
        <v>23</v>
      </c>
      <c r="E985" t="s">
        <v>38</v>
      </c>
      <c r="F985">
        <v>2</v>
      </c>
      <c r="G985" t="s">
        <v>47</v>
      </c>
      <c r="H985" t="s">
        <v>60</v>
      </c>
      <c r="I985" t="s">
        <v>29</v>
      </c>
      <c r="J985" t="s">
        <v>28</v>
      </c>
      <c r="K985" t="s">
        <v>29</v>
      </c>
      <c r="L985" t="s">
        <v>53</v>
      </c>
      <c r="M985" t="s">
        <v>31</v>
      </c>
      <c r="N985" t="s">
        <v>32</v>
      </c>
      <c r="O985">
        <v>6687</v>
      </c>
      <c r="P985">
        <v>1</v>
      </c>
      <c r="Q985" t="s">
        <v>36</v>
      </c>
      <c r="R985">
        <v>11</v>
      </c>
      <c r="S985" t="s">
        <v>33</v>
      </c>
      <c r="T985" t="s">
        <v>31</v>
      </c>
      <c r="U985">
        <v>2</v>
      </c>
      <c r="V985" t="s">
        <v>59</v>
      </c>
      <c r="W985" t="str">
        <f>IF(HR_Data[[#This Row],[age]]&lt;25,"Under 25",IF(HR_Data[[#This Row],[age]]&lt;35,"25-34",IF(HR_Data[[#This Row],[age]]&lt;45,"35-44",IF(HR_Data[[#This Row],[age]]&lt;55,"45-54","55+"))))</f>
        <v>25-34</v>
      </c>
      <c r="X985" t="str">
        <f t="shared" si="15"/>
        <v>5,000-7,999</v>
      </c>
    </row>
    <row r="986" spans="1:24" x14ac:dyDescent="0.3">
      <c r="A986">
        <v>1387</v>
      </c>
      <c r="B986">
        <v>28</v>
      </c>
      <c r="C986" t="s">
        <v>36</v>
      </c>
      <c r="D986" t="s">
        <v>23</v>
      </c>
      <c r="E986" t="s">
        <v>24</v>
      </c>
      <c r="F986">
        <v>26</v>
      </c>
      <c r="G986" t="s">
        <v>50</v>
      </c>
      <c r="H986" t="s">
        <v>26</v>
      </c>
      <c r="I986" t="s">
        <v>29</v>
      </c>
      <c r="J986" t="s">
        <v>40</v>
      </c>
      <c r="K986" t="s">
        <v>27</v>
      </c>
      <c r="L986" t="s">
        <v>30</v>
      </c>
      <c r="M986" t="s">
        <v>34</v>
      </c>
      <c r="N986" t="s">
        <v>42</v>
      </c>
      <c r="O986">
        <v>4724</v>
      </c>
      <c r="P986">
        <v>1</v>
      </c>
      <c r="Q986" t="s">
        <v>36</v>
      </c>
      <c r="R986">
        <v>11</v>
      </c>
      <c r="S986" t="s">
        <v>33</v>
      </c>
      <c r="T986" t="s">
        <v>29</v>
      </c>
      <c r="U986">
        <v>0</v>
      </c>
      <c r="V986" t="s">
        <v>44</v>
      </c>
      <c r="W986" t="str">
        <f>IF(HR_Data[[#This Row],[age]]&lt;25,"Under 25",IF(HR_Data[[#This Row],[age]]&lt;35,"25-34",IF(HR_Data[[#This Row],[age]]&lt;45,"35-44",IF(HR_Data[[#This Row],[age]]&lt;55,"45-54","55+"))))</f>
        <v>25-34</v>
      </c>
      <c r="X986" t="str">
        <f t="shared" si="15"/>
        <v>3,000-4,999</v>
      </c>
    </row>
    <row r="987" spans="1:24" x14ac:dyDescent="0.3">
      <c r="A987">
        <v>1389</v>
      </c>
      <c r="B987">
        <v>31</v>
      </c>
      <c r="C987" t="s">
        <v>22</v>
      </c>
      <c r="D987" t="s">
        <v>23</v>
      </c>
      <c r="E987" t="s">
        <v>38</v>
      </c>
      <c r="F987">
        <v>22</v>
      </c>
      <c r="G987" t="s">
        <v>47</v>
      </c>
      <c r="H987" t="s">
        <v>48</v>
      </c>
      <c r="I987" t="s">
        <v>31</v>
      </c>
      <c r="J987" t="s">
        <v>40</v>
      </c>
      <c r="K987" t="s">
        <v>29</v>
      </c>
      <c r="L987" t="s">
        <v>52</v>
      </c>
      <c r="M987" t="s">
        <v>29</v>
      </c>
      <c r="N987" t="s">
        <v>42</v>
      </c>
      <c r="O987">
        <v>6179</v>
      </c>
      <c r="P987">
        <v>1</v>
      </c>
      <c r="Q987" t="s">
        <v>22</v>
      </c>
      <c r="R987">
        <v>15</v>
      </c>
      <c r="S987" t="s">
        <v>33</v>
      </c>
      <c r="T987" t="s">
        <v>31</v>
      </c>
      <c r="U987">
        <v>3</v>
      </c>
      <c r="V987" t="s">
        <v>49</v>
      </c>
      <c r="W987" t="str">
        <f>IF(HR_Data[[#This Row],[age]]&lt;25,"Under 25",IF(HR_Data[[#This Row],[age]]&lt;35,"25-34",IF(HR_Data[[#This Row],[age]]&lt;45,"35-44",IF(HR_Data[[#This Row],[age]]&lt;55,"45-54","55+"))))</f>
        <v>25-34</v>
      </c>
      <c r="X987" t="str">
        <f t="shared" si="15"/>
        <v>5,000-7,999</v>
      </c>
    </row>
    <row r="988" spans="1:24" x14ac:dyDescent="0.3">
      <c r="A988">
        <v>1390</v>
      </c>
      <c r="B988">
        <v>39</v>
      </c>
      <c r="C988" t="s">
        <v>36</v>
      </c>
      <c r="D988" t="s">
        <v>23</v>
      </c>
      <c r="E988" t="s">
        <v>24</v>
      </c>
      <c r="F988">
        <v>21</v>
      </c>
      <c r="G988" t="s">
        <v>47</v>
      </c>
      <c r="H988" t="s">
        <v>26</v>
      </c>
      <c r="I988" t="s">
        <v>34</v>
      </c>
      <c r="J988" t="s">
        <v>40</v>
      </c>
      <c r="K988" t="s">
        <v>27</v>
      </c>
      <c r="L988" t="s">
        <v>30</v>
      </c>
      <c r="M988" t="s">
        <v>31</v>
      </c>
      <c r="N988" t="s">
        <v>42</v>
      </c>
      <c r="O988">
        <v>6120</v>
      </c>
      <c r="P988">
        <v>3</v>
      </c>
      <c r="Q988" t="s">
        <v>22</v>
      </c>
      <c r="R988">
        <v>12</v>
      </c>
      <c r="S988" t="s">
        <v>33</v>
      </c>
      <c r="T988" t="s">
        <v>31</v>
      </c>
      <c r="U988">
        <v>2</v>
      </c>
      <c r="V988" t="s">
        <v>59</v>
      </c>
      <c r="W988" t="str">
        <f>IF(HR_Data[[#This Row],[age]]&lt;25,"Under 25",IF(HR_Data[[#This Row],[age]]&lt;35,"25-34",IF(HR_Data[[#This Row],[age]]&lt;45,"35-44",IF(HR_Data[[#This Row],[age]]&lt;55,"45-54","55+"))))</f>
        <v>35-44</v>
      </c>
      <c r="X988" t="str">
        <f t="shared" si="15"/>
        <v>5,000-7,999</v>
      </c>
    </row>
    <row r="989" spans="1:24" x14ac:dyDescent="0.3">
      <c r="A989">
        <v>1391</v>
      </c>
      <c r="B989">
        <v>51</v>
      </c>
      <c r="C989" t="s">
        <v>36</v>
      </c>
      <c r="D989" t="s">
        <v>37</v>
      </c>
      <c r="E989" t="s">
        <v>24</v>
      </c>
      <c r="F989">
        <v>2</v>
      </c>
      <c r="G989" t="s">
        <v>50</v>
      </c>
      <c r="H989" t="s">
        <v>58</v>
      </c>
      <c r="I989" t="s">
        <v>27</v>
      </c>
      <c r="J989" t="s">
        <v>40</v>
      </c>
      <c r="K989" t="s">
        <v>29</v>
      </c>
      <c r="L989" t="s">
        <v>30</v>
      </c>
      <c r="M989" t="s">
        <v>27</v>
      </c>
      <c r="N989" t="s">
        <v>42</v>
      </c>
      <c r="O989">
        <v>10596</v>
      </c>
      <c r="P989">
        <v>2</v>
      </c>
      <c r="Q989" t="s">
        <v>36</v>
      </c>
      <c r="R989">
        <v>11</v>
      </c>
      <c r="S989" t="s">
        <v>33</v>
      </c>
      <c r="T989" t="s">
        <v>27</v>
      </c>
      <c r="U989">
        <v>5</v>
      </c>
      <c r="V989" t="s">
        <v>44</v>
      </c>
      <c r="W989" t="str">
        <f>IF(HR_Data[[#This Row],[age]]&lt;25,"Under 25",IF(HR_Data[[#This Row],[age]]&lt;35,"25-34",IF(HR_Data[[#This Row],[age]]&lt;45,"35-44",IF(HR_Data[[#This Row],[age]]&lt;55,"45-54","55+"))))</f>
        <v>45-54</v>
      </c>
      <c r="X989" t="str">
        <f t="shared" si="15"/>
        <v>8,000+</v>
      </c>
    </row>
    <row r="990" spans="1:24" x14ac:dyDescent="0.3">
      <c r="A990">
        <v>1392</v>
      </c>
      <c r="B990">
        <v>41</v>
      </c>
      <c r="C990" t="s">
        <v>36</v>
      </c>
      <c r="D990" t="s">
        <v>37</v>
      </c>
      <c r="E990" t="s">
        <v>38</v>
      </c>
      <c r="F990">
        <v>22</v>
      </c>
      <c r="G990" t="s">
        <v>50</v>
      </c>
      <c r="H990" t="s">
        <v>26</v>
      </c>
      <c r="I990" t="s">
        <v>31</v>
      </c>
      <c r="J990" t="s">
        <v>28</v>
      </c>
      <c r="K990" t="s">
        <v>29</v>
      </c>
      <c r="L990" t="s">
        <v>41</v>
      </c>
      <c r="M990" t="s">
        <v>31</v>
      </c>
      <c r="N990" t="s">
        <v>51</v>
      </c>
      <c r="O990">
        <v>5467</v>
      </c>
      <c r="P990">
        <v>3</v>
      </c>
      <c r="Q990" t="s">
        <v>22</v>
      </c>
      <c r="R990">
        <v>14</v>
      </c>
      <c r="S990" t="s">
        <v>33</v>
      </c>
      <c r="T990" t="s">
        <v>34</v>
      </c>
      <c r="U990">
        <v>4</v>
      </c>
      <c r="V990" t="s">
        <v>49</v>
      </c>
      <c r="W990" t="str">
        <f>IF(HR_Data[[#This Row],[age]]&lt;25,"Under 25",IF(HR_Data[[#This Row],[age]]&lt;35,"25-34",IF(HR_Data[[#This Row],[age]]&lt;45,"35-44",IF(HR_Data[[#This Row],[age]]&lt;55,"45-54","55+"))))</f>
        <v>35-44</v>
      </c>
      <c r="X990" t="str">
        <f t="shared" si="15"/>
        <v>5,000-7,999</v>
      </c>
    </row>
    <row r="991" spans="1:24" x14ac:dyDescent="0.3">
      <c r="A991">
        <v>1394</v>
      </c>
      <c r="B991">
        <v>37</v>
      </c>
      <c r="C991" t="s">
        <v>36</v>
      </c>
      <c r="D991" t="s">
        <v>23</v>
      </c>
      <c r="E991" t="s">
        <v>38</v>
      </c>
      <c r="F991">
        <v>4</v>
      </c>
      <c r="G991" t="s">
        <v>39</v>
      </c>
      <c r="H991" t="s">
        <v>26</v>
      </c>
      <c r="I991" t="s">
        <v>29</v>
      </c>
      <c r="J991" t="s">
        <v>40</v>
      </c>
      <c r="K991" t="s">
        <v>29</v>
      </c>
      <c r="L991" t="s">
        <v>41</v>
      </c>
      <c r="M991" t="s">
        <v>29</v>
      </c>
      <c r="N991" t="s">
        <v>42</v>
      </c>
      <c r="O991">
        <v>2996</v>
      </c>
      <c r="P991">
        <v>7</v>
      </c>
      <c r="Q991" t="s">
        <v>22</v>
      </c>
      <c r="R991">
        <v>15</v>
      </c>
      <c r="S991" t="s">
        <v>33</v>
      </c>
      <c r="T991" t="s">
        <v>31</v>
      </c>
      <c r="U991">
        <v>2</v>
      </c>
      <c r="V991" t="s">
        <v>44</v>
      </c>
      <c r="W991" t="str">
        <f>IF(HR_Data[[#This Row],[age]]&lt;25,"Under 25",IF(HR_Data[[#This Row],[age]]&lt;35,"25-34",IF(HR_Data[[#This Row],[age]]&lt;45,"35-44",IF(HR_Data[[#This Row],[age]]&lt;55,"45-54","55+"))))</f>
        <v>35-44</v>
      </c>
      <c r="X991" t="str">
        <f t="shared" si="15"/>
        <v>Below 3,000</v>
      </c>
    </row>
    <row r="992" spans="1:24" x14ac:dyDescent="0.3">
      <c r="A992">
        <v>1395</v>
      </c>
      <c r="B992">
        <v>33</v>
      </c>
      <c r="C992" t="s">
        <v>36</v>
      </c>
      <c r="D992" t="s">
        <v>37</v>
      </c>
      <c r="E992" t="s">
        <v>24</v>
      </c>
      <c r="F992">
        <v>5</v>
      </c>
      <c r="G992" t="s">
        <v>39</v>
      </c>
      <c r="H992" t="s">
        <v>26</v>
      </c>
      <c r="I992" t="s">
        <v>27</v>
      </c>
      <c r="J992" t="s">
        <v>40</v>
      </c>
      <c r="K992" t="s">
        <v>29</v>
      </c>
      <c r="L992" t="s">
        <v>30</v>
      </c>
      <c r="M992" t="s">
        <v>31</v>
      </c>
      <c r="N992" t="s">
        <v>42</v>
      </c>
      <c r="O992">
        <v>9998</v>
      </c>
      <c r="P992">
        <v>6</v>
      </c>
      <c r="Q992" t="s">
        <v>36</v>
      </c>
      <c r="R992">
        <v>13</v>
      </c>
      <c r="S992" t="s">
        <v>33</v>
      </c>
      <c r="T992" t="s">
        <v>34</v>
      </c>
      <c r="U992">
        <v>2</v>
      </c>
      <c r="V992" t="s">
        <v>59</v>
      </c>
      <c r="W992" t="str">
        <f>IF(HR_Data[[#This Row],[age]]&lt;25,"Under 25",IF(HR_Data[[#This Row],[age]]&lt;35,"25-34",IF(HR_Data[[#This Row],[age]]&lt;45,"35-44",IF(HR_Data[[#This Row],[age]]&lt;55,"45-54","55+"))))</f>
        <v>25-34</v>
      </c>
      <c r="X992" t="str">
        <f t="shared" si="15"/>
        <v>8,000+</v>
      </c>
    </row>
    <row r="993" spans="1:24" x14ac:dyDescent="0.3">
      <c r="A993">
        <v>1396</v>
      </c>
      <c r="B993">
        <v>32</v>
      </c>
      <c r="C993" t="s">
        <v>36</v>
      </c>
      <c r="D993" t="s">
        <v>23</v>
      </c>
      <c r="E993" t="s">
        <v>24</v>
      </c>
      <c r="F993">
        <v>2</v>
      </c>
      <c r="G993" t="s">
        <v>39</v>
      </c>
      <c r="H993" t="s">
        <v>58</v>
      </c>
      <c r="I993" t="s">
        <v>29</v>
      </c>
      <c r="J993" t="s">
        <v>40</v>
      </c>
      <c r="K993" t="s">
        <v>29</v>
      </c>
      <c r="L993" t="s">
        <v>30</v>
      </c>
      <c r="M993" t="s">
        <v>27</v>
      </c>
      <c r="N993" t="s">
        <v>42</v>
      </c>
      <c r="O993">
        <v>4078</v>
      </c>
      <c r="P993">
        <v>0</v>
      </c>
      <c r="Q993" t="s">
        <v>22</v>
      </c>
      <c r="R993">
        <v>13</v>
      </c>
      <c r="S993" t="s">
        <v>33</v>
      </c>
      <c r="T993" t="s">
        <v>34</v>
      </c>
      <c r="U993">
        <v>3</v>
      </c>
      <c r="V993" t="s">
        <v>49</v>
      </c>
      <c r="W993" t="str">
        <f>IF(HR_Data[[#This Row],[age]]&lt;25,"Under 25",IF(HR_Data[[#This Row],[age]]&lt;35,"25-34",IF(HR_Data[[#This Row],[age]]&lt;45,"35-44",IF(HR_Data[[#This Row],[age]]&lt;55,"45-54","55+"))))</f>
        <v>25-34</v>
      </c>
      <c r="X993" t="str">
        <f t="shared" si="15"/>
        <v>3,000-4,999</v>
      </c>
    </row>
    <row r="994" spans="1:24" x14ac:dyDescent="0.3">
      <c r="A994">
        <v>1397</v>
      </c>
      <c r="B994">
        <v>39</v>
      </c>
      <c r="C994" t="s">
        <v>36</v>
      </c>
      <c r="D994" t="s">
        <v>54</v>
      </c>
      <c r="E994" t="s">
        <v>38</v>
      </c>
      <c r="F994">
        <v>25</v>
      </c>
      <c r="G994" t="s">
        <v>25</v>
      </c>
      <c r="H994" t="s">
        <v>26</v>
      </c>
      <c r="I994" t="s">
        <v>29</v>
      </c>
      <c r="J994" t="s">
        <v>40</v>
      </c>
      <c r="K994" t="s">
        <v>29</v>
      </c>
      <c r="L994" t="s">
        <v>53</v>
      </c>
      <c r="M994" t="s">
        <v>29</v>
      </c>
      <c r="N994" t="s">
        <v>42</v>
      </c>
      <c r="O994">
        <v>10920</v>
      </c>
      <c r="P994">
        <v>3</v>
      </c>
      <c r="Q994" t="s">
        <v>36</v>
      </c>
      <c r="R994">
        <v>21</v>
      </c>
      <c r="S994" t="s">
        <v>43</v>
      </c>
      <c r="T994" t="s">
        <v>27</v>
      </c>
      <c r="U994">
        <v>2</v>
      </c>
      <c r="V994" t="s">
        <v>44</v>
      </c>
      <c r="W994" t="str">
        <f>IF(HR_Data[[#This Row],[age]]&lt;25,"Under 25",IF(HR_Data[[#This Row],[age]]&lt;35,"25-34",IF(HR_Data[[#This Row],[age]]&lt;45,"35-44",IF(HR_Data[[#This Row],[age]]&lt;55,"45-54","55+"))))</f>
        <v>35-44</v>
      </c>
      <c r="X994" t="str">
        <f t="shared" si="15"/>
        <v>8,000+</v>
      </c>
    </row>
    <row r="995" spans="1:24" x14ac:dyDescent="0.3">
      <c r="A995">
        <v>1399</v>
      </c>
      <c r="B995">
        <v>25</v>
      </c>
      <c r="C995" t="s">
        <v>36</v>
      </c>
      <c r="D995" t="s">
        <v>23</v>
      </c>
      <c r="E995" t="s">
        <v>24</v>
      </c>
      <c r="F995">
        <v>18</v>
      </c>
      <c r="G995" t="s">
        <v>39</v>
      </c>
      <c r="H995" t="s">
        <v>26</v>
      </c>
      <c r="I995" t="s">
        <v>34</v>
      </c>
      <c r="J995" t="s">
        <v>40</v>
      </c>
      <c r="K995" t="s">
        <v>31</v>
      </c>
      <c r="L995" t="s">
        <v>30</v>
      </c>
      <c r="M995" t="s">
        <v>29</v>
      </c>
      <c r="N995" t="s">
        <v>42</v>
      </c>
      <c r="O995">
        <v>6232</v>
      </c>
      <c r="P995">
        <v>2</v>
      </c>
      <c r="Q995" t="s">
        <v>36</v>
      </c>
      <c r="R995">
        <v>11</v>
      </c>
      <c r="S995" t="s">
        <v>33</v>
      </c>
      <c r="T995" t="s">
        <v>27</v>
      </c>
      <c r="U995">
        <v>3</v>
      </c>
      <c r="V995" t="s">
        <v>49</v>
      </c>
      <c r="W995" t="str">
        <f>IF(HR_Data[[#This Row],[age]]&lt;25,"Under 25",IF(HR_Data[[#This Row],[age]]&lt;35,"25-34",IF(HR_Data[[#This Row],[age]]&lt;45,"35-44",IF(HR_Data[[#This Row],[age]]&lt;55,"45-54","55+"))))</f>
        <v>25-34</v>
      </c>
      <c r="X995" t="str">
        <f t="shared" si="15"/>
        <v>5,000-7,999</v>
      </c>
    </row>
    <row r="996" spans="1:24" x14ac:dyDescent="0.3">
      <c r="A996">
        <v>1401</v>
      </c>
      <c r="B996">
        <v>52</v>
      </c>
      <c r="C996" t="s">
        <v>36</v>
      </c>
      <c r="D996" t="s">
        <v>37</v>
      </c>
      <c r="E996" t="s">
        <v>38</v>
      </c>
      <c r="F996">
        <v>28</v>
      </c>
      <c r="G996" t="s">
        <v>25</v>
      </c>
      <c r="H996" t="s">
        <v>48</v>
      </c>
      <c r="I996" t="s">
        <v>31</v>
      </c>
      <c r="J996" t="s">
        <v>28</v>
      </c>
      <c r="K996" t="s">
        <v>31</v>
      </c>
      <c r="L996" t="s">
        <v>52</v>
      </c>
      <c r="M996" t="s">
        <v>29</v>
      </c>
      <c r="N996" t="s">
        <v>42</v>
      </c>
      <c r="O996">
        <v>13247</v>
      </c>
      <c r="P996">
        <v>2</v>
      </c>
      <c r="Q996" t="s">
        <v>22</v>
      </c>
      <c r="R996">
        <v>11</v>
      </c>
      <c r="S996" t="s">
        <v>33</v>
      </c>
      <c r="T996" t="s">
        <v>27</v>
      </c>
      <c r="U996">
        <v>3</v>
      </c>
      <c r="V996" t="s">
        <v>49</v>
      </c>
      <c r="W996" t="str">
        <f>IF(HR_Data[[#This Row],[age]]&lt;25,"Under 25",IF(HR_Data[[#This Row],[age]]&lt;35,"25-34",IF(HR_Data[[#This Row],[age]]&lt;45,"35-44",IF(HR_Data[[#This Row],[age]]&lt;55,"45-54","55+"))))</f>
        <v>45-54</v>
      </c>
      <c r="X996" t="str">
        <f t="shared" si="15"/>
        <v>8,000+</v>
      </c>
    </row>
    <row r="997" spans="1:24" x14ac:dyDescent="0.3">
      <c r="A997">
        <v>1402</v>
      </c>
      <c r="B997">
        <v>43</v>
      </c>
      <c r="C997" t="s">
        <v>36</v>
      </c>
      <c r="D997" t="s">
        <v>23</v>
      </c>
      <c r="E997" t="s">
        <v>38</v>
      </c>
      <c r="F997">
        <v>6</v>
      </c>
      <c r="G997" t="s">
        <v>50</v>
      </c>
      <c r="H997" t="s">
        <v>48</v>
      </c>
      <c r="I997" t="s">
        <v>34</v>
      </c>
      <c r="J997" t="s">
        <v>28</v>
      </c>
      <c r="K997" t="s">
        <v>27</v>
      </c>
      <c r="L997" t="s">
        <v>41</v>
      </c>
      <c r="M997" t="s">
        <v>29</v>
      </c>
      <c r="N997" t="s">
        <v>32</v>
      </c>
      <c r="O997">
        <v>4081</v>
      </c>
      <c r="P997">
        <v>1</v>
      </c>
      <c r="Q997" t="s">
        <v>22</v>
      </c>
      <c r="R997">
        <v>14</v>
      </c>
      <c r="S997" t="s">
        <v>33</v>
      </c>
      <c r="T997" t="s">
        <v>34</v>
      </c>
      <c r="U997">
        <v>3</v>
      </c>
      <c r="V997" t="s">
        <v>35</v>
      </c>
      <c r="W997" t="str">
        <f>IF(HR_Data[[#This Row],[age]]&lt;25,"Under 25",IF(HR_Data[[#This Row],[age]]&lt;35,"25-34",IF(HR_Data[[#This Row],[age]]&lt;45,"35-44",IF(HR_Data[[#This Row],[age]]&lt;55,"45-54","55+"))))</f>
        <v>35-44</v>
      </c>
      <c r="X997" t="str">
        <f t="shared" si="15"/>
        <v>3,000-4,999</v>
      </c>
    </row>
    <row r="998" spans="1:24" x14ac:dyDescent="0.3">
      <c r="A998">
        <v>1403</v>
      </c>
      <c r="B998">
        <v>27</v>
      </c>
      <c r="C998" t="s">
        <v>36</v>
      </c>
      <c r="D998" t="s">
        <v>23</v>
      </c>
      <c r="E998" t="s">
        <v>24</v>
      </c>
      <c r="F998">
        <v>10</v>
      </c>
      <c r="G998" t="s">
        <v>50</v>
      </c>
      <c r="H998" t="s">
        <v>58</v>
      </c>
      <c r="I998" t="s">
        <v>31</v>
      </c>
      <c r="J998" t="s">
        <v>28</v>
      </c>
      <c r="K998" t="s">
        <v>27</v>
      </c>
      <c r="L998" t="s">
        <v>30</v>
      </c>
      <c r="M998" t="s">
        <v>31</v>
      </c>
      <c r="N998" t="s">
        <v>42</v>
      </c>
      <c r="O998">
        <v>5769</v>
      </c>
      <c r="P998">
        <v>1</v>
      </c>
      <c r="Q998" t="s">
        <v>22</v>
      </c>
      <c r="R998">
        <v>11</v>
      </c>
      <c r="S998" t="s">
        <v>33</v>
      </c>
      <c r="T998" t="s">
        <v>31</v>
      </c>
      <c r="U998">
        <v>3</v>
      </c>
      <c r="V998" t="s">
        <v>44</v>
      </c>
      <c r="W998" t="str">
        <f>IF(HR_Data[[#This Row],[age]]&lt;25,"Under 25",IF(HR_Data[[#This Row],[age]]&lt;35,"25-34",IF(HR_Data[[#This Row],[age]]&lt;45,"35-44",IF(HR_Data[[#This Row],[age]]&lt;55,"45-54","55+"))))</f>
        <v>25-34</v>
      </c>
      <c r="X998" t="str">
        <f t="shared" si="15"/>
        <v>5,000-7,999</v>
      </c>
    </row>
    <row r="999" spans="1:24" x14ac:dyDescent="0.3">
      <c r="A999">
        <v>1405</v>
      </c>
      <c r="B999">
        <v>27</v>
      </c>
      <c r="C999" t="s">
        <v>22</v>
      </c>
      <c r="D999" t="s">
        <v>23</v>
      </c>
      <c r="E999" t="s">
        <v>38</v>
      </c>
      <c r="F999">
        <v>17</v>
      </c>
      <c r="G999" t="s">
        <v>47</v>
      </c>
      <c r="H999" t="s">
        <v>26</v>
      </c>
      <c r="I999" t="s">
        <v>31</v>
      </c>
      <c r="J999" t="s">
        <v>28</v>
      </c>
      <c r="K999" t="s">
        <v>29</v>
      </c>
      <c r="L999" t="s">
        <v>41</v>
      </c>
      <c r="M999" t="s">
        <v>29</v>
      </c>
      <c r="N999" t="s">
        <v>32</v>
      </c>
      <c r="O999">
        <v>2394</v>
      </c>
      <c r="P999">
        <v>1</v>
      </c>
      <c r="Q999" t="s">
        <v>22</v>
      </c>
      <c r="R999">
        <v>13</v>
      </c>
      <c r="S999" t="s">
        <v>33</v>
      </c>
      <c r="T999" t="s">
        <v>31</v>
      </c>
      <c r="U999">
        <v>2</v>
      </c>
      <c r="V999" t="s">
        <v>44</v>
      </c>
      <c r="W999" t="str">
        <f>IF(HR_Data[[#This Row],[age]]&lt;25,"Under 25",IF(HR_Data[[#This Row],[age]]&lt;35,"25-34",IF(HR_Data[[#This Row],[age]]&lt;45,"35-44",IF(HR_Data[[#This Row],[age]]&lt;55,"45-54","55+"))))</f>
        <v>25-34</v>
      </c>
      <c r="X999" t="str">
        <f t="shared" si="15"/>
        <v>Below 3,000</v>
      </c>
    </row>
    <row r="1000" spans="1:24" x14ac:dyDescent="0.3">
      <c r="A1000">
        <v>1407</v>
      </c>
      <c r="B1000">
        <v>26</v>
      </c>
      <c r="C1000" t="s">
        <v>36</v>
      </c>
      <c r="D1000" t="s">
        <v>23</v>
      </c>
      <c r="E1000" t="s">
        <v>38</v>
      </c>
      <c r="F1000">
        <v>2</v>
      </c>
      <c r="G1000" t="s">
        <v>39</v>
      </c>
      <c r="H1000" t="s">
        <v>48</v>
      </c>
      <c r="I1000" t="s">
        <v>34</v>
      </c>
      <c r="J1000" t="s">
        <v>40</v>
      </c>
      <c r="K1000" t="s">
        <v>27</v>
      </c>
      <c r="L1000" t="s">
        <v>41</v>
      </c>
      <c r="M1000" t="s">
        <v>31</v>
      </c>
      <c r="N1000" t="s">
        <v>32</v>
      </c>
      <c r="O1000">
        <v>3904</v>
      </c>
      <c r="P1000">
        <v>0</v>
      </c>
      <c r="Q1000" t="s">
        <v>36</v>
      </c>
      <c r="R1000">
        <v>12</v>
      </c>
      <c r="S1000" t="s">
        <v>33</v>
      </c>
      <c r="T1000" t="s">
        <v>31</v>
      </c>
      <c r="U1000">
        <v>2</v>
      </c>
      <c r="V1000" t="s">
        <v>44</v>
      </c>
      <c r="W1000" t="str">
        <f>IF(HR_Data[[#This Row],[age]]&lt;25,"Under 25",IF(HR_Data[[#This Row],[age]]&lt;35,"25-34",IF(HR_Data[[#This Row],[age]]&lt;45,"35-44",IF(HR_Data[[#This Row],[age]]&lt;55,"45-54","55+"))))</f>
        <v>25-34</v>
      </c>
      <c r="X1000" t="str">
        <f t="shared" si="15"/>
        <v>3,000-4,999</v>
      </c>
    </row>
    <row r="1001" spans="1:24" x14ac:dyDescent="0.3">
      <c r="A1001">
        <v>1408</v>
      </c>
      <c r="B1001">
        <v>42</v>
      </c>
      <c r="C1001" t="s">
        <v>36</v>
      </c>
      <c r="D1001" t="s">
        <v>23</v>
      </c>
      <c r="E1001" t="s">
        <v>62</v>
      </c>
      <c r="F1001">
        <v>10</v>
      </c>
      <c r="G1001" t="s">
        <v>50</v>
      </c>
      <c r="H1001" t="s">
        <v>62</v>
      </c>
      <c r="I1001" t="s">
        <v>29</v>
      </c>
      <c r="J1001" t="s">
        <v>28</v>
      </c>
      <c r="K1001" t="s">
        <v>29</v>
      </c>
      <c r="L1001" t="s">
        <v>55</v>
      </c>
      <c r="M1001" t="s">
        <v>34</v>
      </c>
      <c r="N1001" t="s">
        <v>42</v>
      </c>
      <c r="O1001">
        <v>16799</v>
      </c>
      <c r="P1001">
        <v>0</v>
      </c>
      <c r="Q1001" t="s">
        <v>36</v>
      </c>
      <c r="R1001">
        <v>14</v>
      </c>
      <c r="S1001" t="s">
        <v>33</v>
      </c>
      <c r="T1001" t="s">
        <v>29</v>
      </c>
      <c r="U1001">
        <v>5</v>
      </c>
      <c r="V1001" t="s">
        <v>44</v>
      </c>
      <c r="W1001" t="str">
        <f>IF(HR_Data[[#This Row],[age]]&lt;25,"Under 25",IF(HR_Data[[#This Row],[age]]&lt;35,"25-34",IF(HR_Data[[#This Row],[age]]&lt;45,"35-44",IF(HR_Data[[#This Row],[age]]&lt;55,"45-54","55+"))))</f>
        <v>35-44</v>
      </c>
      <c r="X1001" t="str">
        <f t="shared" si="15"/>
        <v>8,000+</v>
      </c>
    </row>
    <row r="1002" spans="1:24" x14ac:dyDescent="0.3">
      <c r="A1002">
        <v>1409</v>
      </c>
      <c r="B1002">
        <v>52</v>
      </c>
      <c r="C1002" t="s">
        <v>36</v>
      </c>
      <c r="D1002" t="s">
        <v>23</v>
      </c>
      <c r="E1002" t="s">
        <v>38</v>
      </c>
      <c r="F1002">
        <v>8</v>
      </c>
      <c r="G1002" t="s">
        <v>47</v>
      </c>
      <c r="H1002" t="s">
        <v>45</v>
      </c>
      <c r="I1002" t="s">
        <v>29</v>
      </c>
      <c r="J1002" t="s">
        <v>28</v>
      </c>
      <c r="K1002" t="s">
        <v>29</v>
      </c>
      <c r="L1002" t="s">
        <v>46</v>
      </c>
      <c r="M1002" t="s">
        <v>34</v>
      </c>
      <c r="N1002" t="s">
        <v>42</v>
      </c>
      <c r="O1002">
        <v>2950</v>
      </c>
      <c r="P1002">
        <v>9</v>
      </c>
      <c r="Q1002" t="s">
        <v>36</v>
      </c>
      <c r="R1002">
        <v>13</v>
      </c>
      <c r="S1002" t="s">
        <v>33</v>
      </c>
      <c r="T1002" t="s">
        <v>29</v>
      </c>
      <c r="U1002">
        <v>2</v>
      </c>
      <c r="V1002" t="s">
        <v>35</v>
      </c>
      <c r="W1002" t="str">
        <f>IF(HR_Data[[#This Row],[age]]&lt;25,"Under 25",IF(HR_Data[[#This Row],[age]]&lt;35,"25-34",IF(HR_Data[[#This Row],[age]]&lt;45,"35-44",IF(HR_Data[[#This Row],[age]]&lt;55,"45-54","55+"))))</f>
        <v>45-54</v>
      </c>
      <c r="X1002" t="str">
        <f t="shared" si="15"/>
        <v>Below 3,000</v>
      </c>
    </row>
    <row r="1003" spans="1:24" x14ac:dyDescent="0.3">
      <c r="A1003">
        <v>1411</v>
      </c>
      <c r="B1003">
        <v>37</v>
      </c>
      <c r="C1003" t="s">
        <v>36</v>
      </c>
      <c r="D1003" t="s">
        <v>23</v>
      </c>
      <c r="E1003" t="s">
        <v>38</v>
      </c>
      <c r="F1003">
        <v>11</v>
      </c>
      <c r="G1003" t="s">
        <v>50</v>
      </c>
      <c r="H1003" t="s">
        <v>48</v>
      </c>
      <c r="I1003" t="s">
        <v>34</v>
      </c>
      <c r="J1003" t="s">
        <v>28</v>
      </c>
      <c r="K1003" t="s">
        <v>29</v>
      </c>
      <c r="L1003" t="s">
        <v>46</v>
      </c>
      <c r="M1003" t="s">
        <v>29</v>
      </c>
      <c r="N1003" t="s">
        <v>32</v>
      </c>
      <c r="O1003">
        <v>3629</v>
      </c>
      <c r="P1003">
        <v>4</v>
      </c>
      <c r="Q1003" t="s">
        <v>36</v>
      </c>
      <c r="R1003">
        <v>18</v>
      </c>
      <c r="S1003" t="s">
        <v>33</v>
      </c>
      <c r="T1003" t="s">
        <v>34</v>
      </c>
      <c r="U1003">
        <v>6</v>
      </c>
      <c r="V1003" t="s">
        <v>44</v>
      </c>
      <c r="W1003" t="str">
        <f>IF(HR_Data[[#This Row],[age]]&lt;25,"Under 25",IF(HR_Data[[#This Row],[age]]&lt;35,"25-34",IF(HR_Data[[#This Row],[age]]&lt;45,"35-44",IF(HR_Data[[#This Row],[age]]&lt;55,"45-54","55+"))))</f>
        <v>35-44</v>
      </c>
      <c r="X1003" t="str">
        <f t="shared" si="15"/>
        <v>3,000-4,999</v>
      </c>
    </row>
    <row r="1004" spans="1:24" x14ac:dyDescent="0.3">
      <c r="A1004">
        <v>1412</v>
      </c>
      <c r="B1004">
        <v>35</v>
      </c>
      <c r="C1004" t="s">
        <v>36</v>
      </c>
      <c r="D1004" t="s">
        <v>37</v>
      </c>
      <c r="E1004" t="s">
        <v>38</v>
      </c>
      <c r="F1004">
        <v>18</v>
      </c>
      <c r="G1004" t="s">
        <v>25</v>
      </c>
      <c r="H1004" t="s">
        <v>26</v>
      </c>
      <c r="I1004" t="s">
        <v>29</v>
      </c>
      <c r="J1004" t="s">
        <v>40</v>
      </c>
      <c r="K1004" t="s">
        <v>29</v>
      </c>
      <c r="L1004" t="s">
        <v>52</v>
      </c>
      <c r="M1004" t="s">
        <v>31</v>
      </c>
      <c r="N1004" t="s">
        <v>32</v>
      </c>
      <c r="O1004">
        <v>9362</v>
      </c>
      <c r="P1004">
        <v>2</v>
      </c>
      <c r="Q1004" t="s">
        <v>36</v>
      </c>
      <c r="R1004">
        <v>11</v>
      </c>
      <c r="S1004" t="s">
        <v>33</v>
      </c>
      <c r="T1004" t="s">
        <v>29</v>
      </c>
      <c r="U1004">
        <v>2</v>
      </c>
      <c r="V1004" t="s">
        <v>44</v>
      </c>
      <c r="W1004" t="str">
        <f>IF(HR_Data[[#This Row],[age]]&lt;25,"Under 25",IF(HR_Data[[#This Row],[age]]&lt;35,"25-34",IF(HR_Data[[#This Row],[age]]&lt;45,"35-44",IF(HR_Data[[#This Row],[age]]&lt;55,"45-54","55+"))))</f>
        <v>35-44</v>
      </c>
      <c r="X1004" t="str">
        <f t="shared" si="15"/>
        <v>8,000+</v>
      </c>
    </row>
    <row r="1005" spans="1:24" x14ac:dyDescent="0.3">
      <c r="A1005">
        <v>1415</v>
      </c>
      <c r="B1005">
        <v>25</v>
      </c>
      <c r="C1005" t="s">
        <v>36</v>
      </c>
      <c r="D1005" t="s">
        <v>23</v>
      </c>
      <c r="E1005" t="s">
        <v>38</v>
      </c>
      <c r="F1005">
        <v>1</v>
      </c>
      <c r="G1005" t="s">
        <v>50</v>
      </c>
      <c r="H1005" t="s">
        <v>60</v>
      </c>
      <c r="I1005" t="s">
        <v>34</v>
      </c>
      <c r="J1005" t="s">
        <v>40</v>
      </c>
      <c r="K1005" t="s">
        <v>29</v>
      </c>
      <c r="L1005" t="s">
        <v>46</v>
      </c>
      <c r="M1005" t="s">
        <v>31</v>
      </c>
      <c r="N1005" t="s">
        <v>42</v>
      </c>
      <c r="O1005">
        <v>3229</v>
      </c>
      <c r="P1005">
        <v>4</v>
      </c>
      <c r="Q1005" t="s">
        <v>36</v>
      </c>
      <c r="R1005">
        <v>11</v>
      </c>
      <c r="S1005" t="s">
        <v>33</v>
      </c>
      <c r="T1005" t="s">
        <v>27</v>
      </c>
      <c r="U1005">
        <v>2</v>
      </c>
      <c r="V1005" t="s">
        <v>49</v>
      </c>
      <c r="W1005" t="str">
        <f>IF(HR_Data[[#This Row],[age]]&lt;25,"Under 25",IF(HR_Data[[#This Row],[age]]&lt;35,"25-34",IF(HR_Data[[#This Row],[age]]&lt;45,"35-44",IF(HR_Data[[#This Row],[age]]&lt;55,"45-54","55+"))))</f>
        <v>25-34</v>
      </c>
      <c r="X1005" t="str">
        <f t="shared" si="15"/>
        <v>3,000-4,999</v>
      </c>
    </row>
    <row r="1006" spans="1:24" x14ac:dyDescent="0.3">
      <c r="A1006">
        <v>1417</v>
      </c>
      <c r="B1006">
        <v>26</v>
      </c>
      <c r="C1006" t="s">
        <v>36</v>
      </c>
      <c r="D1006" t="s">
        <v>23</v>
      </c>
      <c r="E1006" t="s">
        <v>38</v>
      </c>
      <c r="F1006">
        <v>7</v>
      </c>
      <c r="G1006" t="s">
        <v>50</v>
      </c>
      <c r="H1006" t="s">
        <v>45</v>
      </c>
      <c r="I1006" t="s">
        <v>29</v>
      </c>
      <c r="J1006" t="s">
        <v>40</v>
      </c>
      <c r="K1006" t="s">
        <v>31</v>
      </c>
      <c r="L1006" t="s">
        <v>46</v>
      </c>
      <c r="M1006" t="s">
        <v>34</v>
      </c>
      <c r="N1006" t="s">
        <v>32</v>
      </c>
      <c r="O1006">
        <v>3578</v>
      </c>
      <c r="P1006">
        <v>0</v>
      </c>
      <c r="Q1006" t="s">
        <v>36</v>
      </c>
      <c r="R1006">
        <v>12</v>
      </c>
      <c r="S1006" t="s">
        <v>33</v>
      </c>
      <c r="T1006" t="s">
        <v>31</v>
      </c>
      <c r="U1006">
        <v>2</v>
      </c>
      <c r="V1006" t="s">
        <v>44</v>
      </c>
      <c r="W1006" t="str">
        <f>IF(HR_Data[[#This Row],[age]]&lt;25,"Under 25",IF(HR_Data[[#This Row],[age]]&lt;35,"25-34",IF(HR_Data[[#This Row],[age]]&lt;45,"35-44",IF(HR_Data[[#This Row],[age]]&lt;55,"45-54","55+"))))</f>
        <v>25-34</v>
      </c>
      <c r="X1006" t="str">
        <f t="shared" si="15"/>
        <v>3,000-4,999</v>
      </c>
    </row>
    <row r="1007" spans="1:24" x14ac:dyDescent="0.3">
      <c r="A1007">
        <v>1419</v>
      </c>
      <c r="B1007">
        <v>29</v>
      </c>
      <c r="C1007" t="s">
        <v>36</v>
      </c>
      <c r="D1007" t="s">
        <v>23</v>
      </c>
      <c r="E1007" t="s">
        <v>62</v>
      </c>
      <c r="F1007">
        <v>17</v>
      </c>
      <c r="G1007" t="s">
        <v>50</v>
      </c>
      <c r="H1007" t="s">
        <v>45</v>
      </c>
      <c r="I1007" t="s">
        <v>27</v>
      </c>
      <c r="J1007" t="s">
        <v>40</v>
      </c>
      <c r="K1007" t="s">
        <v>27</v>
      </c>
      <c r="L1007" t="s">
        <v>62</v>
      </c>
      <c r="M1007" t="s">
        <v>34</v>
      </c>
      <c r="N1007" t="s">
        <v>32</v>
      </c>
      <c r="O1007">
        <v>7988</v>
      </c>
      <c r="P1007">
        <v>1</v>
      </c>
      <c r="Q1007" t="s">
        <v>36</v>
      </c>
      <c r="R1007">
        <v>13</v>
      </c>
      <c r="S1007" t="s">
        <v>33</v>
      </c>
      <c r="T1007" t="s">
        <v>34</v>
      </c>
      <c r="U1007">
        <v>3</v>
      </c>
      <c r="V1007" t="s">
        <v>49</v>
      </c>
      <c r="W1007" t="str">
        <f>IF(HR_Data[[#This Row],[age]]&lt;25,"Under 25",IF(HR_Data[[#This Row],[age]]&lt;35,"25-34",IF(HR_Data[[#This Row],[age]]&lt;45,"35-44",IF(HR_Data[[#This Row],[age]]&lt;55,"45-54","55+"))))</f>
        <v>25-34</v>
      </c>
      <c r="X1007" t="str">
        <f t="shared" si="15"/>
        <v>5,000-7,999</v>
      </c>
    </row>
    <row r="1008" spans="1:24" x14ac:dyDescent="0.3">
      <c r="A1008">
        <v>1420</v>
      </c>
      <c r="B1008">
        <v>49</v>
      </c>
      <c r="C1008" t="s">
        <v>22</v>
      </c>
      <c r="D1008" t="s">
        <v>37</v>
      </c>
      <c r="E1008" t="s">
        <v>38</v>
      </c>
      <c r="F1008">
        <v>28</v>
      </c>
      <c r="G1008" t="s">
        <v>25</v>
      </c>
      <c r="H1008" t="s">
        <v>26</v>
      </c>
      <c r="I1008" t="s">
        <v>34</v>
      </c>
      <c r="J1008" t="s">
        <v>40</v>
      </c>
      <c r="K1008" t="s">
        <v>27</v>
      </c>
      <c r="L1008" t="s">
        <v>46</v>
      </c>
      <c r="M1008" t="s">
        <v>34</v>
      </c>
      <c r="N1008" t="s">
        <v>32</v>
      </c>
      <c r="O1008">
        <v>4284</v>
      </c>
      <c r="P1008">
        <v>3</v>
      </c>
      <c r="Q1008" t="s">
        <v>36</v>
      </c>
      <c r="R1008">
        <v>20</v>
      </c>
      <c r="S1008" t="s">
        <v>43</v>
      </c>
      <c r="T1008" t="s">
        <v>34</v>
      </c>
      <c r="U1008">
        <v>2</v>
      </c>
      <c r="V1008" t="s">
        <v>44</v>
      </c>
      <c r="W1008" t="str">
        <f>IF(HR_Data[[#This Row],[age]]&lt;25,"Under 25",IF(HR_Data[[#This Row],[age]]&lt;35,"25-34",IF(HR_Data[[#This Row],[age]]&lt;45,"35-44",IF(HR_Data[[#This Row],[age]]&lt;55,"45-54","55+"))))</f>
        <v>45-54</v>
      </c>
      <c r="X1008" t="str">
        <f t="shared" si="15"/>
        <v>3,000-4,999</v>
      </c>
    </row>
    <row r="1009" spans="1:24" x14ac:dyDescent="0.3">
      <c r="A1009">
        <v>1421</v>
      </c>
      <c r="B1009">
        <v>29</v>
      </c>
      <c r="C1009" t="s">
        <v>22</v>
      </c>
      <c r="D1009" t="s">
        <v>37</v>
      </c>
      <c r="E1009" t="s">
        <v>38</v>
      </c>
      <c r="F1009">
        <v>14</v>
      </c>
      <c r="G1009" t="s">
        <v>39</v>
      </c>
      <c r="H1009" t="s">
        <v>45</v>
      </c>
      <c r="I1009" t="s">
        <v>29</v>
      </c>
      <c r="J1009" t="s">
        <v>28</v>
      </c>
      <c r="K1009" t="s">
        <v>29</v>
      </c>
      <c r="L1009" t="s">
        <v>53</v>
      </c>
      <c r="M1009" t="s">
        <v>31</v>
      </c>
      <c r="N1009" t="s">
        <v>32</v>
      </c>
      <c r="O1009">
        <v>7553</v>
      </c>
      <c r="P1009">
        <v>0</v>
      </c>
      <c r="Q1009" t="s">
        <v>22</v>
      </c>
      <c r="R1009">
        <v>12</v>
      </c>
      <c r="S1009" t="s">
        <v>33</v>
      </c>
      <c r="T1009" t="s">
        <v>34</v>
      </c>
      <c r="U1009">
        <v>1</v>
      </c>
      <c r="V1009" t="s">
        <v>44</v>
      </c>
      <c r="W1009" t="str">
        <f>IF(HR_Data[[#This Row],[age]]&lt;25,"Under 25",IF(HR_Data[[#This Row],[age]]&lt;35,"25-34",IF(HR_Data[[#This Row],[age]]&lt;45,"35-44",IF(HR_Data[[#This Row],[age]]&lt;55,"45-54","55+"))))</f>
        <v>25-34</v>
      </c>
      <c r="X1009" t="str">
        <f t="shared" si="15"/>
        <v>5,000-7,999</v>
      </c>
    </row>
    <row r="1010" spans="1:24" x14ac:dyDescent="0.3">
      <c r="A1010">
        <v>1422</v>
      </c>
      <c r="B1010">
        <v>54</v>
      </c>
      <c r="C1010" t="s">
        <v>36</v>
      </c>
      <c r="D1010" t="s">
        <v>23</v>
      </c>
      <c r="E1010" t="s">
        <v>38</v>
      </c>
      <c r="F1010">
        <v>1</v>
      </c>
      <c r="G1010" t="s">
        <v>50</v>
      </c>
      <c r="H1010" t="s">
        <v>48</v>
      </c>
      <c r="I1010" t="s">
        <v>31</v>
      </c>
      <c r="J1010" t="s">
        <v>28</v>
      </c>
      <c r="K1010" t="s">
        <v>29</v>
      </c>
      <c r="L1010" t="s">
        <v>57</v>
      </c>
      <c r="M1010" t="s">
        <v>31</v>
      </c>
      <c r="N1010" t="s">
        <v>32</v>
      </c>
      <c r="O1010">
        <v>17328</v>
      </c>
      <c r="P1010">
        <v>6</v>
      </c>
      <c r="Q1010" t="s">
        <v>36</v>
      </c>
      <c r="R1010">
        <v>19</v>
      </c>
      <c r="S1010" t="s">
        <v>33</v>
      </c>
      <c r="T1010" t="s">
        <v>31</v>
      </c>
      <c r="U1010">
        <v>3</v>
      </c>
      <c r="V1010" t="s">
        <v>49</v>
      </c>
      <c r="W1010" t="str">
        <f>IF(HR_Data[[#This Row],[age]]&lt;25,"Under 25",IF(HR_Data[[#This Row],[age]]&lt;35,"25-34",IF(HR_Data[[#This Row],[age]]&lt;45,"35-44",IF(HR_Data[[#This Row],[age]]&lt;55,"45-54","55+"))))</f>
        <v>45-54</v>
      </c>
      <c r="X1010" t="str">
        <f t="shared" si="15"/>
        <v>8,000+</v>
      </c>
    </row>
    <row r="1011" spans="1:24" x14ac:dyDescent="0.3">
      <c r="A1011">
        <v>1423</v>
      </c>
      <c r="B1011">
        <v>58</v>
      </c>
      <c r="C1011" t="s">
        <v>36</v>
      </c>
      <c r="D1011" t="s">
        <v>23</v>
      </c>
      <c r="E1011" t="s">
        <v>38</v>
      </c>
      <c r="F1011">
        <v>1</v>
      </c>
      <c r="G1011" t="s">
        <v>50</v>
      </c>
      <c r="H1011" t="s">
        <v>48</v>
      </c>
      <c r="I1011" t="s">
        <v>31</v>
      </c>
      <c r="J1011" t="s">
        <v>28</v>
      </c>
      <c r="K1011" t="s">
        <v>29</v>
      </c>
      <c r="L1011" t="s">
        <v>57</v>
      </c>
      <c r="M1011" t="s">
        <v>34</v>
      </c>
      <c r="N1011" t="s">
        <v>42</v>
      </c>
      <c r="O1011">
        <v>19701</v>
      </c>
      <c r="P1011">
        <v>3</v>
      </c>
      <c r="Q1011" t="s">
        <v>22</v>
      </c>
      <c r="R1011">
        <v>21</v>
      </c>
      <c r="S1011" t="s">
        <v>43</v>
      </c>
      <c r="T1011" t="s">
        <v>29</v>
      </c>
      <c r="U1011">
        <v>3</v>
      </c>
      <c r="V1011" t="s">
        <v>44</v>
      </c>
      <c r="W1011" t="str">
        <f>IF(HR_Data[[#This Row],[age]]&lt;25,"Under 25",IF(HR_Data[[#This Row],[age]]&lt;35,"25-34",IF(HR_Data[[#This Row],[age]]&lt;45,"35-44",IF(HR_Data[[#This Row],[age]]&lt;55,"45-54","55+"))))</f>
        <v>55+</v>
      </c>
      <c r="X1011" t="str">
        <f t="shared" si="15"/>
        <v>8,000+</v>
      </c>
    </row>
    <row r="1012" spans="1:24" x14ac:dyDescent="0.3">
      <c r="A1012">
        <v>1424</v>
      </c>
      <c r="B1012">
        <v>55</v>
      </c>
      <c r="C1012" t="s">
        <v>36</v>
      </c>
      <c r="D1012" t="s">
        <v>23</v>
      </c>
      <c r="E1012" t="s">
        <v>38</v>
      </c>
      <c r="F1012">
        <v>1</v>
      </c>
      <c r="G1012" t="s">
        <v>47</v>
      </c>
      <c r="H1012" t="s">
        <v>48</v>
      </c>
      <c r="I1012" t="s">
        <v>27</v>
      </c>
      <c r="J1012" t="s">
        <v>40</v>
      </c>
      <c r="K1012" t="s">
        <v>31</v>
      </c>
      <c r="L1012" t="s">
        <v>57</v>
      </c>
      <c r="M1012" t="s">
        <v>31</v>
      </c>
      <c r="N1012" t="s">
        <v>51</v>
      </c>
      <c r="O1012">
        <v>14732</v>
      </c>
      <c r="P1012">
        <v>2</v>
      </c>
      <c r="Q1012" t="s">
        <v>36</v>
      </c>
      <c r="R1012">
        <v>13</v>
      </c>
      <c r="S1012" t="s">
        <v>33</v>
      </c>
      <c r="T1012" t="s">
        <v>31</v>
      </c>
      <c r="U1012">
        <v>4</v>
      </c>
      <c r="V1012" t="s">
        <v>59</v>
      </c>
      <c r="W1012" t="str">
        <f>IF(HR_Data[[#This Row],[age]]&lt;25,"Under 25",IF(HR_Data[[#This Row],[age]]&lt;35,"25-34",IF(HR_Data[[#This Row],[age]]&lt;45,"35-44",IF(HR_Data[[#This Row],[age]]&lt;55,"45-54","55+"))))</f>
        <v>55+</v>
      </c>
      <c r="X1012" t="str">
        <f t="shared" si="15"/>
        <v>8,000+</v>
      </c>
    </row>
    <row r="1013" spans="1:24" x14ac:dyDescent="0.3">
      <c r="A1013">
        <v>1425</v>
      </c>
      <c r="B1013">
        <v>36</v>
      </c>
      <c r="C1013" t="s">
        <v>36</v>
      </c>
      <c r="D1013" t="s">
        <v>23</v>
      </c>
      <c r="E1013" t="s">
        <v>24</v>
      </c>
      <c r="F1013">
        <v>3</v>
      </c>
      <c r="G1013" t="s">
        <v>47</v>
      </c>
      <c r="H1013" t="s">
        <v>58</v>
      </c>
      <c r="I1013" t="s">
        <v>34</v>
      </c>
      <c r="J1013" t="s">
        <v>28</v>
      </c>
      <c r="K1013" t="s">
        <v>29</v>
      </c>
      <c r="L1013" t="s">
        <v>30</v>
      </c>
      <c r="M1013" t="s">
        <v>27</v>
      </c>
      <c r="N1013" t="s">
        <v>32</v>
      </c>
      <c r="O1013">
        <v>9278</v>
      </c>
      <c r="P1013">
        <v>3</v>
      </c>
      <c r="Q1013" t="s">
        <v>22</v>
      </c>
      <c r="R1013">
        <v>16</v>
      </c>
      <c r="S1013" t="s">
        <v>33</v>
      </c>
      <c r="T1013" t="s">
        <v>31</v>
      </c>
      <c r="U1013">
        <v>3</v>
      </c>
      <c r="V1013" t="s">
        <v>44</v>
      </c>
      <c r="W1013" t="str">
        <f>IF(HR_Data[[#This Row],[age]]&lt;25,"Under 25",IF(HR_Data[[#This Row],[age]]&lt;35,"25-34",IF(HR_Data[[#This Row],[age]]&lt;45,"35-44",IF(HR_Data[[#This Row],[age]]&lt;55,"45-54","55+"))))</f>
        <v>35-44</v>
      </c>
      <c r="X1013" t="str">
        <f t="shared" si="15"/>
        <v>8,000+</v>
      </c>
    </row>
    <row r="1014" spans="1:24" x14ac:dyDescent="0.3">
      <c r="A1014">
        <v>1427</v>
      </c>
      <c r="B1014">
        <v>31</v>
      </c>
      <c r="C1014" t="s">
        <v>22</v>
      </c>
      <c r="D1014" t="s">
        <v>37</v>
      </c>
      <c r="E1014" t="s">
        <v>24</v>
      </c>
      <c r="F1014">
        <v>1</v>
      </c>
      <c r="G1014" t="s">
        <v>47</v>
      </c>
      <c r="H1014" t="s">
        <v>26</v>
      </c>
      <c r="I1014" t="s">
        <v>27</v>
      </c>
      <c r="J1014" t="s">
        <v>28</v>
      </c>
      <c r="K1014" t="s">
        <v>34</v>
      </c>
      <c r="L1014" t="s">
        <v>56</v>
      </c>
      <c r="M1014" t="s">
        <v>29</v>
      </c>
      <c r="N1014" t="s">
        <v>32</v>
      </c>
      <c r="O1014">
        <v>1359</v>
      </c>
      <c r="P1014">
        <v>1</v>
      </c>
      <c r="Q1014" t="s">
        <v>36</v>
      </c>
      <c r="R1014">
        <v>12</v>
      </c>
      <c r="S1014" t="s">
        <v>33</v>
      </c>
      <c r="T1014" t="s">
        <v>27</v>
      </c>
      <c r="U1014">
        <v>3</v>
      </c>
      <c r="V1014" t="s">
        <v>44</v>
      </c>
      <c r="W1014" t="str">
        <f>IF(HR_Data[[#This Row],[age]]&lt;25,"Under 25",IF(HR_Data[[#This Row],[age]]&lt;35,"25-34",IF(HR_Data[[#This Row],[age]]&lt;45,"35-44",IF(HR_Data[[#This Row],[age]]&lt;55,"45-54","55+"))))</f>
        <v>25-34</v>
      </c>
      <c r="X1014" t="str">
        <f t="shared" si="15"/>
        <v>Below 3,000</v>
      </c>
    </row>
    <row r="1015" spans="1:24" x14ac:dyDescent="0.3">
      <c r="A1015">
        <v>1428</v>
      </c>
      <c r="B1015">
        <v>30</v>
      </c>
      <c r="C1015" t="s">
        <v>36</v>
      </c>
      <c r="D1015" t="s">
        <v>23</v>
      </c>
      <c r="E1015" t="s">
        <v>24</v>
      </c>
      <c r="F1015">
        <v>7</v>
      </c>
      <c r="G1015" t="s">
        <v>47</v>
      </c>
      <c r="H1015" t="s">
        <v>58</v>
      </c>
      <c r="I1015" t="s">
        <v>31</v>
      </c>
      <c r="J1015" t="s">
        <v>28</v>
      </c>
      <c r="K1015" t="s">
        <v>29</v>
      </c>
      <c r="L1015" t="s">
        <v>30</v>
      </c>
      <c r="M1015" t="s">
        <v>34</v>
      </c>
      <c r="N1015" t="s">
        <v>51</v>
      </c>
      <c r="O1015">
        <v>4779</v>
      </c>
      <c r="P1015">
        <v>7</v>
      </c>
      <c r="Q1015" t="s">
        <v>36</v>
      </c>
      <c r="R1015">
        <v>14</v>
      </c>
      <c r="S1015" t="s">
        <v>33</v>
      </c>
      <c r="T1015" t="s">
        <v>27</v>
      </c>
      <c r="U1015">
        <v>3</v>
      </c>
      <c r="V1015" t="s">
        <v>44</v>
      </c>
      <c r="W1015" t="str">
        <f>IF(HR_Data[[#This Row],[age]]&lt;25,"Under 25",IF(HR_Data[[#This Row],[age]]&lt;35,"25-34",IF(HR_Data[[#This Row],[age]]&lt;45,"35-44",IF(HR_Data[[#This Row],[age]]&lt;55,"45-54","55+"))))</f>
        <v>25-34</v>
      </c>
      <c r="X1015" t="str">
        <f t="shared" si="15"/>
        <v>3,000-4,999</v>
      </c>
    </row>
    <row r="1016" spans="1:24" x14ac:dyDescent="0.3">
      <c r="A1016">
        <v>1430</v>
      </c>
      <c r="B1016">
        <v>31</v>
      </c>
      <c r="C1016" t="s">
        <v>36</v>
      </c>
      <c r="D1016" t="s">
        <v>23</v>
      </c>
      <c r="E1016" t="s">
        <v>38</v>
      </c>
      <c r="F1016">
        <v>8</v>
      </c>
      <c r="G1016" t="s">
        <v>61</v>
      </c>
      <c r="H1016" t="s">
        <v>26</v>
      </c>
      <c r="I1016" t="s">
        <v>34</v>
      </c>
      <c r="J1016" t="s">
        <v>28</v>
      </c>
      <c r="K1016" t="s">
        <v>29</v>
      </c>
      <c r="L1016" t="s">
        <v>57</v>
      </c>
      <c r="M1016" t="s">
        <v>27</v>
      </c>
      <c r="N1016" t="s">
        <v>32</v>
      </c>
      <c r="O1016">
        <v>16422</v>
      </c>
      <c r="P1016">
        <v>3</v>
      </c>
      <c r="Q1016" t="s">
        <v>36</v>
      </c>
      <c r="R1016">
        <v>11</v>
      </c>
      <c r="S1016" t="s">
        <v>33</v>
      </c>
      <c r="T1016" t="s">
        <v>29</v>
      </c>
      <c r="U1016">
        <v>3</v>
      </c>
      <c r="V1016" t="s">
        <v>59</v>
      </c>
      <c r="W1016" t="str">
        <f>IF(HR_Data[[#This Row],[age]]&lt;25,"Under 25",IF(HR_Data[[#This Row],[age]]&lt;35,"25-34",IF(HR_Data[[#This Row],[age]]&lt;45,"35-44",IF(HR_Data[[#This Row],[age]]&lt;55,"45-54","55+"))))</f>
        <v>25-34</v>
      </c>
      <c r="X1016" t="str">
        <f t="shared" si="15"/>
        <v>8,000+</v>
      </c>
    </row>
    <row r="1017" spans="1:24" x14ac:dyDescent="0.3">
      <c r="A1017">
        <v>1431</v>
      </c>
      <c r="B1017">
        <v>34</v>
      </c>
      <c r="C1017" t="s">
        <v>36</v>
      </c>
      <c r="D1017" t="s">
        <v>37</v>
      </c>
      <c r="E1017" t="s">
        <v>38</v>
      </c>
      <c r="F1017">
        <v>1</v>
      </c>
      <c r="G1017" t="s">
        <v>47</v>
      </c>
      <c r="H1017" t="s">
        <v>45</v>
      </c>
      <c r="I1017" t="s">
        <v>31</v>
      </c>
      <c r="J1017" t="s">
        <v>40</v>
      </c>
      <c r="K1017" t="s">
        <v>29</v>
      </c>
      <c r="L1017" t="s">
        <v>41</v>
      </c>
      <c r="M1017" t="s">
        <v>34</v>
      </c>
      <c r="N1017" t="s">
        <v>51</v>
      </c>
      <c r="O1017">
        <v>2996</v>
      </c>
      <c r="P1017">
        <v>5</v>
      </c>
      <c r="Q1017" t="s">
        <v>36</v>
      </c>
      <c r="R1017">
        <v>14</v>
      </c>
      <c r="S1017" t="s">
        <v>33</v>
      </c>
      <c r="T1017" t="s">
        <v>29</v>
      </c>
      <c r="U1017">
        <v>2</v>
      </c>
      <c r="V1017" t="s">
        <v>44</v>
      </c>
      <c r="W1017" t="str">
        <f>IF(HR_Data[[#This Row],[age]]&lt;25,"Under 25",IF(HR_Data[[#This Row],[age]]&lt;35,"25-34",IF(HR_Data[[#This Row],[age]]&lt;45,"35-44",IF(HR_Data[[#This Row],[age]]&lt;55,"45-54","55+"))))</f>
        <v>25-34</v>
      </c>
      <c r="X1017" t="str">
        <f t="shared" si="15"/>
        <v>Below 3,000</v>
      </c>
    </row>
    <row r="1018" spans="1:24" x14ac:dyDescent="0.3">
      <c r="A1018">
        <v>1433</v>
      </c>
      <c r="B1018">
        <v>31</v>
      </c>
      <c r="C1018" t="s">
        <v>22</v>
      </c>
      <c r="D1018" t="s">
        <v>23</v>
      </c>
      <c r="E1018" t="s">
        <v>38</v>
      </c>
      <c r="F1018">
        <v>8</v>
      </c>
      <c r="G1018" t="s">
        <v>50</v>
      </c>
      <c r="H1018" t="s">
        <v>26</v>
      </c>
      <c r="I1018" t="s">
        <v>34</v>
      </c>
      <c r="J1018" t="s">
        <v>28</v>
      </c>
      <c r="K1018" t="s">
        <v>27</v>
      </c>
      <c r="L1018" t="s">
        <v>41</v>
      </c>
      <c r="M1018" t="s">
        <v>27</v>
      </c>
      <c r="N1018" t="s">
        <v>32</v>
      </c>
      <c r="O1018">
        <v>1261</v>
      </c>
      <c r="P1018">
        <v>1</v>
      </c>
      <c r="Q1018" t="s">
        <v>36</v>
      </c>
      <c r="R1018">
        <v>12</v>
      </c>
      <c r="S1018" t="s">
        <v>33</v>
      </c>
      <c r="T1018" t="s">
        <v>29</v>
      </c>
      <c r="U1018">
        <v>3</v>
      </c>
      <c r="V1018" t="s">
        <v>59</v>
      </c>
      <c r="W1018" t="str">
        <f>IF(HR_Data[[#This Row],[age]]&lt;25,"Under 25",IF(HR_Data[[#This Row],[age]]&lt;35,"25-34",IF(HR_Data[[#This Row],[age]]&lt;45,"35-44",IF(HR_Data[[#This Row],[age]]&lt;55,"45-54","55+"))))</f>
        <v>25-34</v>
      </c>
      <c r="X1018" t="str">
        <f t="shared" si="15"/>
        <v>Below 3,000</v>
      </c>
    </row>
    <row r="1019" spans="1:24" x14ac:dyDescent="0.3">
      <c r="A1019">
        <v>1434</v>
      </c>
      <c r="B1019">
        <v>27</v>
      </c>
      <c r="C1019" t="s">
        <v>36</v>
      </c>
      <c r="D1019" t="s">
        <v>23</v>
      </c>
      <c r="E1019" t="s">
        <v>38</v>
      </c>
      <c r="F1019">
        <v>11</v>
      </c>
      <c r="G1019" t="s">
        <v>39</v>
      </c>
      <c r="H1019" t="s">
        <v>26</v>
      </c>
      <c r="I1019" t="s">
        <v>27</v>
      </c>
      <c r="J1019" t="s">
        <v>40</v>
      </c>
      <c r="K1019" t="s">
        <v>29</v>
      </c>
      <c r="L1019" t="s">
        <v>46</v>
      </c>
      <c r="M1019" t="s">
        <v>34</v>
      </c>
      <c r="N1019" t="s">
        <v>42</v>
      </c>
      <c r="O1019">
        <v>2099</v>
      </c>
      <c r="P1019">
        <v>0</v>
      </c>
      <c r="Q1019" t="s">
        <v>36</v>
      </c>
      <c r="R1019">
        <v>14</v>
      </c>
      <c r="S1019" t="s">
        <v>33</v>
      </c>
      <c r="T1019" t="s">
        <v>27</v>
      </c>
      <c r="U1019">
        <v>3</v>
      </c>
      <c r="V1019" t="s">
        <v>59</v>
      </c>
      <c r="W1019" t="str">
        <f>IF(HR_Data[[#This Row],[age]]&lt;25,"Under 25",IF(HR_Data[[#This Row],[age]]&lt;35,"25-34",IF(HR_Data[[#This Row],[age]]&lt;45,"35-44",IF(HR_Data[[#This Row],[age]]&lt;55,"45-54","55+"))))</f>
        <v>25-34</v>
      </c>
      <c r="X1019" t="str">
        <f t="shared" si="15"/>
        <v>Below 3,000</v>
      </c>
    </row>
    <row r="1020" spans="1:24" x14ac:dyDescent="0.3">
      <c r="A1020">
        <v>1435</v>
      </c>
      <c r="B1020">
        <v>36</v>
      </c>
      <c r="C1020" t="s">
        <v>36</v>
      </c>
      <c r="D1020" t="s">
        <v>23</v>
      </c>
      <c r="E1020" t="s">
        <v>38</v>
      </c>
      <c r="F1020">
        <v>4</v>
      </c>
      <c r="G1020" t="s">
        <v>47</v>
      </c>
      <c r="H1020" t="s">
        <v>26</v>
      </c>
      <c r="I1020" t="s">
        <v>34</v>
      </c>
      <c r="J1020" t="s">
        <v>40</v>
      </c>
      <c r="K1020" t="s">
        <v>27</v>
      </c>
      <c r="L1020" t="s">
        <v>46</v>
      </c>
      <c r="M1020" t="s">
        <v>31</v>
      </c>
      <c r="N1020" t="s">
        <v>32</v>
      </c>
      <c r="O1020">
        <v>5810</v>
      </c>
      <c r="P1020">
        <v>1</v>
      </c>
      <c r="Q1020" t="s">
        <v>36</v>
      </c>
      <c r="R1020">
        <v>16</v>
      </c>
      <c r="S1020" t="s">
        <v>33</v>
      </c>
      <c r="T1020" t="s">
        <v>29</v>
      </c>
      <c r="U1020">
        <v>2</v>
      </c>
      <c r="V1020" t="s">
        <v>49</v>
      </c>
      <c r="W1020" t="str">
        <f>IF(HR_Data[[#This Row],[age]]&lt;25,"Under 25",IF(HR_Data[[#This Row],[age]]&lt;35,"25-34",IF(HR_Data[[#This Row],[age]]&lt;45,"35-44",IF(HR_Data[[#This Row],[age]]&lt;55,"45-54","55+"))))</f>
        <v>35-44</v>
      </c>
      <c r="X1020" t="str">
        <f t="shared" si="15"/>
        <v>5,000-7,999</v>
      </c>
    </row>
    <row r="1021" spans="1:24" x14ac:dyDescent="0.3">
      <c r="A1021">
        <v>1436</v>
      </c>
      <c r="B1021">
        <v>36</v>
      </c>
      <c r="C1021" t="s">
        <v>36</v>
      </c>
      <c r="D1021" t="s">
        <v>23</v>
      </c>
      <c r="E1021" t="s">
        <v>24</v>
      </c>
      <c r="F1021">
        <v>16</v>
      </c>
      <c r="G1021" t="s">
        <v>47</v>
      </c>
      <c r="H1021" t="s">
        <v>58</v>
      </c>
      <c r="I1021" t="s">
        <v>29</v>
      </c>
      <c r="J1021" t="s">
        <v>28</v>
      </c>
      <c r="K1021" t="s">
        <v>27</v>
      </c>
      <c r="L1021" t="s">
        <v>30</v>
      </c>
      <c r="M1021" t="s">
        <v>34</v>
      </c>
      <c r="N1021" t="s">
        <v>42</v>
      </c>
      <c r="O1021">
        <v>5647</v>
      </c>
      <c r="P1021">
        <v>4</v>
      </c>
      <c r="Q1021" t="s">
        <v>36</v>
      </c>
      <c r="R1021">
        <v>13</v>
      </c>
      <c r="S1021" t="s">
        <v>33</v>
      </c>
      <c r="T1021" t="s">
        <v>34</v>
      </c>
      <c r="U1021">
        <v>3</v>
      </c>
      <c r="V1021" t="s">
        <v>49</v>
      </c>
      <c r="W1021" t="str">
        <f>IF(HR_Data[[#This Row],[age]]&lt;25,"Under 25",IF(HR_Data[[#This Row],[age]]&lt;35,"25-34",IF(HR_Data[[#This Row],[age]]&lt;45,"35-44",IF(HR_Data[[#This Row],[age]]&lt;55,"45-54","55+"))))</f>
        <v>35-44</v>
      </c>
      <c r="X1021" t="str">
        <f t="shared" si="15"/>
        <v>5,000-7,999</v>
      </c>
    </row>
    <row r="1022" spans="1:24" x14ac:dyDescent="0.3">
      <c r="A1022">
        <v>1438</v>
      </c>
      <c r="B1022">
        <v>47</v>
      </c>
      <c r="C1022" t="s">
        <v>36</v>
      </c>
      <c r="D1022" t="s">
        <v>23</v>
      </c>
      <c r="E1022" t="s">
        <v>38</v>
      </c>
      <c r="F1022">
        <v>1</v>
      </c>
      <c r="G1022" t="s">
        <v>50</v>
      </c>
      <c r="H1022" t="s">
        <v>60</v>
      </c>
      <c r="I1022" t="s">
        <v>34</v>
      </c>
      <c r="J1022" t="s">
        <v>40</v>
      </c>
      <c r="K1022" t="s">
        <v>29</v>
      </c>
      <c r="L1022" t="s">
        <v>41</v>
      </c>
      <c r="M1022" t="s">
        <v>31</v>
      </c>
      <c r="N1022" t="s">
        <v>42</v>
      </c>
      <c r="O1022">
        <v>3420</v>
      </c>
      <c r="P1022">
        <v>7</v>
      </c>
      <c r="Q1022" t="s">
        <v>36</v>
      </c>
      <c r="R1022">
        <v>12</v>
      </c>
      <c r="S1022" t="s">
        <v>33</v>
      </c>
      <c r="T1022" t="s">
        <v>29</v>
      </c>
      <c r="U1022">
        <v>2</v>
      </c>
      <c r="V1022" t="s">
        <v>49</v>
      </c>
      <c r="W1022" t="str">
        <f>IF(HR_Data[[#This Row],[age]]&lt;25,"Under 25",IF(HR_Data[[#This Row],[age]]&lt;35,"25-34",IF(HR_Data[[#This Row],[age]]&lt;45,"35-44",IF(HR_Data[[#This Row],[age]]&lt;55,"45-54","55+"))))</f>
        <v>45-54</v>
      </c>
      <c r="X1022" t="str">
        <f t="shared" si="15"/>
        <v>3,000-4,999</v>
      </c>
    </row>
    <row r="1023" spans="1:24" x14ac:dyDescent="0.3">
      <c r="A1023">
        <v>1439</v>
      </c>
      <c r="B1023">
        <v>25</v>
      </c>
      <c r="C1023" t="s">
        <v>22</v>
      </c>
      <c r="D1023" t="s">
        <v>23</v>
      </c>
      <c r="E1023" t="s">
        <v>24</v>
      </c>
      <c r="F1023">
        <v>9</v>
      </c>
      <c r="G1023" t="s">
        <v>25</v>
      </c>
      <c r="H1023" t="s">
        <v>26</v>
      </c>
      <c r="I1023" t="s">
        <v>34</v>
      </c>
      <c r="J1023" t="s">
        <v>40</v>
      </c>
      <c r="K1023" t="s">
        <v>27</v>
      </c>
      <c r="L1023" t="s">
        <v>56</v>
      </c>
      <c r="M1023" t="s">
        <v>34</v>
      </c>
      <c r="N1023" t="s">
        <v>42</v>
      </c>
      <c r="O1023">
        <v>4400</v>
      </c>
      <c r="P1023">
        <v>3</v>
      </c>
      <c r="Q1023" t="s">
        <v>36</v>
      </c>
      <c r="R1023">
        <v>12</v>
      </c>
      <c r="S1023" t="s">
        <v>33</v>
      </c>
      <c r="T1023" t="s">
        <v>34</v>
      </c>
      <c r="U1023">
        <v>2</v>
      </c>
      <c r="V1023" t="s">
        <v>44</v>
      </c>
      <c r="W1023" t="str">
        <f>IF(HR_Data[[#This Row],[age]]&lt;25,"Under 25",IF(HR_Data[[#This Row],[age]]&lt;35,"25-34",IF(HR_Data[[#This Row],[age]]&lt;45,"35-44",IF(HR_Data[[#This Row],[age]]&lt;55,"45-54","55+"))))</f>
        <v>25-34</v>
      </c>
      <c r="X1023" t="str">
        <f t="shared" si="15"/>
        <v>3,000-4,999</v>
      </c>
    </row>
    <row r="1024" spans="1:24" x14ac:dyDescent="0.3">
      <c r="A1024">
        <v>1440</v>
      </c>
      <c r="B1024">
        <v>37</v>
      </c>
      <c r="C1024" t="s">
        <v>36</v>
      </c>
      <c r="D1024" t="s">
        <v>54</v>
      </c>
      <c r="E1024" t="s">
        <v>38</v>
      </c>
      <c r="F1024">
        <v>5</v>
      </c>
      <c r="G1024" t="s">
        <v>25</v>
      </c>
      <c r="H1024" t="s">
        <v>60</v>
      </c>
      <c r="I1024" t="s">
        <v>29</v>
      </c>
      <c r="J1024" t="s">
        <v>40</v>
      </c>
      <c r="K1024" t="s">
        <v>31</v>
      </c>
      <c r="L1024" t="s">
        <v>46</v>
      </c>
      <c r="M1024" t="s">
        <v>29</v>
      </c>
      <c r="N1024" t="s">
        <v>32</v>
      </c>
      <c r="O1024">
        <v>3500</v>
      </c>
      <c r="P1024">
        <v>0</v>
      </c>
      <c r="Q1024" t="s">
        <v>36</v>
      </c>
      <c r="R1024">
        <v>14</v>
      </c>
      <c r="S1024" t="s">
        <v>33</v>
      </c>
      <c r="T1024" t="s">
        <v>34</v>
      </c>
      <c r="U1024">
        <v>2</v>
      </c>
      <c r="V1024" t="s">
        <v>35</v>
      </c>
      <c r="W1024" t="str">
        <f>IF(HR_Data[[#This Row],[age]]&lt;25,"Under 25",IF(HR_Data[[#This Row],[age]]&lt;35,"25-34",IF(HR_Data[[#This Row],[age]]&lt;45,"35-44",IF(HR_Data[[#This Row],[age]]&lt;55,"45-54","55+"))))</f>
        <v>35-44</v>
      </c>
      <c r="X1024" t="str">
        <f t="shared" si="15"/>
        <v>3,000-4,999</v>
      </c>
    </row>
    <row r="1025" spans="1:24" x14ac:dyDescent="0.3">
      <c r="A1025">
        <v>1441</v>
      </c>
      <c r="B1025">
        <v>56</v>
      </c>
      <c r="C1025" t="s">
        <v>36</v>
      </c>
      <c r="D1025" t="s">
        <v>23</v>
      </c>
      <c r="E1025" t="s">
        <v>38</v>
      </c>
      <c r="F1025">
        <v>1</v>
      </c>
      <c r="G1025" t="s">
        <v>25</v>
      </c>
      <c r="H1025" t="s">
        <v>26</v>
      </c>
      <c r="I1025" t="s">
        <v>34</v>
      </c>
      <c r="J1025" t="s">
        <v>28</v>
      </c>
      <c r="K1025" t="s">
        <v>29</v>
      </c>
      <c r="L1025" t="s">
        <v>41</v>
      </c>
      <c r="M1025" t="s">
        <v>34</v>
      </c>
      <c r="N1025" t="s">
        <v>42</v>
      </c>
      <c r="O1025">
        <v>2066</v>
      </c>
      <c r="P1025">
        <v>2</v>
      </c>
      <c r="Q1025" t="s">
        <v>36</v>
      </c>
      <c r="R1025">
        <v>22</v>
      </c>
      <c r="S1025" t="s">
        <v>43</v>
      </c>
      <c r="T1025" t="s">
        <v>31</v>
      </c>
      <c r="U1025">
        <v>3</v>
      </c>
      <c r="V1025" t="s">
        <v>59</v>
      </c>
      <c r="W1025" t="str">
        <f>IF(HR_Data[[#This Row],[age]]&lt;25,"Under 25",IF(HR_Data[[#This Row],[age]]&lt;35,"25-34",IF(HR_Data[[#This Row],[age]]&lt;45,"35-44",IF(HR_Data[[#This Row],[age]]&lt;55,"45-54","55+"))))</f>
        <v>55+</v>
      </c>
      <c r="X1025" t="str">
        <f t="shared" si="15"/>
        <v>Below 3,000</v>
      </c>
    </row>
    <row r="1026" spans="1:24" x14ac:dyDescent="0.3">
      <c r="A1026">
        <v>1443</v>
      </c>
      <c r="B1026">
        <v>47</v>
      </c>
      <c r="C1026" t="s">
        <v>36</v>
      </c>
      <c r="D1026" t="s">
        <v>23</v>
      </c>
      <c r="E1026" t="s">
        <v>38</v>
      </c>
      <c r="F1026">
        <v>2</v>
      </c>
      <c r="G1026" t="s">
        <v>47</v>
      </c>
      <c r="H1026" t="s">
        <v>48</v>
      </c>
      <c r="I1026" t="s">
        <v>34</v>
      </c>
      <c r="J1026" t="s">
        <v>28</v>
      </c>
      <c r="K1026" t="s">
        <v>29</v>
      </c>
      <c r="L1026" t="s">
        <v>57</v>
      </c>
      <c r="M1026" t="s">
        <v>29</v>
      </c>
      <c r="N1026" t="s">
        <v>42</v>
      </c>
      <c r="O1026">
        <v>17169</v>
      </c>
      <c r="P1026">
        <v>3</v>
      </c>
      <c r="Q1026" t="s">
        <v>36</v>
      </c>
      <c r="R1026">
        <v>19</v>
      </c>
      <c r="S1026" t="s">
        <v>33</v>
      </c>
      <c r="T1026" t="s">
        <v>27</v>
      </c>
      <c r="U1026">
        <v>2</v>
      </c>
      <c r="V1026" t="s">
        <v>59</v>
      </c>
      <c r="W1026" t="str">
        <f>IF(HR_Data[[#This Row],[age]]&lt;25,"Under 25",IF(HR_Data[[#This Row],[age]]&lt;35,"25-34",IF(HR_Data[[#This Row],[age]]&lt;45,"35-44",IF(HR_Data[[#This Row],[age]]&lt;55,"45-54","55+"))))</f>
        <v>45-54</v>
      </c>
      <c r="X1026" t="str">
        <f t="shared" si="15"/>
        <v>8,000+</v>
      </c>
    </row>
    <row r="1027" spans="1:24" x14ac:dyDescent="0.3">
      <c r="A1027">
        <v>1445</v>
      </c>
      <c r="B1027">
        <v>24</v>
      </c>
      <c r="C1027" t="s">
        <v>36</v>
      </c>
      <c r="D1027" t="s">
        <v>23</v>
      </c>
      <c r="E1027" t="s">
        <v>24</v>
      </c>
      <c r="F1027">
        <v>4</v>
      </c>
      <c r="G1027" t="s">
        <v>39</v>
      </c>
      <c r="H1027" t="s">
        <v>48</v>
      </c>
      <c r="I1027" t="s">
        <v>31</v>
      </c>
      <c r="J1027" t="s">
        <v>28</v>
      </c>
      <c r="K1027" t="s">
        <v>29</v>
      </c>
      <c r="L1027" t="s">
        <v>30</v>
      </c>
      <c r="M1027" t="s">
        <v>29</v>
      </c>
      <c r="N1027" t="s">
        <v>42</v>
      </c>
      <c r="O1027">
        <v>4162</v>
      </c>
      <c r="P1027">
        <v>1</v>
      </c>
      <c r="Q1027" t="s">
        <v>22</v>
      </c>
      <c r="R1027">
        <v>12</v>
      </c>
      <c r="S1027" t="s">
        <v>33</v>
      </c>
      <c r="T1027" t="s">
        <v>29</v>
      </c>
      <c r="U1027">
        <v>3</v>
      </c>
      <c r="V1027" t="s">
        <v>44</v>
      </c>
      <c r="W1027" t="str">
        <f>IF(HR_Data[[#This Row],[age]]&lt;25,"Under 25",IF(HR_Data[[#This Row],[age]]&lt;35,"25-34",IF(HR_Data[[#This Row],[age]]&lt;45,"35-44",IF(HR_Data[[#This Row],[age]]&lt;55,"45-54","55+"))))</f>
        <v>Under 25</v>
      </c>
      <c r="X1027" t="str">
        <f t="shared" ref="X1027:X1090" si="16">IF(O1027&lt;3000,"Below 3,000",IF(O1027&lt;5000,"3,000-4,999",IF(O1027&lt;8000,"5,000-7,999","8,000+")))</f>
        <v>3,000-4,999</v>
      </c>
    </row>
    <row r="1028" spans="1:24" x14ac:dyDescent="0.3">
      <c r="A1028">
        <v>1446</v>
      </c>
      <c r="B1028">
        <v>32</v>
      </c>
      <c r="C1028" t="s">
        <v>36</v>
      </c>
      <c r="D1028" t="s">
        <v>23</v>
      </c>
      <c r="E1028" t="s">
        <v>24</v>
      </c>
      <c r="F1028">
        <v>7</v>
      </c>
      <c r="G1028" t="s">
        <v>61</v>
      </c>
      <c r="H1028" t="s">
        <v>58</v>
      </c>
      <c r="I1028" t="s">
        <v>31</v>
      </c>
      <c r="J1028" t="s">
        <v>40</v>
      </c>
      <c r="K1028" t="s">
        <v>29</v>
      </c>
      <c r="L1028" t="s">
        <v>30</v>
      </c>
      <c r="M1028" t="s">
        <v>31</v>
      </c>
      <c r="N1028" t="s">
        <v>42</v>
      </c>
      <c r="O1028">
        <v>9204</v>
      </c>
      <c r="P1028">
        <v>4</v>
      </c>
      <c r="Q1028" t="s">
        <v>36</v>
      </c>
      <c r="R1028">
        <v>12</v>
      </c>
      <c r="S1028" t="s">
        <v>33</v>
      </c>
      <c r="T1028" t="s">
        <v>29</v>
      </c>
      <c r="U1028">
        <v>3</v>
      </c>
      <c r="V1028" t="s">
        <v>49</v>
      </c>
      <c r="W1028" t="str">
        <f>IF(HR_Data[[#This Row],[age]]&lt;25,"Under 25",IF(HR_Data[[#This Row],[age]]&lt;35,"25-34",IF(HR_Data[[#This Row],[age]]&lt;45,"35-44",IF(HR_Data[[#This Row],[age]]&lt;55,"45-54","55+"))))</f>
        <v>25-34</v>
      </c>
      <c r="X1028" t="str">
        <f t="shared" si="16"/>
        <v>8,000+</v>
      </c>
    </row>
    <row r="1029" spans="1:24" x14ac:dyDescent="0.3">
      <c r="A1029">
        <v>1447</v>
      </c>
      <c r="B1029">
        <v>34</v>
      </c>
      <c r="C1029" t="s">
        <v>36</v>
      </c>
      <c r="D1029" t="s">
        <v>23</v>
      </c>
      <c r="E1029" t="s">
        <v>38</v>
      </c>
      <c r="F1029">
        <v>1</v>
      </c>
      <c r="G1029" t="s">
        <v>50</v>
      </c>
      <c r="H1029" t="s">
        <v>26</v>
      </c>
      <c r="I1029" t="s">
        <v>31</v>
      </c>
      <c r="J1029" t="s">
        <v>28</v>
      </c>
      <c r="K1029" t="s">
        <v>27</v>
      </c>
      <c r="L1029" t="s">
        <v>46</v>
      </c>
      <c r="M1029" t="s">
        <v>27</v>
      </c>
      <c r="N1029" t="s">
        <v>42</v>
      </c>
      <c r="O1029">
        <v>3294</v>
      </c>
      <c r="P1029">
        <v>5</v>
      </c>
      <c r="Q1029" t="s">
        <v>36</v>
      </c>
      <c r="R1029">
        <v>17</v>
      </c>
      <c r="S1029" t="s">
        <v>33</v>
      </c>
      <c r="T1029" t="s">
        <v>34</v>
      </c>
      <c r="U1029">
        <v>2</v>
      </c>
      <c r="V1029" t="s">
        <v>49</v>
      </c>
      <c r="W1029" t="str">
        <f>IF(HR_Data[[#This Row],[age]]&lt;25,"Under 25",IF(HR_Data[[#This Row],[age]]&lt;35,"25-34",IF(HR_Data[[#This Row],[age]]&lt;45,"35-44",IF(HR_Data[[#This Row],[age]]&lt;55,"45-54","55+"))))</f>
        <v>25-34</v>
      </c>
      <c r="X1029" t="str">
        <f t="shared" si="16"/>
        <v>3,000-4,999</v>
      </c>
    </row>
    <row r="1030" spans="1:24" x14ac:dyDescent="0.3">
      <c r="A1030">
        <v>1448</v>
      </c>
      <c r="B1030">
        <v>41</v>
      </c>
      <c r="C1030" t="s">
        <v>36</v>
      </c>
      <c r="D1030" t="s">
        <v>23</v>
      </c>
      <c r="E1030" t="s">
        <v>38</v>
      </c>
      <c r="F1030">
        <v>5</v>
      </c>
      <c r="G1030" t="s">
        <v>61</v>
      </c>
      <c r="H1030" t="s">
        <v>48</v>
      </c>
      <c r="I1030" t="s">
        <v>27</v>
      </c>
      <c r="J1030" t="s">
        <v>40</v>
      </c>
      <c r="K1030" t="s">
        <v>31</v>
      </c>
      <c r="L1030" t="s">
        <v>41</v>
      </c>
      <c r="M1030" t="s">
        <v>29</v>
      </c>
      <c r="N1030" t="s">
        <v>42</v>
      </c>
      <c r="O1030">
        <v>2127</v>
      </c>
      <c r="P1030">
        <v>2</v>
      </c>
      <c r="Q1030" t="s">
        <v>22</v>
      </c>
      <c r="R1030">
        <v>12</v>
      </c>
      <c r="S1030" t="s">
        <v>33</v>
      </c>
      <c r="T1030" t="s">
        <v>34</v>
      </c>
      <c r="U1030">
        <v>5</v>
      </c>
      <c r="V1030" t="s">
        <v>49</v>
      </c>
      <c r="W1030" t="str">
        <f>IF(HR_Data[[#This Row],[age]]&lt;25,"Under 25",IF(HR_Data[[#This Row],[age]]&lt;35,"25-34",IF(HR_Data[[#This Row],[age]]&lt;45,"35-44",IF(HR_Data[[#This Row],[age]]&lt;55,"45-54","55+"))))</f>
        <v>35-44</v>
      </c>
      <c r="X1030" t="str">
        <f t="shared" si="16"/>
        <v>Below 3,000</v>
      </c>
    </row>
    <row r="1031" spans="1:24" x14ac:dyDescent="0.3">
      <c r="A1031">
        <v>1449</v>
      </c>
      <c r="B1031">
        <v>40</v>
      </c>
      <c r="C1031" t="s">
        <v>36</v>
      </c>
      <c r="D1031" t="s">
        <v>54</v>
      </c>
      <c r="E1031" t="s">
        <v>38</v>
      </c>
      <c r="F1031">
        <v>9</v>
      </c>
      <c r="G1031" t="s">
        <v>47</v>
      </c>
      <c r="H1031" t="s">
        <v>45</v>
      </c>
      <c r="I1031" t="s">
        <v>29</v>
      </c>
      <c r="J1031" t="s">
        <v>40</v>
      </c>
      <c r="K1031" t="s">
        <v>29</v>
      </c>
      <c r="L1031" t="s">
        <v>46</v>
      </c>
      <c r="M1031" t="s">
        <v>29</v>
      </c>
      <c r="N1031" t="s">
        <v>51</v>
      </c>
      <c r="O1031">
        <v>3975</v>
      </c>
      <c r="P1031">
        <v>3</v>
      </c>
      <c r="Q1031" t="s">
        <v>36</v>
      </c>
      <c r="R1031">
        <v>11</v>
      </c>
      <c r="S1031" t="s">
        <v>33</v>
      </c>
      <c r="T1031" t="s">
        <v>29</v>
      </c>
      <c r="U1031">
        <v>2</v>
      </c>
      <c r="V1031" t="s">
        <v>59</v>
      </c>
      <c r="W1031" t="str">
        <f>IF(HR_Data[[#This Row],[age]]&lt;25,"Under 25",IF(HR_Data[[#This Row],[age]]&lt;35,"25-34",IF(HR_Data[[#This Row],[age]]&lt;45,"35-44",IF(HR_Data[[#This Row],[age]]&lt;55,"45-54","55+"))))</f>
        <v>35-44</v>
      </c>
      <c r="X1031" t="str">
        <f t="shared" si="16"/>
        <v>3,000-4,999</v>
      </c>
    </row>
    <row r="1032" spans="1:24" x14ac:dyDescent="0.3">
      <c r="A1032">
        <v>1453</v>
      </c>
      <c r="B1032">
        <v>31</v>
      </c>
      <c r="C1032" t="s">
        <v>36</v>
      </c>
      <c r="D1032" t="s">
        <v>23</v>
      </c>
      <c r="E1032" t="s">
        <v>24</v>
      </c>
      <c r="F1032">
        <v>8</v>
      </c>
      <c r="G1032" t="s">
        <v>25</v>
      </c>
      <c r="H1032" t="s">
        <v>26</v>
      </c>
      <c r="I1032" t="s">
        <v>34</v>
      </c>
      <c r="J1032" t="s">
        <v>40</v>
      </c>
      <c r="K1032" t="s">
        <v>29</v>
      </c>
      <c r="L1032" t="s">
        <v>30</v>
      </c>
      <c r="M1032" t="s">
        <v>31</v>
      </c>
      <c r="N1032" t="s">
        <v>51</v>
      </c>
      <c r="O1032">
        <v>10793</v>
      </c>
      <c r="P1032">
        <v>1</v>
      </c>
      <c r="Q1032" t="s">
        <v>36</v>
      </c>
      <c r="R1032">
        <v>18</v>
      </c>
      <c r="S1032" t="s">
        <v>33</v>
      </c>
      <c r="T1032" t="s">
        <v>34</v>
      </c>
      <c r="U1032">
        <v>5</v>
      </c>
      <c r="V1032" t="s">
        <v>44</v>
      </c>
      <c r="W1032" t="str">
        <f>IF(HR_Data[[#This Row],[age]]&lt;25,"Under 25",IF(HR_Data[[#This Row],[age]]&lt;35,"25-34",IF(HR_Data[[#This Row],[age]]&lt;45,"35-44",IF(HR_Data[[#This Row],[age]]&lt;55,"45-54","55+"))))</f>
        <v>25-34</v>
      </c>
      <c r="X1032" t="str">
        <f t="shared" si="16"/>
        <v>8,000+</v>
      </c>
    </row>
    <row r="1033" spans="1:24" x14ac:dyDescent="0.3">
      <c r="A1033">
        <v>1457</v>
      </c>
      <c r="B1033">
        <v>46</v>
      </c>
      <c r="C1033" t="s">
        <v>22</v>
      </c>
      <c r="D1033" t="s">
        <v>23</v>
      </c>
      <c r="E1033" t="s">
        <v>24</v>
      </c>
      <c r="F1033">
        <v>9</v>
      </c>
      <c r="G1033" t="s">
        <v>50</v>
      </c>
      <c r="H1033" t="s">
        <v>58</v>
      </c>
      <c r="I1033" t="s">
        <v>34</v>
      </c>
      <c r="J1033" t="s">
        <v>40</v>
      </c>
      <c r="K1033" t="s">
        <v>29</v>
      </c>
      <c r="L1033" t="s">
        <v>30</v>
      </c>
      <c r="M1033" t="s">
        <v>31</v>
      </c>
      <c r="N1033" t="s">
        <v>51</v>
      </c>
      <c r="O1033">
        <v>10096</v>
      </c>
      <c r="P1033">
        <v>4</v>
      </c>
      <c r="Q1033" t="s">
        <v>36</v>
      </c>
      <c r="R1033">
        <v>11</v>
      </c>
      <c r="S1033" t="s">
        <v>33</v>
      </c>
      <c r="T1033" t="s">
        <v>34</v>
      </c>
      <c r="U1033">
        <v>1</v>
      </c>
      <c r="V1033" t="s">
        <v>59</v>
      </c>
      <c r="W1033" t="str">
        <f>IF(HR_Data[[#This Row],[age]]&lt;25,"Under 25",IF(HR_Data[[#This Row],[age]]&lt;35,"25-34",IF(HR_Data[[#This Row],[age]]&lt;45,"35-44",IF(HR_Data[[#This Row],[age]]&lt;55,"45-54","55+"))))</f>
        <v>45-54</v>
      </c>
      <c r="X1033" t="str">
        <f t="shared" si="16"/>
        <v>8,000+</v>
      </c>
    </row>
    <row r="1034" spans="1:24" x14ac:dyDescent="0.3">
      <c r="A1034">
        <v>1458</v>
      </c>
      <c r="B1034">
        <v>39</v>
      </c>
      <c r="C1034" t="s">
        <v>22</v>
      </c>
      <c r="D1034" t="s">
        <v>54</v>
      </c>
      <c r="E1034" t="s">
        <v>38</v>
      </c>
      <c r="F1034">
        <v>2</v>
      </c>
      <c r="G1034" t="s">
        <v>50</v>
      </c>
      <c r="H1034" t="s">
        <v>26</v>
      </c>
      <c r="I1034" t="s">
        <v>34</v>
      </c>
      <c r="J1034" t="s">
        <v>28</v>
      </c>
      <c r="K1034" t="s">
        <v>27</v>
      </c>
      <c r="L1034" t="s">
        <v>46</v>
      </c>
      <c r="M1034" t="s">
        <v>34</v>
      </c>
      <c r="N1034" t="s">
        <v>32</v>
      </c>
      <c r="O1034">
        <v>3646</v>
      </c>
      <c r="P1034">
        <v>2</v>
      </c>
      <c r="Q1034" t="s">
        <v>22</v>
      </c>
      <c r="R1034">
        <v>23</v>
      </c>
      <c r="S1034" t="s">
        <v>43</v>
      </c>
      <c r="T1034" t="s">
        <v>27</v>
      </c>
      <c r="U1034">
        <v>2</v>
      </c>
      <c r="V1034" t="s">
        <v>59</v>
      </c>
      <c r="W1034" t="str">
        <f>IF(HR_Data[[#This Row],[age]]&lt;25,"Under 25",IF(HR_Data[[#This Row],[age]]&lt;35,"25-34",IF(HR_Data[[#This Row],[age]]&lt;45,"35-44",IF(HR_Data[[#This Row],[age]]&lt;55,"45-54","55+"))))</f>
        <v>35-44</v>
      </c>
      <c r="X1034" t="str">
        <f t="shared" si="16"/>
        <v>3,000-4,999</v>
      </c>
    </row>
    <row r="1035" spans="1:24" x14ac:dyDescent="0.3">
      <c r="A1035">
        <v>1459</v>
      </c>
      <c r="B1035">
        <v>31</v>
      </c>
      <c r="C1035" t="s">
        <v>22</v>
      </c>
      <c r="D1035" t="s">
        <v>37</v>
      </c>
      <c r="E1035" t="s">
        <v>38</v>
      </c>
      <c r="F1035">
        <v>1</v>
      </c>
      <c r="G1035" t="s">
        <v>61</v>
      </c>
      <c r="H1035" t="s">
        <v>26</v>
      </c>
      <c r="I1035" t="s">
        <v>29</v>
      </c>
      <c r="J1035" t="s">
        <v>28</v>
      </c>
      <c r="K1035" t="s">
        <v>31</v>
      </c>
      <c r="L1035" t="s">
        <v>52</v>
      </c>
      <c r="M1035" t="s">
        <v>27</v>
      </c>
      <c r="N1035" t="s">
        <v>32</v>
      </c>
      <c r="O1035">
        <v>7446</v>
      </c>
      <c r="P1035">
        <v>1</v>
      </c>
      <c r="Q1035" t="s">
        <v>36</v>
      </c>
      <c r="R1035">
        <v>11</v>
      </c>
      <c r="S1035" t="s">
        <v>33</v>
      </c>
      <c r="T1035" t="s">
        <v>34</v>
      </c>
      <c r="U1035">
        <v>2</v>
      </c>
      <c r="V1035" t="s">
        <v>44</v>
      </c>
      <c r="W1035" t="str">
        <f>IF(HR_Data[[#This Row],[age]]&lt;25,"Under 25",IF(HR_Data[[#This Row],[age]]&lt;35,"25-34",IF(HR_Data[[#This Row],[age]]&lt;45,"35-44",IF(HR_Data[[#This Row],[age]]&lt;55,"45-54","55+"))))</f>
        <v>25-34</v>
      </c>
      <c r="X1035" t="str">
        <f t="shared" si="16"/>
        <v>5,000-7,999</v>
      </c>
    </row>
    <row r="1036" spans="1:24" x14ac:dyDescent="0.3">
      <c r="A1036">
        <v>1460</v>
      </c>
      <c r="B1036">
        <v>45</v>
      </c>
      <c r="C1036" t="s">
        <v>36</v>
      </c>
      <c r="D1036" t="s">
        <v>23</v>
      </c>
      <c r="E1036" t="s">
        <v>38</v>
      </c>
      <c r="F1036">
        <v>20</v>
      </c>
      <c r="G1036" t="s">
        <v>50</v>
      </c>
      <c r="H1036" t="s">
        <v>48</v>
      </c>
      <c r="I1036" t="s">
        <v>27</v>
      </c>
      <c r="J1036" t="s">
        <v>40</v>
      </c>
      <c r="K1036" t="s">
        <v>34</v>
      </c>
      <c r="L1036" t="s">
        <v>53</v>
      </c>
      <c r="M1036" t="s">
        <v>34</v>
      </c>
      <c r="N1036" t="s">
        <v>51</v>
      </c>
      <c r="O1036">
        <v>10851</v>
      </c>
      <c r="P1036">
        <v>2</v>
      </c>
      <c r="Q1036" t="s">
        <v>22</v>
      </c>
      <c r="R1036">
        <v>18</v>
      </c>
      <c r="S1036" t="s">
        <v>33</v>
      </c>
      <c r="T1036" t="s">
        <v>27</v>
      </c>
      <c r="U1036">
        <v>2</v>
      </c>
      <c r="V1036" t="s">
        <v>44</v>
      </c>
      <c r="W1036" t="str">
        <f>IF(HR_Data[[#This Row],[age]]&lt;25,"Under 25",IF(HR_Data[[#This Row],[age]]&lt;35,"25-34",IF(HR_Data[[#This Row],[age]]&lt;45,"35-44",IF(HR_Data[[#This Row],[age]]&lt;55,"45-54","55+"))))</f>
        <v>45-54</v>
      </c>
      <c r="X1036" t="str">
        <f t="shared" si="16"/>
        <v>8,000+</v>
      </c>
    </row>
    <row r="1037" spans="1:24" x14ac:dyDescent="0.3">
      <c r="A1037">
        <v>1461</v>
      </c>
      <c r="B1037">
        <v>31</v>
      </c>
      <c r="C1037" t="s">
        <v>36</v>
      </c>
      <c r="D1037" t="s">
        <v>23</v>
      </c>
      <c r="E1037" t="s">
        <v>62</v>
      </c>
      <c r="F1037">
        <v>8</v>
      </c>
      <c r="G1037" t="s">
        <v>25</v>
      </c>
      <c r="H1037" t="s">
        <v>48</v>
      </c>
      <c r="I1037" t="s">
        <v>31</v>
      </c>
      <c r="J1037" t="s">
        <v>28</v>
      </c>
      <c r="K1037" t="s">
        <v>31</v>
      </c>
      <c r="L1037" t="s">
        <v>62</v>
      </c>
      <c r="M1037" t="s">
        <v>27</v>
      </c>
      <c r="N1037" t="s">
        <v>32</v>
      </c>
      <c r="O1037">
        <v>2109</v>
      </c>
      <c r="P1037">
        <v>9</v>
      </c>
      <c r="Q1037" t="s">
        <v>36</v>
      </c>
      <c r="R1037">
        <v>18</v>
      </c>
      <c r="S1037" t="s">
        <v>33</v>
      </c>
      <c r="T1037" t="s">
        <v>31</v>
      </c>
      <c r="U1037">
        <v>3</v>
      </c>
      <c r="V1037" t="s">
        <v>44</v>
      </c>
      <c r="W1037" t="str">
        <f>IF(HR_Data[[#This Row],[age]]&lt;25,"Under 25",IF(HR_Data[[#This Row],[age]]&lt;35,"25-34",IF(HR_Data[[#This Row],[age]]&lt;45,"35-44",IF(HR_Data[[#This Row],[age]]&lt;55,"45-54","55+"))))</f>
        <v>25-34</v>
      </c>
      <c r="X1037" t="str">
        <f t="shared" si="16"/>
        <v>Below 3,000</v>
      </c>
    </row>
    <row r="1038" spans="1:24" x14ac:dyDescent="0.3">
      <c r="A1038">
        <v>1464</v>
      </c>
      <c r="B1038">
        <v>31</v>
      </c>
      <c r="C1038" t="s">
        <v>22</v>
      </c>
      <c r="D1038" t="s">
        <v>37</v>
      </c>
      <c r="E1038" t="s">
        <v>38</v>
      </c>
      <c r="F1038">
        <v>2</v>
      </c>
      <c r="G1038" t="s">
        <v>50</v>
      </c>
      <c r="H1038" t="s">
        <v>26</v>
      </c>
      <c r="I1038" t="s">
        <v>27</v>
      </c>
      <c r="J1038" t="s">
        <v>40</v>
      </c>
      <c r="K1038" t="s">
        <v>29</v>
      </c>
      <c r="L1038" t="s">
        <v>46</v>
      </c>
      <c r="M1038" t="s">
        <v>31</v>
      </c>
      <c r="N1038" t="s">
        <v>42</v>
      </c>
      <c r="O1038">
        <v>3722</v>
      </c>
      <c r="P1038">
        <v>6</v>
      </c>
      <c r="Q1038" t="s">
        <v>22</v>
      </c>
      <c r="R1038">
        <v>13</v>
      </c>
      <c r="S1038" t="s">
        <v>33</v>
      </c>
      <c r="T1038" t="s">
        <v>29</v>
      </c>
      <c r="U1038">
        <v>2</v>
      </c>
      <c r="V1038" t="s">
        <v>35</v>
      </c>
      <c r="W1038" t="str">
        <f>IF(HR_Data[[#This Row],[age]]&lt;25,"Under 25",IF(HR_Data[[#This Row],[age]]&lt;35,"25-34",IF(HR_Data[[#This Row],[age]]&lt;45,"35-44",IF(HR_Data[[#This Row],[age]]&lt;55,"45-54","55+"))))</f>
        <v>25-34</v>
      </c>
      <c r="X1038" t="str">
        <f t="shared" si="16"/>
        <v>3,000-4,999</v>
      </c>
    </row>
    <row r="1039" spans="1:24" x14ac:dyDescent="0.3">
      <c r="A1039">
        <v>1465</v>
      </c>
      <c r="B1039">
        <v>45</v>
      </c>
      <c r="C1039" t="s">
        <v>36</v>
      </c>
      <c r="D1039" t="s">
        <v>23</v>
      </c>
      <c r="E1039" t="s">
        <v>38</v>
      </c>
      <c r="F1039">
        <v>29</v>
      </c>
      <c r="G1039" t="s">
        <v>50</v>
      </c>
      <c r="H1039" t="s">
        <v>60</v>
      </c>
      <c r="I1039" t="s">
        <v>27</v>
      </c>
      <c r="J1039" t="s">
        <v>40</v>
      </c>
      <c r="K1039" t="s">
        <v>29</v>
      </c>
      <c r="L1039" t="s">
        <v>52</v>
      </c>
      <c r="M1039" t="s">
        <v>31</v>
      </c>
      <c r="N1039" t="s">
        <v>42</v>
      </c>
      <c r="O1039">
        <v>9380</v>
      </c>
      <c r="P1039">
        <v>4</v>
      </c>
      <c r="Q1039" t="s">
        <v>22</v>
      </c>
      <c r="R1039">
        <v>18</v>
      </c>
      <c r="S1039" t="s">
        <v>33</v>
      </c>
      <c r="T1039" t="s">
        <v>31</v>
      </c>
      <c r="U1039">
        <v>4</v>
      </c>
      <c r="V1039" t="s">
        <v>59</v>
      </c>
      <c r="W1039" t="str">
        <f>IF(HR_Data[[#This Row],[age]]&lt;25,"Under 25",IF(HR_Data[[#This Row],[age]]&lt;35,"25-34",IF(HR_Data[[#This Row],[age]]&lt;45,"35-44",IF(HR_Data[[#This Row],[age]]&lt;55,"45-54","55+"))))</f>
        <v>45-54</v>
      </c>
      <c r="X1039" t="str">
        <f t="shared" si="16"/>
        <v>8,000+</v>
      </c>
    </row>
    <row r="1040" spans="1:24" x14ac:dyDescent="0.3">
      <c r="A1040">
        <v>1466</v>
      </c>
      <c r="B1040">
        <v>48</v>
      </c>
      <c r="C1040" t="s">
        <v>36</v>
      </c>
      <c r="D1040" t="s">
        <v>23</v>
      </c>
      <c r="E1040" t="s">
        <v>24</v>
      </c>
      <c r="F1040">
        <v>7</v>
      </c>
      <c r="G1040" t="s">
        <v>50</v>
      </c>
      <c r="H1040" t="s">
        <v>58</v>
      </c>
      <c r="I1040" t="s">
        <v>29</v>
      </c>
      <c r="J1040" t="s">
        <v>40</v>
      </c>
      <c r="K1040" t="s">
        <v>29</v>
      </c>
      <c r="L1040" t="s">
        <v>30</v>
      </c>
      <c r="M1040" t="s">
        <v>34</v>
      </c>
      <c r="N1040" t="s">
        <v>51</v>
      </c>
      <c r="O1040">
        <v>5486</v>
      </c>
      <c r="P1040">
        <v>4</v>
      </c>
      <c r="Q1040" t="s">
        <v>36</v>
      </c>
      <c r="R1040">
        <v>11</v>
      </c>
      <c r="S1040" t="s">
        <v>33</v>
      </c>
      <c r="T1040" t="s">
        <v>34</v>
      </c>
      <c r="U1040">
        <v>3</v>
      </c>
      <c r="V1040" t="s">
        <v>44</v>
      </c>
      <c r="W1040" t="str">
        <f>IF(HR_Data[[#This Row],[age]]&lt;25,"Under 25",IF(HR_Data[[#This Row],[age]]&lt;35,"25-34",IF(HR_Data[[#This Row],[age]]&lt;45,"35-44",IF(HR_Data[[#This Row],[age]]&lt;55,"45-54","55+"))))</f>
        <v>45-54</v>
      </c>
      <c r="X1040" t="str">
        <f t="shared" si="16"/>
        <v>5,000-7,999</v>
      </c>
    </row>
    <row r="1041" spans="1:24" x14ac:dyDescent="0.3">
      <c r="A1041">
        <v>1467</v>
      </c>
      <c r="B1041">
        <v>34</v>
      </c>
      <c r="C1041" t="s">
        <v>22</v>
      </c>
      <c r="D1041" t="s">
        <v>23</v>
      </c>
      <c r="E1041" t="s">
        <v>62</v>
      </c>
      <c r="F1041">
        <v>9</v>
      </c>
      <c r="G1041" t="s">
        <v>47</v>
      </c>
      <c r="H1041" t="s">
        <v>60</v>
      </c>
      <c r="I1041" t="s">
        <v>34</v>
      </c>
      <c r="J1041" t="s">
        <v>28</v>
      </c>
      <c r="K1041" t="s">
        <v>29</v>
      </c>
      <c r="L1041" t="s">
        <v>62</v>
      </c>
      <c r="M1041" t="s">
        <v>29</v>
      </c>
      <c r="N1041" t="s">
        <v>42</v>
      </c>
      <c r="O1041">
        <v>2742</v>
      </c>
      <c r="P1041">
        <v>1</v>
      </c>
      <c r="Q1041" t="s">
        <v>36</v>
      </c>
      <c r="R1041">
        <v>15</v>
      </c>
      <c r="S1041" t="s">
        <v>33</v>
      </c>
      <c r="T1041" t="s">
        <v>31</v>
      </c>
      <c r="U1041">
        <v>0</v>
      </c>
      <c r="V1041" t="s">
        <v>44</v>
      </c>
      <c r="W1041" t="str">
        <f>IF(HR_Data[[#This Row],[age]]&lt;25,"Under 25",IF(HR_Data[[#This Row],[age]]&lt;35,"25-34",IF(HR_Data[[#This Row],[age]]&lt;45,"35-44",IF(HR_Data[[#This Row],[age]]&lt;55,"45-54","55+"))))</f>
        <v>25-34</v>
      </c>
      <c r="X1041" t="str">
        <f t="shared" si="16"/>
        <v>Below 3,000</v>
      </c>
    </row>
    <row r="1042" spans="1:24" x14ac:dyDescent="0.3">
      <c r="A1042">
        <v>1468</v>
      </c>
      <c r="B1042">
        <v>40</v>
      </c>
      <c r="C1042" t="s">
        <v>36</v>
      </c>
      <c r="D1042" t="s">
        <v>54</v>
      </c>
      <c r="E1042" t="s">
        <v>38</v>
      </c>
      <c r="F1042">
        <v>8</v>
      </c>
      <c r="G1042" t="s">
        <v>39</v>
      </c>
      <c r="H1042" t="s">
        <v>48</v>
      </c>
      <c r="I1042" t="s">
        <v>31</v>
      </c>
      <c r="J1042" t="s">
        <v>40</v>
      </c>
      <c r="K1042" t="s">
        <v>27</v>
      </c>
      <c r="L1042" t="s">
        <v>57</v>
      </c>
      <c r="M1042" t="s">
        <v>27</v>
      </c>
      <c r="N1042" t="s">
        <v>51</v>
      </c>
      <c r="O1042">
        <v>13757</v>
      </c>
      <c r="P1042">
        <v>2</v>
      </c>
      <c r="Q1042" t="s">
        <v>36</v>
      </c>
      <c r="R1042">
        <v>11</v>
      </c>
      <c r="S1042" t="s">
        <v>33</v>
      </c>
      <c r="T1042" t="s">
        <v>29</v>
      </c>
      <c r="U1042">
        <v>5</v>
      </c>
      <c r="V1042" t="s">
        <v>44</v>
      </c>
      <c r="W1042" t="str">
        <f>IF(HR_Data[[#This Row],[age]]&lt;25,"Under 25",IF(HR_Data[[#This Row],[age]]&lt;35,"25-34",IF(HR_Data[[#This Row],[age]]&lt;45,"35-44",IF(HR_Data[[#This Row],[age]]&lt;55,"45-54","55+"))))</f>
        <v>35-44</v>
      </c>
      <c r="X1042" t="str">
        <f t="shared" si="16"/>
        <v>8,000+</v>
      </c>
    </row>
    <row r="1043" spans="1:24" x14ac:dyDescent="0.3">
      <c r="A1043">
        <v>1469</v>
      </c>
      <c r="B1043">
        <v>28</v>
      </c>
      <c r="C1043" t="s">
        <v>36</v>
      </c>
      <c r="D1043" t="s">
        <v>23</v>
      </c>
      <c r="E1043" t="s">
        <v>24</v>
      </c>
      <c r="F1043">
        <v>5</v>
      </c>
      <c r="G1043" t="s">
        <v>50</v>
      </c>
      <c r="H1043" t="s">
        <v>48</v>
      </c>
      <c r="I1043" t="s">
        <v>31</v>
      </c>
      <c r="J1043" t="s">
        <v>40</v>
      </c>
      <c r="K1043" t="s">
        <v>29</v>
      </c>
      <c r="L1043" t="s">
        <v>30</v>
      </c>
      <c r="M1043" t="s">
        <v>34</v>
      </c>
      <c r="N1043" t="s">
        <v>32</v>
      </c>
      <c r="O1043">
        <v>8463</v>
      </c>
      <c r="P1043">
        <v>0</v>
      </c>
      <c r="Q1043" t="s">
        <v>36</v>
      </c>
      <c r="R1043">
        <v>18</v>
      </c>
      <c r="S1043" t="s">
        <v>33</v>
      </c>
      <c r="T1043" t="s">
        <v>31</v>
      </c>
      <c r="U1043">
        <v>4</v>
      </c>
      <c r="V1043" t="s">
        <v>44</v>
      </c>
      <c r="W1043" t="str">
        <f>IF(HR_Data[[#This Row],[age]]&lt;25,"Under 25",IF(HR_Data[[#This Row],[age]]&lt;35,"25-34",IF(HR_Data[[#This Row],[age]]&lt;45,"35-44",IF(HR_Data[[#This Row],[age]]&lt;55,"45-54","55+"))))</f>
        <v>25-34</v>
      </c>
      <c r="X1043" t="str">
        <f t="shared" si="16"/>
        <v>8,000+</v>
      </c>
    </row>
    <row r="1044" spans="1:24" x14ac:dyDescent="0.3">
      <c r="A1044">
        <v>1471</v>
      </c>
      <c r="B1044">
        <v>44</v>
      </c>
      <c r="C1044" t="s">
        <v>36</v>
      </c>
      <c r="D1044" t="s">
        <v>54</v>
      </c>
      <c r="E1044" t="s">
        <v>38</v>
      </c>
      <c r="F1044">
        <v>5</v>
      </c>
      <c r="G1044" t="s">
        <v>50</v>
      </c>
      <c r="H1044" t="s">
        <v>26</v>
      </c>
      <c r="I1044" t="s">
        <v>29</v>
      </c>
      <c r="J1044" t="s">
        <v>40</v>
      </c>
      <c r="K1044" t="s">
        <v>27</v>
      </c>
      <c r="L1044" t="s">
        <v>46</v>
      </c>
      <c r="M1044" t="s">
        <v>29</v>
      </c>
      <c r="N1044" t="s">
        <v>32</v>
      </c>
      <c r="O1044">
        <v>3162</v>
      </c>
      <c r="P1044">
        <v>3</v>
      </c>
      <c r="Q1044" t="s">
        <v>36</v>
      </c>
      <c r="R1044">
        <v>14</v>
      </c>
      <c r="S1044" t="s">
        <v>33</v>
      </c>
      <c r="T1044" t="s">
        <v>31</v>
      </c>
      <c r="U1044">
        <v>5</v>
      </c>
      <c r="V1044" t="s">
        <v>44</v>
      </c>
      <c r="W1044" t="str">
        <f>IF(HR_Data[[#This Row],[age]]&lt;25,"Under 25",IF(HR_Data[[#This Row],[age]]&lt;35,"25-34",IF(HR_Data[[#This Row],[age]]&lt;45,"35-44",IF(HR_Data[[#This Row],[age]]&lt;55,"45-54","55+"))))</f>
        <v>35-44</v>
      </c>
      <c r="X1044" t="str">
        <f t="shared" si="16"/>
        <v>3,000-4,999</v>
      </c>
    </row>
    <row r="1045" spans="1:24" x14ac:dyDescent="0.3">
      <c r="A1045">
        <v>1472</v>
      </c>
      <c r="B1045">
        <v>53</v>
      </c>
      <c r="C1045" t="s">
        <v>36</v>
      </c>
      <c r="D1045" t="s">
        <v>23</v>
      </c>
      <c r="E1045" t="s">
        <v>38</v>
      </c>
      <c r="F1045">
        <v>2</v>
      </c>
      <c r="G1045" t="s">
        <v>50</v>
      </c>
      <c r="H1045" t="s">
        <v>48</v>
      </c>
      <c r="I1045" t="s">
        <v>31</v>
      </c>
      <c r="J1045" t="s">
        <v>40</v>
      </c>
      <c r="K1045" t="s">
        <v>31</v>
      </c>
      <c r="L1045" t="s">
        <v>57</v>
      </c>
      <c r="M1045" t="s">
        <v>27</v>
      </c>
      <c r="N1045" t="s">
        <v>32</v>
      </c>
      <c r="O1045">
        <v>16598</v>
      </c>
      <c r="P1045">
        <v>4</v>
      </c>
      <c r="Q1045" t="s">
        <v>36</v>
      </c>
      <c r="R1045">
        <v>12</v>
      </c>
      <c r="S1045" t="s">
        <v>33</v>
      </c>
      <c r="T1045" t="s">
        <v>27</v>
      </c>
      <c r="U1045">
        <v>2</v>
      </c>
      <c r="V1045" t="s">
        <v>49</v>
      </c>
      <c r="W1045" t="str">
        <f>IF(HR_Data[[#This Row],[age]]&lt;25,"Under 25",IF(HR_Data[[#This Row],[age]]&lt;35,"25-34",IF(HR_Data[[#This Row],[age]]&lt;45,"35-44",IF(HR_Data[[#This Row],[age]]&lt;55,"45-54","55+"))))</f>
        <v>45-54</v>
      </c>
      <c r="X1045" t="str">
        <f t="shared" si="16"/>
        <v>8,000+</v>
      </c>
    </row>
    <row r="1046" spans="1:24" x14ac:dyDescent="0.3">
      <c r="A1046">
        <v>1473</v>
      </c>
      <c r="B1046">
        <v>49</v>
      </c>
      <c r="C1046" t="s">
        <v>36</v>
      </c>
      <c r="D1046" t="s">
        <v>23</v>
      </c>
      <c r="E1046" t="s">
        <v>38</v>
      </c>
      <c r="F1046">
        <v>5</v>
      </c>
      <c r="G1046" t="s">
        <v>47</v>
      </c>
      <c r="H1046" t="s">
        <v>60</v>
      </c>
      <c r="I1046" t="s">
        <v>34</v>
      </c>
      <c r="J1046" t="s">
        <v>40</v>
      </c>
      <c r="K1046" t="s">
        <v>29</v>
      </c>
      <c r="L1046" t="s">
        <v>53</v>
      </c>
      <c r="M1046" t="s">
        <v>29</v>
      </c>
      <c r="N1046" t="s">
        <v>42</v>
      </c>
      <c r="O1046">
        <v>6651</v>
      </c>
      <c r="P1046">
        <v>2</v>
      </c>
      <c r="Q1046" t="s">
        <v>36</v>
      </c>
      <c r="R1046">
        <v>14</v>
      </c>
      <c r="S1046" t="s">
        <v>33</v>
      </c>
      <c r="T1046" t="s">
        <v>27</v>
      </c>
      <c r="U1046">
        <v>0</v>
      </c>
      <c r="V1046" t="s">
        <v>49</v>
      </c>
      <c r="W1046" t="str">
        <f>IF(HR_Data[[#This Row],[age]]&lt;25,"Under 25",IF(HR_Data[[#This Row],[age]]&lt;35,"25-34",IF(HR_Data[[#This Row],[age]]&lt;45,"35-44",IF(HR_Data[[#This Row],[age]]&lt;55,"45-54","55+"))))</f>
        <v>45-54</v>
      </c>
      <c r="X1046" t="str">
        <f t="shared" si="16"/>
        <v>5,000-7,999</v>
      </c>
    </row>
    <row r="1047" spans="1:24" x14ac:dyDescent="0.3">
      <c r="A1047">
        <v>1474</v>
      </c>
      <c r="B1047">
        <v>40</v>
      </c>
      <c r="C1047" t="s">
        <v>36</v>
      </c>
      <c r="D1047" t="s">
        <v>23</v>
      </c>
      <c r="E1047" t="s">
        <v>38</v>
      </c>
      <c r="F1047">
        <v>2</v>
      </c>
      <c r="G1047" t="s">
        <v>50</v>
      </c>
      <c r="H1047" t="s">
        <v>48</v>
      </c>
      <c r="I1047" t="s">
        <v>29</v>
      </c>
      <c r="J1047" t="s">
        <v>40</v>
      </c>
      <c r="K1047" t="s">
        <v>29</v>
      </c>
      <c r="L1047" t="s">
        <v>41</v>
      </c>
      <c r="M1047" t="s">
        <v>29</v>
      </c>
      <c r="N1047" t="s">
        <v>51</v>
      </c>
      <c r="O1047">
        <v>2345</v>
      </c>
      <c r="P1047">
        <v>2</v>
      </c>
      <c r="Q1047" t="s">
        <v>36</v>
      </c>
      <c r="R1047">
        <v>14</v>
      </c>
      <c r="S1047" t="s">
        <v>33</v>
      </c>
      <c r="T1047" t="s">
        <v>29</v>
      </c>
      <c r="U1047">
        <v>3</v>
      </c>
      <c r="V1047" t="s">
        <v>59</v>
      </c>
      <c r="W1047" t="str">
        <f>IF(HR_Data[[#This Row],[age]]&lt;25,"Under 25",IF(HR_Data[[#This Row],[age]]&lt;35,"25-34",IF(HR_Data[[#This Row],[age]]&lt;45,"35-44",IF(HR_Data[[#This Row],[age]]&lt;55,"45-54","55+"))))</f>
        <v>35-44</v>
      </c>
      <c r="X1047" t="str">
        <f t="shared" si="16"/>
        <v>Below 3,000</v>
      </c>
    </row>
    <row r="1048" spans="1:24" x14ac:dyDescent="0.3">
      <c r="A1048">
        <v>1475</v>
      </c>
      <c r="B1048">
        <v>44</v>
      </c>
      <c r="C1048" t="s">
        <v>36</v>
      </c>
      <c r="D1048" t="s">
        <v>23</v>
      </c>
      <c r="E1048" t="s">
        <v>38</v>
      </c>
      <c r="F1048">
        <v>20</v>
      </c>
      <c r="G1048" t="s">
        <v>50</v>
      </c>
      <c r="H1048" t="s">
        <v>26</v>
      </c>
      <c r="I1048" t="s">
        <v>31</v>
      </c>
      <c r="J1048" t="s">
        <v>40</v>
      </c>
      <c r="K1048" t="s">
        <v>29</v>
      </c>
      <c r="L1048" t="s">
        <v>41</v>
      </c>
      <c r="M1048" t="s">
        <v>27</v>
      </c>
      <c r="N1048" t="s">
        <v>32</v>
      </c>
      <c r="O1048">
        <v>3420</v>
      </c>
      <c r="P1048">
        <v>1</v>
      </c>
      <c r="Q1048" t="s">
        <v>36</v>
      </c>
      <c r="R1048">
        <v>13</v>
      </c>
      <c r="S1048" t="s">
        <v>33</v>
      </c>
      <c r="T1048" t="s">
        <v>29</v>
      </c>
      <c r="U1048">
        <v>3</v>
      </c>
      <c r="V1048" t="s">
        <v>49</v>
      </c>
      <c r="W1048" t="str">
        <f>IF(HR_Data[[#This Row],[age]]&lt;25,"Under 25",IF(HR_Data[[#This Row],[age]]&lt;35,"25-34",IF(HR_Data[[#This Row],[age]]&lt;45,"35-44",IF(HR_Data[[#This Row],[age]]&lt;55,"45-54","55+"))))</f>
        <v>35-44</v>
      </c>
      <c r="X1048" t="str">
        <f t="shared" si="16"/>
        <v>3,000-4,999</v>
      </c>
    </row>
    <row r="1049" spans="1:24" x14ac:dyDescent="0.3">
      <c r="A1049">
        <v>1477</v>
      </c>
      <c r="B1049">
        <v>33</v>
      </c>
      <c r="C1049" t="s">
        <v>36</v>
      </c>
      <c r="D1049" t="s">
        <v>37</v>
      </c>
      <c r="E1049" t="s">
        <v>24</v>
      </c>
      <c r="F1049">
        <v>7</v>
      </c>
      <c r="G1049" t="s">
        <v>50</v>
      </c>
      <c r="H1049" t="s">
        <v>48</v>
      </c>
      <c r="I1049" t="s">
        <v>31</v>
      </c>
      <c r="J1049" t="s">
        <v>40</v>
      </c>
      <c r="K1049" t="s">
        <v>29</v>
      </c>
      <c r="L1049" t="s">
        <v>30</v>
      </c>
      <c r="M1049" t="s">
        <v>34</v>
      </c>
      <c r="N1049" t="s">
        <v>42</v>
      </c>
      <c r="O1049">
        <v>4373</v>
      </c>
      <c r="P1049">
        <v>0</v>
      </c>
      <c r="Q1049" t="s">
        <v>36</v>
      </c>
      <c r="R1049">
        <v>14</v>
      </c>
      <c r="S1049" t="s">
        <v>33</v>
      </c>
      <c r="T1049" t="s">
        <v>34</v>
      </c>
      <c r="U1049">
        <v>2</v>
      </c>
      <c r="V1049" t="s">
        <v>44</v>
      </c>
      <c r="W1049" t="str">
        <f>IF(HR_Data[[#This Row],[age]]&lt;25,"Under 25",IF(HR_Data[[#This Row],[age]]&lt;35,"25-34",IF(HR_Data[[#This Row],[age]]&lt;45,"35-44",IF(HR_Data[[#This Row],[age]]&lt;55,"45-54","55+"))))</f>
        <v>25-34</v>
      </c>
      <c r="X1049" t="str">
        <f t="shared" si="16"/>
        <v>3,000-4,999</v>
      </c>
    </row>
    <row r="1050" spans="1:24" x14ac:dyDescent="0.3">
      <c r="A1050">
        <v>1478</v>
      </c>
      <c r="B1050">
        <v>34</v>
      </c>
      <c r="C1050" t="s">
        <v>36</v>
      </c>
      <c r="D1050" t="s">
        <v>23</v>
      </c>
      <c r="E1050" t="s">
        <v>24</v>
      </c>
      <c r="F1050">
        <v>3</v>
      </c>
      <c r="G1050" t="s">
        <v>50</v>
      </c>
      <c r="H1050" t="s">
        <v>45</v>
      </c>
      <c r="I1050" t="s">
        <v>31</v>
      </c>
      <c r="J1050" t="s">
        <v>40</v>
      </c>
      <c r="K1050" t="s">
        <v>34</v>
      </c>
      <c r="L1050" t="s">
        <v>30</v>
      </c>
      <c r="M1050" t="s">
        <v>34</v>
      </c>
      <c r="N1050" t="s">
        <v>32</v>
      </c>
      <c r="O1050">
        <v>4759</v>
      </c>
      <c r="P1050">
        <v>3</v>
      </c>
      <c r="Q1050" t="s">
        <v>36</v>
      </c>
      <c r="R1050">
        <v>18</v>
      </c>
      <c r="S1050" t="s">
        <v>33</v>
      </c>
      <c r="T1050" t="s">
        <v>31</v>
      </c>
      <c r="U1050">
        <v>2</v>
      </c>
      <c r="V1050" t="s">
        <v>44</v>
      </c>
      <c r="W1050" t="str">
        <f>IF(HR_Data[[#This Row],[age]]&lt;25,"Under 25",IF(HR_Data[[#This Row],[age]]&lt;35,"25-34",IF(HR_Data[[#This Row],[age]]&lt;45,"35-44",IF(HR_Data[[#This Row],[age]]&lt;55,"45-54","55+"))))</f>
        <v>25-34</v>
      </c>
      <c r="X1050" t="str">
        <f t="shared" si="16"/>
        <v>3,000-4,999</v>
      </c>
    </row>
    <row r="1051" spans="1:24" x14ac:dyDescent="0.3">
      <c r="A1051">
        <v>1479</v>
      </c>
      <c r="B1051">
        <v>30</v>
      </c>
      <c r="C1051" t="s">
        <v>36</v>
      </c>
      <c r="D1051" t="s">
        <v>23</v>
      </c>
      <c r="E1051" t="s">
        <v>24</v>
      </c>
      <c r="F1051">
        <v>16</v>
      </c>
      <c r="G1051" t="s">
        <v>39</v>
      </c>
      <c r="H1051" t="s">
        <v>26</v>
      </c>
      <c r="I1051" t="s">
        <v>31</v>
      </c>
      <c r="J1051" t="s">
        <v>40</v>
      </c>
      <c r="K1051" t="s">
        <v>29</v>
      </c>
      <c r="L1051" t="s">
        <v>30</v>
      </c>
      <c r="M1051" t="s">
        <v>29</v>
      </c>
      <c r="N1051" t="s">
        <v>42</v>
      </c>
      <c r="O1051">
        <v>5301</v>
      </c>
      <c r="P1051">
        <v>8</v>
      </c>
      <c r="Q1051" t="s">
        <v>36</v>
      </c>
      <c r="R1051">
        <v>15</v>
      </c>
      <c r="S1051" t="s">
        <v>33</v>
      </c>
      <c r="T1051" t="s">
        <v>29</v>
      </c>
      <c r="U1051">
        <v>2</v>
      </c>
      <c r="V1051" t="s">
        <v>49</v>
      </c>
      <c r="W1051" t="str">
        <f>IF(HR_Data[[#This Row],[age]]&lt;25,"Under 25",IF(HR_Data[[#This Row],[age]]&lt;35,"25-34",IF(HR_Data[[#This Row],[age]]&lt;45,"35-44",IF(HR_Data[[#This Row],[age]]&lt;55,"45-54","55+"))))</f>
        <v>25-34</v>
      </c>
      <c r="X1051" t="str">
        <f t="shared" si="16"/>
        <v>5,000-7,999</v>
      </c>
    </row>
    <row r="1052" spans="1:24" x14ac:dyDescent="0.3">
      <c r="A1052">
        <v>1480</v>
      </c>
      <c r="B1052">
        <v>42</v>
      </c>
      <c r="C1052" t="s">
        <v>36</v>
      </c>
      <c r="D1052" t="s">
        <v>37</v>
      </c>
      <c r="E1052" t="s">
        <v>38</v>
      </c>
      <c r="F1052">
        <v>9</v>
      </c>
      <c r="G1052" t="s">
        <v>25</v>
      </c>
      <c r="H1052" t="s">
        <v>48</v>
      </c>
      <c r="I1052" t="s">
        <v>34</v>
      </c>
      <c r="J1052" t="s">
        <v>28</v>
      </c>
      <c r="K1052" t="s">
        <v>29</v>
      </c>
      <c r="L1052" t="s">
        <v>46</v>
      </c>
      <c r="M1052" t="s">
        <v>31</v>
      </c>
      <c r="N1052" t="s">
        <v>32</v>
      </c>
      <c r="O1052">
        <v>3673</v>
      </c>
      <c r="P1052">
        <v>1</v>
      </c>
      <c r="Q1052" t="s">
        <v>36</v>
      </c>
      <c r="R1052">
        <v>13</v>
      </c>
      <c r="S1052" t="s">
        <v>33</v>
      </c>
      <c r="T1052" t="s">
        <v>29</v>
      </c>
      <c r="U1052">
        <v>3</v>
      </c>
      <c r="V1052" t="s">
        <v>44</v>
      </c>
      <c r="W1052" t="str">
        <f>IF(HR_Data[[#This Row],[age]]&lt;25,"Under 25",IF(HR_Data[[#This Row],[age]]&lt;35,"25-34",IF(HR_Data[[#This Row],[age]]&lt;45,"35-44",IF(HR_Data[[#This Row],[age]]&lt;55,"45-54","55+"))))</f>
        <v>35-44</v>
      </c>
      <c r="X1052" t="str">
        <f t="shared" si="16"/>
        <v>3,000-4,999</v>
      </c>
    </row>
    <row r="1053" spans="1:24" x14ac:dyDescent="0.3">
      <c r="A1053">
        <v>1481</v>
      </c>
      <c r="B1053">
        <v>44</v>
      </c>
      <c r="C1053" t="s">
        <v>36</v>
      </c>
      <c r="D1053" t="s">
        <v>37</v>
      </c>
      <c r="E1053" t="s">
        <v>24</v>
      </c>
      <c r="F1053">
        <v>1</v>
      </c>
      <c r="G1053" t="s">
        <v>61</v>
      </c>
      <c r="H1053" t="s">
        <v>58</v>
      </c>
      <c r="I1053" t="s">
        <v>34</v>
      </c>
      <c r="J1053" t="s">
        <v>28</v>
      </c>
      <c r="K1053" t="s">
        <v>29</v>
      </c>
      <c r="L1053" t="s">
        <v>30</v>
      </c>
      <c r="M1053" t="s">
        <v>29</v>
      </c>
      <c r="N1053" t="s">
        <v>42</v>
      </c>
      <c r="O1053">
        <v>4768</v>
      </c>
      <c r="P1053">
        <v>7</v>
      </c>
      <c r="Q1053" t="s">
        <v>36</v>
      </c>
      <c r="R1053">
        <v>12</v>
      </c>
      <c r="S1053" t="s">
        <v>33</v>
      </c>
      <c r="T1053" t="s">
        <v>29</v>
      </c>
      <c r="U1053">
        <v>4</v>
      </c>
      <c r="V1053" t="s">
        <v>49</v>
      </c>
      <c r="W1053" t="str">
        <f>IF(HR_Data[[#This Row],[age]]&lt;25,"Under 25",IF(HR_Data[[#This Row],[age]]&lt;35,"25-34",IF(HR_Data[[#This Row],[age]]&lt;45,"35-44",IF(HR_Data[[#This Row],[age]]&lt;55,"45-54","55+"))))</f>
        <v>35-44</v>
      </c>
      <c r="X1053" t="str">
        <f t="shared" si="16"/>
        <v>3,000-4,999</v>
      </c>
    </row>
    <row r="1054" spans="1:24" x14ac:dyDescent="0.3">
      <c r="A1054">
        <v>1482</v>
      </c>
      <c r="B1054">
        <v>30</v>
      </c>
      <c r="C1054" t="s">
        <v>36</v>
      </c>
      <c r="D1054" t="s">
        <v>54</v>
      </c>
      <c r="E1054" t="s">
        <v>38</v>
      </c>
      <c r="F1054">
        <v>7</v>
      </c>
      <c r="G1054" t="s">
        <v>50</v>
      </c>
      <c r="H1054" t="s">
        <v>60</v>
      </c>
      <c r="I1054" t="s">
        <v>29</v>
      </c>
      <c r="J1054" t="s">
        <v>40</v>
      </c>
      <c r="K1054" t="s">
        <v>29</v>
      </c>
      <c r="L1054" t="s">
        <v>41</v>
      </c>
      <c r="M1054" t="s">
        <v>29</v>
      </c>
      <c r="N1054" t="s">
        <v>51</v>
      </c>
      <c r="O1054">
        <v>1274</v>
      </c>
      <c r="P1054">
        <v>1</v>
      </c>
      <c r="Q1054" t="s">
        <v>36</v>
      </c>
      <c r="R1054">
        <v>13</v>
      </c>
      <c r="S1054" t="s">
        <v>33</v>
      </c>
      <c r="T1054" t="s">
        <v>27</v>
      </c>
      <c r="U1054">
        <v>2</v>
      </c>
      <c r="V1054" t="s">
        <v>49</v>
      </c>
      <c r="W1054" t="str">
        <f>IF(HR_Data[[#This Row],[age]]&lt;25,"Under 25",IF(HR_Data[[#This Row],[age]]&lt;35,"25-34",IF(HR_Data[[#This Row],[age]]&lt;45,"35-44",IF(HR_Data[[#This Row],[age]]&lt;55,"45-54","55+"))))</f>
        <v>25-34</v>
      </c>
      <c r="X1054" t="str">
        <f t="shared" si="16"/>
        <v>Below 3,000</v>
      </c>
    </row>
    <row r="1055" spans="1:24" x14ac:dyDescent="0.3">
      <c r="A1055">
        <v>1483</v>
      </c>
      <c r="B1055">
        <v>57</v>
      </c>
      <c r="C1055" t="s">
        <v>36</v>
      </c>
      <c r="D1055" t="s">
        <v>23</v>
      </c>
      <c r="E1055" t="s">
        <v>38</v>
      </c>
      <c r="F1055">
        <v>1</v>
      </c>
      <c r="G1055" t="s">
        <v>25</v>
      </c>
      <c r="H1055" t="s">
        <v>26</v>
      </c>
      <c r="I1055" t="s">
        <v>27</v>
      </c>
      <c r="J1055" t="s">
        <v>40</v>
      </c>
      <c r="K1055" t="s">
        <v>31</v>
      </c>
      <c r="L1055" t="s">
        <v>41</v>
      </c>
      <c r="M1055" t="s">
        <v>29</v>
      </c>
      <c r="N1055" t="s">
        <v>42</v>
      </c>
      <c r="O1055">
        <v>4900</v>
      </c>
      <c r="P1055">
        <v>0</v>
      </c>
      <c r="Q1055" t="s">
        <v>36</v>
      </c>
      <c r="R1055">
        <v>24</v>
      </c>
      <c r="S1055" t="s">
        <v>43</v>
      </c>
      <c r="T1055" t="s">
        <v>34</v>
      </c>
      <c r="U1055">
        <v>2</v>
      </c>
      <c r="V1055" t="s">
        <v>49</v>
      </c>
      <c r="W1055" t="str">
        <f>IF(HR_Data[[#This Row],[age]]&lt;25,"Under 25",IF(HR_Data[[#This Row],[age]]&lt;35,"25-34",IF(HR_Data[[#This Row],[age]]&lt;45,"35-44",IF(HR_Data[[#This Row],[age]]&lt;55,"45-54","55+"))))</f>
        <v>55+</v>
      </c>
      <c r="X1055" t="str">
        <f t="shared" si="16"/>
        <v>3,000-4,999</v>
      </c>
    </row>
    <row r="1056" spans="1:24" x14ac:dyDescent="0.3">
      <c r="A1056">
        <v>1484</v>
      </c>
      <c r="B1056">
        <v>49</v>
      </c>
      <c r="C1056" t="s">
        <v>36</v>
      </c>
      <c r="D1056" t="s">
        <v>23</v>
      </c>
      <c r="E1056" t="s">
        <v>38</v>
      </c>
      <c r="F1056">
        <v>7</v>
      </c>
      <c r="G1056" t="s">
        <v>47</v>
      </c>
      <c r="H1056" t="s">
        <v>26</v>
      </c>
      <c r="I1056" t="s">
        <v>29</v>
      </c>
      <c r="J1056" t="s">
        <v>40</v>
      </c>
      <c r="K1056" t="s">
        <v>29</v>
      </c>
      <c r="L1056" t="s">
        <v>53</v>
      </c>
      <c r="M1056" t="s">
        <v>27</v>
      </c>
      <c r="N1056" t="s">
        <v>51</v>
      </c>
      <c r="O1056">
        <v>10466</v>
      </c>
      <c r="P1056">
        <v>3</v>
      </c>
      <c r="Q1056" t="s">
        <v>36</v>
      </c>
      <c r="R1056">
        <v>14</v>
      </c>
      <c r="S1056" t="s">
        <v>33</v>
      </c>
      <c r="T1056" t="s">
        <v>27</v>
      </c>
      <c r="U1056">
        <v>3</v>
      </c>
      <c r="V1056" t="s">
        <v>44</v>
      </c>
      <c r="W1056" t="str">
        <f>IF(HR_Data[[#This Row],[age]]&lt;25,"Under 25",IF(HR_Data[[#This Row],[age]]&lt;35,"25-34",IF(HR_Data[[#This Row],[age]]&lt;45,"35-44",IF(HR_Data[[#This Row],[age]]&lt;55,"45-54","55+"))))</f>
        <v>45-54</v>
      </c>
      <c r="X1056" t="str">
        <f t="shared" si="16"/>
        <v>8,000+</v>
      </c>
    </row>
    <row r="1057" spans="1:24" x14ac:dyDescent="0.3">
      <c r="A1057">
        <v>1485</v>
      </c>
      <c r="B1057">
        <v>34</v>
      </c>
      <c r="C1057" t="s">
        <v>36</v>
      </c>
      <c r="D1057" t="s">
        <v>37</v>
      </c>
      <c r="E1057" t="s">
        <v>38</v>
      </c>
      <c r="F1057">
        <v>15</v>
      </c>
      <c r="G1057" t="s">
        <v>50</v>
      </c>
      <c r="H1057" t="s">
        <v>48</v>
      </c>
      <c r="I1057" t="s">
        <v>27</v>
      </c>
      <c r="J1057" t="s">
        <v>40</v>
      </c>
      <c r="K1057" t="s">
        <v>29</v>
      </c>
      <c r="L1057" t="s">
        <v>57</v>
      </c>
      <c r="M1057" t="s">
        <v>34</v>
      </c>
      <c r="N1057" t="s">
        <v>51</v>
      </c>
      <c r="O1057">
        <v>17007</v>
      </c>
      <c r="P1057">
        <v>7</v>
      </c>
      <c r="Q1057" t="s">
        <v>36</v>
      </c>
      <c r="R1057">
        <v>14</v>
      </c>
      <c r="S1057" t="s">
        <v>33</v>
      </c>
      <c r="T1057" t="s">
        <v>31</v>
      </c>
      <c r="U1057">
        <v>3</v>
      </c>
      <c r="V1057" t="s">
        <v>49</v>
      </c>
      <c r="W1057" t="str">
        <f>IF(HR_Data[[#This Row],[age]]&lt;25,"Under 25",IF(HR_Data[[#This Row],[age]]&lt;35,"25-34",IF(HR_Data[[#This Row],[age]]&lt;45,"35-44",IF(HR_Data[[#This Row],[age]]&lt;55,"45-54","55+"))))</f>
        <v>25-34</v>
      </c>
      <c r="X1057" t="str">
        <f t="shared" si="16"/>
        <v>8,000+</v>
      </c>
    </row>
    <row r="1058" spans="1:24" x14ac:dyDescent="0.3">
      <c r="A1058">
        <v>1486</v>
      </c>
      <c r="B1058">
        <v>28</v>
      </c>
      <c r="C1058" t="s">
        <v>22</v>
      </c>
      <c r="D1058" t="s">
        <v>37</v>
      </c>
      <c r="E1058" t="s">
        <v>24</v>
      </c>
      <c r="F1058">
        <v>1</v>
      </c>
      <c r="G1058" t="s">
        <v>50</v>
      </c>
      <c r="H1058" t="s">
        <v>60</v>
      </c>
      <c r="I1058" t="s">
        <v>34</v>
      </c>
      <c r="J1058" t="s">
        <v>40</v>
      </c>
      <c r="K1058" t="s">
        <v>29</v>
      </c>
      <c r="L1058" t="s">
        <v>56</v>
      </c>
      <c r="M1058" t="s">
        <v>29</v>
      </c>
      <c r="N1058" t="s">
        <v>42</v>
      </c>
      <c r="O1058">
        <v>2909</v>
      </c>
      <c r="P1058">
        <v>3</v>
      </c>
      <c r="Q1058" t="s">
        <v>36</v>
      </c>
      <c r="R1058">
        <v>15</v>
      </c>
      <c r="S1058" t="s">
        <v>33</v>
      </c>
      <c r="T1058" t="s">
        <v>31</v>
      </c>
      <c r="U1058">
        <v>3</v>
      </c>
      <c r="V1058" t="s">
        <v>59</v>
      </c>
      <c r="W1058" t="str">
        <f>IF(HR_Data[[#This Row],[age]]&lt;25,"Under 25",IF(HR_Data[[#This Row],[age]]&lt;35,"25-34",IF(HR_Data[[#This Row],[age]]&lt;45,"35-44",IF(HR_Data[[#This Row],[age]]&lt;55,"45-54","55+"))))</f>
        <v>25-34</v>
      </c>
      <c r="X1058" t="str">
        <f t="shared" si="16"/>
        <v>Below 3,000</v>
      </c>
    </row>
    <row r="1059" spans="1:24" x14ac:dyDescent="0.3">
      <c r="A1059">
        <v>1487</v>
      </c>
      <c r="B1059">
        <v>29</v>
      </c>
      <c r="C1059" t="s">
        <v>22</v>
      </c>
      <c r="D1059" t="s">
        <v>37</v>
      </c>
      <c r="E1059" t="s">
        <v>24</v>
      </c>
      <c r="F1059">
        <v>13</v>
      </c>
      <c r="G1059" t="s">
        <v>50</v>
      </c>
      <c r="H1059" t="s">
        <v>60</v>
      </c>
      <c r="I1059" t="s">
        <v>34</v>
      </c>
      <c r="J1059" t="s">
        <v>28</v>
      </c>
      <c r="K1059" t="s">
        <v>29</v>
      </c>
      <c r="L1059" t="s">
        <v>30</v>
      </c>
      <c r="M1059" t="s">
        <v>27</v>
      </c>
      <c r="N1059" t="s">
        <v>32</v>
      </c>
      <c r="O1059">
        <v>5765</v>
      </c>
      <c r="P1059">
        <v>5</v>
      </c>
      <c r="Q1059" t="s">
        <v>36</v>
      </c>
      <c r="R1059">
        <v>11</v>
      </c>
      <c r="S1059" t="s">
        <v>33</v>
      </c>
      <c r="T1059" t="s">
        <v>34</v>
      </c>
      <c r="U1059">
        <v>4</v>
      </c>
      <c r="V1059" t="s">
        <v>35</v>
      </c>
      <c r="W1059" t="str">
        <f>IF(HR_Data[[#This Row],[age]]&lt;25,"Under 25",IF(HR_Data[[#This Row],[age]]&lt;35,"25-34",IF(HR_Data[[#This Row],[age]]&lt;45,"35-44",IF(HR_Data[[#This Row],[age]]&lt;55,"45-54","55+"))))</f>
        <v>25-34</v>
      </c>
      <c r="X1059" t="str">
        <f t="shared" si="16"/>
        <v>5,000-7,999</v>
      </c>
    </row>
    <row r="1060" spans="1:24" x14ac:dyDescent="0.3">
      <c r="A1060">
        <v>1489</v>
      </c>
      <c r="B1060">
        <v>34</v>
      </c>
      <c r="C1060" t="s">
        <v>22</v>
      </c>
      <c r="D1060" t="s">
        <v>23</v>
      </c>
      <c r="E1060" t="s">
        <v>24</v>
      </c>
      <c r="F1060">
        <v>24</v>
      </c>
      <c r="G1060" t="s">
        <v>47</v>
      </c>
      <c r="H1060" t="s">
        <v>48</v>
      </c>
      <c r="I1060" t="s">
        <v>34</v>
      </c>
      <c r="J1060" t="s">
        <v>28</v>
      </c>
      <c r="K1060" t="s">
        <v>27</v>
      </c>
      <c r="L1060" t="s">
        <v>30</v>
      </c>
      <c r="M1060" t="s">
        <v>27</v>
      </c>
      <c r="N1060" t="s">
        <v>32</v>
      </c>
      <c r="O1060">
        <v>4599</v>
      </c>
      <c r="P1060">
        <v>0</v>
      </c>
      <c r="Q1060" t="s">
        <v>22</v>
      </c>
      <c r="R1060">
        <v>23</v>
      </c>
      <c r="S1060" t="s">
        <v>43</v>
      </c>
      <c r="T1060" t="s">
        <v>29</v>
      </c>
      <c r="U1060">
        <v>2</v>
      </c>
      <c r="V1060" t="s">
        <v>59</v>
      </c>
      <c r="W1060" t="str">
        <f>IF(HR_Data[[#This Row],[age]]&lt;25,"Under 25",IF(HR_Data[[#This Row],[age]]&lt;35,"25-34",IF(HR_Data[[#This Row],[age]]&lt;45,"35-44",IF(HR_Data[[#This Row],[age]]&lt;55,"45-54","55+"))))</f>
        <v>25-34</v>
      </c>
      <c r="X1060" t="str">
        <f t="shared" si="16"/>
        <v>3,000-4,999</v>
      </c>
    </row>
    <row r="1061" spans="1:24" x14ac:dyDescent="0.3">
      <c r="A1061">
        <v>1492</v>
      </c>
      <c r="B1061">
        <v>35</v>
      </c>
      <c r="C1061" t="s">
        <v>36</v>
      </c>
      <c r="D1061" t="s">
        <v>23</v>
      </c>
      <c r="E1061" t="s">
        <v>24</v>
      </c>
      <c r="F1061">
        <v>7</v>
      </c>
      <c r="G1061" t="s">
        <v>39</v>
      </c>
      <c r="H1061" t="s">
        <v>26</v>
      </c>
      <c r="I1061" t="s">
        <v>31</v>
      </c>
      <c r="J1061" t="s">
        <v>40</v>
      </c>
      <c r="K1061" t="s">
        <v>29</v>
      </c>
      <c r="L1061" t="s">
        <v>56</v>
      </c>
      <c r="M1061" t="s">
        <v>29</v>
      </c>
      <c r="N1061" t="s">
        <v>42</v>
      </c>
      <c r="O1061">
        <v>2404</v>
      </c>
      <c r="P1061">
        <v>1</v>
      </c>
      <c r="Q1061" t="s">
        <v>36</v>
      </c>
      <c r="R1061">
        <v>13</v>
      </c>
      <c r="S1061" t="s">
        <v>33</v>
      </c>
      <c r="T1061" t="s">
        <v>34</v>
      </c>
      <c r="U1061">
        <v>3</v>
      </c>
      <c r="V1061" t="s">
        <v>44</v>
      </c>
      <c r="W1061" t="str">
        <f>IF(HR_Data[[#This Row],[age]]&lt;25,"Under 25",IF(HR_Data[[#This Row],[age]]&lt;35,"25-34",IF(HR_Data[[#This Row],[age]]&lt;45,"35-44",IF(HR_Data[[#This Row],[age]]&lt;55,"45-54","55+"))))</f>
        <v>35-44</v>
      </c>
      <c r="X1061" t="str">
        <f t="shared" si="16"/>
        <v>Below 3,000</v>
      </c>
    </row>
    <row r="1062" spans="1:24" x14ac:dyDescent="0.3">
      <c r="A1062">
        <v>1494</v>
      </c>
      <c r="B1062">
        <v>24</v>
      </c>
      <c r="C1062" t="s">
        <v>22</v>
      </c>
      <c r="D1062" t="s">
        <v>37</v>
      </c>
      <c r="E1062" t="s">
        <v>38</v>
      </c>
      <c r="F1062">
        <v>9</v>
      </c>
      <c r="G1062" t="s">
        <v>50</v>
      </c>
      <c r="H1062" t="s">
        <v>48</v>
      </c>
      <c r="I1062" t="s">
        <v>27</v>
      </c>
      <c r="J1062" t="s">
        <v>40</v>
      </c>
      <c r="K1062" t="s">
        <v>29</v>
      </c>
      <c r="L1062" t="s">
        <v>46</v>
      </c>
      <c r="M1062" t="s">
        <v>34</v>
      </c>
      <c r="N1062" t="s">
        <v>32</v>
      </c>
      <c r="O1062">
        <v>3172</v>
      </c>
      <c r="P1062">
        <v>2</v>
      </c>
      <c r="Q1062" t="s">
        <v>22</v>
      </c>
      <c r="R1062">
        <v>11</v>
      </c>
      <c r="S1062" t="s">
        <v>33</v>
      </c>
      <c r="T1062" t="s">
        <v>29</v>
      </c>
      <c r="U1062">
        <v>2</v>
      </c>
      <c r="V1062" t="s">
        <v>49</v>
      </c>
      <c r="W1062" t="str">
        <f>IF(HR_Data[[#This Row],[age]]&lt;25,"Under 25",IF(HR_Data[[#This Row],[age]]&lt;35,"25-34",IF(HR_Data[[#This Row],[age]]&lt;45,"35-44",IF(HR_Data[[#This Row],[age]]&lt;55,"45-54","55+"))))</f>
        <v>Under 25</v>
      </c>
      <c r="X1062" t="str">
        <f t="shared" si="16"/>
        <v>3,000-4,999</v>
      </c>
    </row>
    <row r="1063" spans="1:24" x14ac:dyDescent="0.3">
      <c r="A1063">
        <v>1495</v>
      </c>
      <c r="B1063">
        <v>24</v>
      </c>
      <c r="C1063" t="s">
        <v>36</v>
      </c>
      <c r="D1063" t="s">
        <v>54</v>
      </c>
      <c r="E1063" t="s">
        <v>24</v>
      </c>
      <c r="F1063">
        <v>13</v>
      </c>
      <c r="G1063" t="s">
        <v>25</v>
      </c>
      <c r="H1063" t="s">
        <v>26</v>
      </c>
      <c r="I1063" t="s">
        <v>31</v>
      </c>
      <c r="J1063" t="s">
        <v>28</v>
      </c>
      <c r="K1063" t="s">
        <v>29</v>
      </c>
      <c r="L1063" t="s">
        <v>56</v>
      </c>
      <c r="M1063" t="s">
        <v>27</v>
      </c>
      <c r="N1063" t="s">
        <v>42</v>
      </c>
      <c r="O1063">
        <v>2033</v>
      </c>
      <c r="P1063">
        <v>1</v>
      </c>
      <c r="Q1063" t="s">
        <v>36</v>
      </c>
      <c r="R1063">
        <v>13</v>
      </c>
      <c r="S1063" t="s">
        <v>33</v>
      </c>
      <c r="T1063" t="s">
        <v>29</v>
      </c>
      <c r="U1063">
        <v>2</v>
      </c>
      <c r="V1063" t="s">
        <v>44</v>
      </c>
      <c r="W1063" t="str">
        <f>IF(HR_Data[[#This Row],[age]]&lt;25,"Under 25",IF(HR_Data[[#This Row],[age]]&lt;35,"25-34",IF(HR_Data[[#This Row],[age]]&lt;45,"35-44",IF(HR_Data[[#This Row],[age]]&lt;55,"45-54","55+"))))</f>
        <v>Under 25</v>
      </c>
      <c r="X1063" t="str">
        <f t="shared" si="16"/>
        <v>Below 3,000</v>
      </c>
    </row>
    <row r="1064" spans="1:24" x14ac:dyDescent="0.3">
      <c r="A1064">
        <v>1496</v>
      </c>
      <c r="B1064">
        <v>44</v>
      </c>
      <c r="C1064" t="s">
        <v>36</v>
      </c>
      <c r="D1064" t="s">
        <v>37</v>
      </c>
      <c r="E1064" t="s">
        <v>38</v>
      </c>
      <c r="F1064">
        <v>2</v>
      </c>
      <c r="G1064" t="s">
        <v>39</v>
      </c>
      <c r="H1064" t="s">
        <v>48</v>
      </c>
      <c r="I1064" t="s">
        <v>27</v>
      </c>
      <c r="J1064" t="s">
        <v>40</v>
      </c>
      <c r="K1064" t="s">
        <v>29</v>
      </c>
      <c r="L1064" t="s">
        <v>52</v>
      </c>
      <c r="M1064" t="s">
        <v>29</v>
      </c>
      <c r="N1064" t="s">
        <v>32</v>
      </c>
      <c r="O1064">
        <v>10209</v>
      </c>
      <c r="P1064">
        <v>5</v>
      </c>
      <c r="Q1064" t="s">
        <v>22</v>
      </c>
      <c r="R1064">
        <v>18</v>
      </c>
      <c r="S1064" t="s">
        <v>33</v>
      </c>
      <c r="T1064" t="s">
        <v>27</v>
      </c>
      <c r="U1064">
        <v>2</v>
      </c>
      <c r="V1064" t="s">
        <v>49</v>
      </c>
      <c r="W1064" t="str">
        <f>IF(HR_Data[[#This Row],[age]]&lt;25,"Under 25",IF(HR_Data[[#This Row],[age]]&lt;35,"25-34",IF(HR_Data[[#This Row],[age]]&lt;45,"35-44",IF(HR_Data[[#This Row],[age]]&lt;55,"45-54","55+"))))</f>
        <v>35-44</v>
      </c>
      <c r="X1064" t="str">
        <f t="shared" si="16"/>
        <v>8,000+</v>
      </c>
    </row>
    <row r="1065" spans="1:24" x14ac:dyDescent="0.3">
      <c r="A1065">
        <v>1497</v>
      </c>
      <c r="B1065">
        <v>29</v>
      </c>
      <c r="C1065" t="s">
        <v>36</v>
      </c>
      <c r="D1065" t="s">
        <v>23</v>
      </c>
      <c r="E1065" t="s">
        <v>24</v>
      </c>
      <c r="F1065">
        <v>19</v>
      </c>
      <c r="G1065" t="s">
        <v>50</v>
      </c>
      <c r="H1065" t="s">
        <v>26</v>
      </c>
      <c r="I1065" t="s">
        <v>29</v>
      </c>
      <c r="J1065" t="s">
        <v>40</v>
      </c>
      <c r="K1065" t="s">
        <v>27</v>
      </c>
      <c r="L1065" t="s">
        <v>30</v>
      </c>
      <c r="M1065" t="s">
        <v>29</v>
      </c>
      <c r="N1065" t="s">
        <v>51</v>
      </c>
      <c r="O1065">
        <v>8620</v>
      </c>
      <c r="P1065">
        <v>1</v>
      </c>
      <c r="Q1065" t="s">
        <v>36</v>
      </c>
      <c r="R1065">
        <v>14</v>
      </c>
      <c r="S1065" t="s">
        <v>33</v>
      </c>
      <c r="T1065" t="s">
        <v>29</v>
      </c>
      <c r="U1065">
        <v>3</v>
      </c>
      <c r="V1065" t="s">
        <v>44</v>
      </c>
      <c r="W1065" t="str">
        <f>IF(HR_Data[[#This Row],[age]]&lt;25,"Under 25",IF(HR_Data[[#This Row],[age]]&lt;35,"25-34",IF(HR_Data[[#This Row],[age]]&lt;45,"35-44",IF(HR_Data[[#This Row],[age]]&lt;55,"45-54","55+"))))</f>
        <v>25-34</v>
      </c>
      <c r="X1065" t="str">
        <f t="shared" si="16"/>
        <v>8,000+</v>
      </c>
    </row>
    <row r="1066" spans="1:24" x14ac:dyDescent="0.3">
      <c r="A1066">
        <v>1499</v>
      </c>
      <c r="B1066">
        <v>30</v>
      </c>
      <c r="C1066" t="s">
        <v>36</v>
      </c>
      <c r="D1066" t="s">
        <v>23</v>
      </c>
      <c r="E1066" t="s">
        <v>62</v>
      </c>
      <c r="F1066">
        <v>1</v>
      </c>
      <c r="G1066" t="s">
        <v>50</v>
      </c>
      <c r="H1066" t="s">
        <v>26</v>
      </c>
      <c r="I1066" t="s">
        <v>29</v>
      </c>
      <c r="J1066" t="s">
        <v>40</v>
      </c>
      <c r="K1066" t="s">
        <v>29</v>
      </c>
      <c r="L1066" t="s">
        <v>62</v>
      </c>
      <c r="M1066" t="s">
        <v>29</v>
      </c>
      <c r="N1066" t="s">
        <v>51</v>
      </c>
      <c r="O1066">
        <v>2064</v>
      </c>
      <c r="P1066">
        <v>0</v>
      </c>
      <c r="Q1066" t="s">
        <v>36</v>
      </c>
      <c r="R1066">
        <v>21</v>
      </c>
      <c r="S1066" t="s">
        <v>43</v>
      </c>
      <c r="T1066" t="s">
        <v>34</v>
      </c>
      <c r="U1066">
        <v>3</v>
      </c>
      <c r="V1066" t="s">
        <v>59</v>
      </c>
      <c r="W1066" t="str">
        <f>IF(HR_Data[[#This Row],[age]]&lt;25,"Under 25",IF(HR_Data[[#This Row],[age]]&lt;35,"25-34",IF(HR_Data[[#This Row],[age]]&lt;45,"35-44",IF(HR_Data[[#This Row],[age]]&lt;55,"45-54","55+"))))</f>
        <v>25-34</v>
      </c>
      <c r="X1066" t="str">
        <f t="shared" si="16"/>
        <v>Below 3,000</v>
      </c>
    </row>
    <row r="1067" spans="1:24" x14ac:dyDescent="0.3">
      <c r="A1067">
        <v>1501</v>
      </c>
      <c r="B1067">
        <v>55</v>
      </c>
      <c r="C1067" t="s">
        <v>36</v>
      </c>
      <c r="D1067" t="s">
        <v>23</v>
      </c>
      <c r="E1067" t="s">
        <v>38</v>
      </c>
      <c r="F1067">
        <v>4</v>
      </c>
      <c r="G1067" t="s">
        <v>47</v>
      </c>
      <c r="H1067" t="s">
        <v>26</v>
      </c>
      <c r="I1067" t="s">
        <v>31</v>
      </c>
      <c r="J1067" t="s">
        <v>40</v>
      </c>
      <c r="K1067" t="s">
        <v>29</v>
      </c>
      <c r="L1067" t="s">
        <v>53</v>
      </c>
      <c r="M1067" t="s">
        <v>29</v>
      </c>
      <c r="N1067" t="s">
        <v>42</v>
      </c>
      <c r="O1067">
        <v>4035</v>
      </c>
      <c r="P1067">
        <v>0</v>
      </c>
      <c r="Q1067" t="s">
        <v>22</v>
      </c>
      <c r="R1067">
        <v>16</v>
      </c>
      <c r="S1067" t="s">
        <v>33</v>
      </c>
      <c r="T1067" t="s">
        <v>27</v>
      </c>
      <c r="U1067">
        <v>2</v>
      </c>
      <c r="V1067" t="s">
        <v>44</v>
      </c>
      <c r="W1067" t="str">
        <f>IF(HR_Data[[#This Row],[age]]&lt;25,"Under 25",IF(HR_Data[[#This Row],[age]]&lt;35,"25-34",IF(HR_Data[[#This Row],[age]]&lt;45,"35-44",IF(HR_Data[[#This Row],[age]]&lt;55,"45-54","55+"))))</f>
        <v>55+</v>
      </c>
      <c r="X1067" t="str">
        <f t="shared" si="16"/>
        <v>3,000-4,999</v>
      </c>
    </row>
    <row r="1068" spans="1:24" x14ac:dyDescent="0.3">
      <c r="A1068">
        <v>1502</v>
      </c>
      <c r="B1068">
        <v>33</v>
      </c>
      <c r="C1068" t="s">
        <v>36</v>
      </c>
      <c r="D1068" t="s">
        <v>23</v>
      </c>
      <c r="E1068" t="s">
        <v>38</v>
      </c>
      <c r="F1068">
        <v>4</v>
      </c>
      <c r="G1068" t="s">
        <v>47</v>
      </c>
      <c r="H1068" t="s">
        <v>48</v>
      </c>
      <c r="I1068" t="s">
        <v>34</v>
      </c>
      <c r="J1068" t="s">
        <v>28</v>
      </c>
      <c r="K1068" t="s">
        <v>27</v>
      </c>
      <c r="L1068" t="s">
        <v>46</v>
      </c>
      <c r="M1068" t="s">
        <v>27</v>
      </c>
      <c r="N1068" t="s">
        <v>42</v>
      </c>
      <c r="O1068">
        <v>3838</v>
      </c>
      <c r="P1068">
        <v>8</v>
      </c>
      <c r="Q1068" t="s">
        <v>36</v>
      </c>
      <c r="R1068">
        <v>11</v>
      </c>
      <c r="S1068" t="s">
        <v>33</v>
      </c>
      <c r="T1068" t="s">
        <v>31</v>
      </c>
      <c r="U1068">
        <v>5</v>
      </c>
      <c r="V1068" t="s">
        <v>44</v>
      </c>
      <c r="W1068" t="str">
        <f>IF(HR_Data[[#This Row],[age]]&lt;25,"Under 25",IF(HR_Data[[#This Row],[age]]&lt;35,"25-34",IF(HR_Data[[#This Row],[age]]&lt;45,"35-44",IF(HR_Data[[#This Row],[age]]&lt;55,"45-54","55+"))))</f>
        <v>25-34</v>
      </c>
      <c r="X1068" t="str">
        <f t="shared" si="16"/>
        <v>3,000-4,999</v>
      </c>
    </row>
    <row r="1069" spans="1:24" x14ac:dyDescent="0.3">
      <c r="A1069">
        <v>1503</v>
      </c>
      <c r="B1069">
        <v>47</v>
      </c>
      <c r="C1069" t="s">
        <v>36</v>
      </c>
      <c r="D1069" t="s">
        <v>23</v>
      </c>
      <c r="E1069" t="s">
        <v>24</v>
      </c>
      <c r="F1069">
        <v>14</v>
      </c>
      <c r="G1069" t="s">
        <v>50</v>
      </c>
      <c r="H1069" t="s">
        <v>48</v>
      </c>
      <c r="I1069" t="s">
        <v>29</v>
      </c>
      <c r="J1069" t="s">
        <v>28</v>
      </c>
      <c r="K1069" t="s">
        <v>29</v>
      </c>
      <c r="L1069" t="s">
        <v>30</v>
      </c>
      <c r="M1069" t="s">
        <v>29</v>
      </c>
      <c r="N1069" t="s">
        <v>42</v>
      </c>
      <c r="O1069">
        <v>4591</v>
      </c>
      <c r="P1069">
        <v>3</v>
      </c>
      <c r="Q1069" t="s">
        <v>22</v>
      </c>
      <c r="R1069">
        <v>17</v>
      </c>
      <c r="S1069" t="s">
        <v>33</v>
      </c>
      <c r="T1069" t="s">
        <v>29</v>
      </c>
      <c r="U1069">
        <v>4</v>
      </c>
      <c r="V1069" t="s">
        <v>49</v>
      </c>
      <c r="W1069" t="str">
        <f>IF(HR_Data[[#This Row],[age]]&lt;25,"Under 25",IF(HR_Data[[#This Row],[age]]&lt;35,"25-34",IF(HR_Data[[#This Row],[age]]&lt;45,"35-44",IF(HR_Data[[#This Row],[age]]&lt;55,"45-54","55+"))))</f>
        <v>45-54</v>
      </c>
      <c r="X1069" t="str">
        <f t="shared" si="16"/>
        <v>3,000-4,999</v>
      </c>
    </row>
    <row r="1070" spans="1:24" x14ac:dyDescent="0.3">
      <c r="A1070">
        <v>1504</v>
      </c>
      <c r="B1070">
        <v>28</v>
      </c>
      <c r="C1070" t="s">
        <v>22</v>
      </c>
      <c r="D1070" t="s">
        <v>37</v>
      </c>
      <c r="E1070" t="s">
        <v>38</v>
      </c>
      <c r="F1070">
        <v>2</v>
      </c>
      <c r="G1070" t="s">
        <v>25</v>
      </c>
      <c r="H1070" t="s">
        <v>48</v>
      </c>
      <c r="I1070" t="s">
        <v>29</v>
      </c>
      <c r="J1070" t="s">
        <v>40</v>
      </c>
      <c r="K1070" t="s">
        <v>27</v>
      </c>
      <c r="L1070" t="s">
        <v>46</v>
      </c>
      <c r="M1070" t="s">
        <v>34</v>
      </c>
      <c r="N1070" t="s">
        <v>32</v>
      </c>
      <c r="O1070">
        <v>2561</v>
      </c>
      <c r="P1070">
        <v>7</v>
      </c>
      <c r="Q1070" t="s">
        <v>36</v>
      </c>
      <c r="R1070">
        <v>11</v>
      </c>
      <c r="S1070" t="s">
        <v>33</v>
      </c>
      <c r="T1070" t="s">
        <v>29</v>
      </c>
      <c r="U1070">
        <v>2</v>
      </c>
      <c r="V1070" t="s">
        <v>49</v>
      </c>
      <c r="W1070" t="str">
        <f>IF(HR_Data[[#This Row],[age]]&lt;25,"Under 25",IF(HR_Data[[#This Row],[age]]&lt;35,"25-34",IF(HR_Data[[#This Row],[age]]&lt;45,"35-44",IF(HR_Data[[#This Row],[age]]&lt;55,"45-54","55+"))))</f>
        <v>25-34</v>
      </c>
      <c r="X1070" t="str">
        <f t="shared" si="16"/>
        <v>Below 3,000</v>
      </c>
    </row>
    <row r="1071" spans="1:24" x14ac:dyDescent="0.3">
      <c r="A1071">
        <v>1506</v>
      </c>
      <c r="B1071">
        <v>28</v>
      </c>
      <c r="C1071" t="s">
        <v>36</v>
      </c>
      <c r="D1071" t="s">
        <v>23</v>
      </c>
      <c r="E1071" t="s">
        <v>38</v>
      </c>
      <c r="F1071">
        <v>1</v>
      </c>
      <c r="G1071" t="s">
        <v>50</v>
      </c>
      <c r="H1071" t="s">
        <v>26</v>
      </c>
      <c r="I1071" t="s">
        <v>34</v>
      </c>
      <c r="J1071" t="s">
        <v>40</v>
      </c>
      <c r="K1071" t="s">
        <v>27</v>
      </c>
      <c r="L1071" t="s">
        <v>41</v>
      </c>
      <c r="M1071" t="s">
        <v>29</v>
      </c>
      <c r="N1071" t="s">
        <v>51</v>
      </c>
      <c r="O1071">
        <v>1563</v>
      </c>
      <c r="P1071">
        <v>1</v>
      </c>
      <c r="Q1071" t="s">
        <v>36</v>
      </c>
      <c r="R1071">
        <v>14</v>
      </c>
      <c r="S1071" t="s">
        <v>33</v>
      </c>
      <c r="T1071" t="s">
        <v>31</v>
      </c>
      <c r="U1071">
        <v>2</v>
      </c>
      <c r="V1071" t="s">
        <v>35</v>
      </c>
      <c r="W1071" t="str">
        <f>IF(HR_Data[[#This Row],[age]]&lt;25,"Under 25",IF(HR_Data[[#This Row],[age]]&lt;35,"25-34",IF(HR_Data[[#This Row],[age]]&lt;45,"35-44",IF(HR_Data[[#This Row],[age]]&lt;55,"45-54","55+"))))</f>
        <v>25-34</v>
      </c>
      <c r="X1071" t="str">
        <f t="shared" si="16"/>
        <v>Below 3,000</v>
      </c>
    </row>
    <row r="1072" spans="1:24" x14ac:dyDescent="0.3">
      <c r="A1072">
        <v>1507</v>
      </c>
      <c r="B1072">
        <v>28</v>
      </c>
      <c r="C1072" t="s">
        <v>36</v>
      </c>
      <c r="D1072" t="s">
        <v>37</v>
      </c>
      <c r="E1072" t="s">
        <v>24</v>
      </c>
      <c r="F1072">
        <v>7</v>
      </c>
      <c r="G1072" t="s">
        <v>50</v>
      </c>
      <c r="H1072" t="s">
        <v>26</v>
      </c>
      <c r="I1072" t="s">
        <v>29</v>
      </c>
      <c r="J1072" t="s">
        <v>40</v>
      </c>
      <c r="K1072" t="s">
        <v>29</v>
      </c>
      <c r="L1072" t="s">
        <v>30</v>
      </c>
      <c r="M1072" t="s">
        <v>34</v>
      </c>
      <c r="N1072" t="s">
        <v>32</v>
      </c>
      <c r="O1072">
        <v>4898</v>
      </c>
      <c r="P1072">
        <v>0</v>
      </c>
      <c r="Q1072" t="s">
        <v>36</v>
      </c>
      <c r="R1072">
        <v>14</v>
      </c>
      <c r="S1072" t="s">
        <v>33</v>
      </c>
      <c r="T1072" t="s">
        <v>31</v>
      </c>
      <c r="U1072">
        <v>5</v>
      </c>
      <c r="V1072" t="s">
        <v>44</v>
      </c>
      <c r="W1072" t="str">
        <f>IF(HR_Data[[#This Row],[age]]&lt;25,"Under 25",IF(HR_Data[[#This Row],[age]]&lt;35,"25-34",IF(HR_Data[[#This Row],[age]]&lt;45,"35-44",IF(HR_Data[[#This Row],[age]]&lt;55,"45-54","55+"))))</f>
        <v>25-34</v>
      </c>
      <c r="X1072" t="str">
        <f t="shared" si="16"/>
        <v>3,000-4,999</v>
      </c>
    </row>
    <row r="1073" spans="1:24" x14ac:dyDescent="0.3">
      <c r="A1073">
        <v>1509</v>
      </c>
      <c r="B1073">
        <v>49</v>
      </c>
      <c r="C1073" t="s">
        <v>36</v>
      </c>
      <c r="D1073" t="s">
        <v>23</v>
      </c>
      <c r="E1073" t="s">
        <v>38</v>
      </c>
      <c r="F1073">
        <v>3</v>
      </c>
      <c r="G1073" t="s">
        <v>25</v>
      </c>
      <c r="H1073" t="s">
        <v>48</v>
      </c>
      <c r="I1073" t="s">
        <v>29</v>
      </c>
      <c r="J1073" t="s">
        <v>28</v>
      </c>
      <c r="K1073" t="s">
        <v>27</v>
      </c>
      <c r="L1073" t="s">
        <v>46</v>
      </c>
      <c r="M1073" t="s">
        <v>34</v>
      </c>
      <c r="N1073" t="s">
        <v>42</v>
      </c>
      <c r="O1073">
        <v>4789</v>
      </c>
      <c r="P1073">
        <v>4</v>
      </c>
      <c r="Q1073" t="s">
        <v>36</v>
      </c>
      <c r="R1073">
        <v>25</v>
      </c>
      <c r="S1073" t="s">
        <v>43</v>
      </c>
      <c r="T1073" t="s">
        <v>34</v>
      </c>
      <c r="U1073">
        <v>3</v>
      </c>
      <c r="V1073" t="s">
        <v>44</v>
      </c>
      <c r="W1073" t="str">
        <f>IF(HR_Data[[#This Row],[age]]&lt;25,"Under 25",IF(HR_Data[[#This Row],[age]]&lt;35,"25-34",IF(HR_Data[[#This Row],[age]]&lt;45,"35-44",IF(HR_Data[[#This Row],[age]]&lt;55,"45-54","55+"))))</f>
        <v>45-54</v>
      </c>
      <c r="X1073" t="str">
        <f t="shared" si="16"/>
        <v>3,000-4,999</v>
      </c>
    </row>
    <row r="1074" spans="1:24" x14ac:dyDescent="0.3">
      <c r="A1074">
        <v>1513</v>
      </c>
      <c r="B1074">
        <v>29</v>
      </c>
      <c r="C1074" t="s">
        <v>36</v>
      </c>
      <c r="D1074" t="s">
        <v>37</v>
      </c>
      <c r="E1074" t="s">
        <v>38</v>
      </c>
      <c r="F1074">
        <v>2</v>
      </c>
      <c r="G1074" t="s">
        <v>39</v>
      </c>
      <c r="H1074" t="s">
        <v>26</v>
      </c>
      <c r="I1074" t="s">
        <v>31</v>
      </c>
      <c r="J1074" t="s">
        <v>28</v>
      </c>
      <c r="K1074" t="s">
        <v>29</v>
      </c>
      <c r="L1074" t="s">
        <v>46</v>
      </c>
      <c r="M1074" t="s">
        <v>27</v>
      </c>
      <c r="N1074" t="s">
        <v>42</v>
      </c>
      <c r="O1074">
        <v>3180</v>
      </c>
      <c r="P1074">
        <v>0</v>
      </c>
      <c r="Q1074" t="s">
        <v>36</v>
      </c>
      <c r="R1074">
        <v>13</v>
      </c>
      <c r="S1074" t="s">
        <v>33</v>
      </c>
      <c r="T1074" t="s">
        <v>29</v>
      </c>
      <c r="U1074">
        <v>3</v>
      </c>
      <c r="V1074" t="s">
        <v>44</v>
      </c>
      <c r="W1074" t="str">
        <f>IF(HR_Data[[#This Row],[age]]&lt;25,"Under 25",IF(HR_Data[[#This Row],[age]]&lt;35,"25-34",IF(HR_Data[[#This Row],[age]]&lt;45,"35-44",IF(HR_Data[[#This Row],[age]]&lt;55,"45-54","55+"))))</f>
        <v>25-34</v>
      </c>
      <c r="X1074" t="str">
        <f t="shared" si="16"/>
        <v>3,000-4,999</v>
      </c>
    </row>
    <row r="1075" spans="1:24" x14ac:dyDescent="0.3">
      <c r="A1075">
        <v>1514</v>
      </c>
      <c r="B1075">
        <v>28</v>
      </c>
      <c r="C1075" t="s">
        <v>36</v>
      </c>
      <c r="D1075" t="s">
        <v>23</v>
      </c>
      <c r="E1075" t="s">
        <v>38</v>
      </c>
      <c r="F1075">
        <v>29</v>
      </c>
      <c r="G1075" t="s">
        <v>39</v>
      </c>
      <c r="H1075" t="s">
        <v>26</v>
      </c>
      <c r="I1075" t="s">
        <v>29</v>
      </c>
      <c r="J1075" t="s">
        <v>40</v>
      </c>
      <c r="K1075" t="s">
        <v>34</v>
      </c>
      <c r="L1075" t="s">
        <v>52</v>
      </c>
      <c r="M1075" t="s">
        <v>27</v>
      </c>
      <c r="N1075" t="s">
        <v>42</v>
      </c>
      <c r="O1075">
        <v>6549</v>
      </c>
      <c r="P1075">
        <v>1</v>
      </c>
      <c r="Q1075" t="s">
        <v>36</v>
      </c>
      <c r="R1075">
        <v>14</v>
      </c>
      <c r="S1075" t="s">
        <v>33</v>
      </c>
      <c r="T1075" t="s">
        <v>27</v>
      </c>
      <c r="U1075">
        <v>2</v>
      </c>
      <c r="V1075" t="s">
        <v>49</v>
      </c>
      <c r="W1075" t="str">
        <f>IF(HR_Data[[#This Row],[age]]&lt;25,"Under 25",IF(HR_Data[[#This Row],[age]]&lt;35,"25-34",IF(HR_Data[[#This Row],[age]]&lt;45,"35-44",IF(HR_Data[[#This Row],[age]]&lt;55,"45-54","55+"))))</f>
        <v>25-34</v>
      </c>
      <c r="X1075" t="str">
        <f t="shared" si="16"/>
        <v>5,000-7,999</v>
      </c>
    </row>
    <row r="1076" spans="1:24" x14ac:dyDescent="0.3">
      <c r="A1076">
        <v>1515</v>
      </c>
      <c r="B1076">
        <v>33</v>
      </c>
      <c r="C1076" t="s">
        <v>36</v>
      </c>
      <c r="D1076" t="s">
        <v>23</v>
      </c>
      <c r="E1076" t="s">
        <v>38</v>
      </c>
      <c r="F1076">
        <v>8</v>
      </c>
      <c r="G1076" t="s">
        <v>61</v>
      </c>
      <c r="H1076" t="s">
        <v>26</v>
      </c>
      <c r="I1076" t="s">
        <v>31</v>
      </c>
      <c r="J1076" t="s">
        <v>40</v>
      </c>
      <c r="K1076" t="s">
        <v>29</v>
      </c>
      <c r="L1076" t="s">
        <v>53</v>
      </c>
      <c r="M1076" t="s">
        <v>29</v>
      </c>
      <c r="N1076" t="s">
        <v>32</v>
      </c>
      <c r="O1076">
        <v>6388</v>
      </c>
      <c r="P1076">
        <v>2</v>
      </c>
      <c r="Q1076" t="s">
        <v>22</v>
      </c>
      <c r="R1076">
        <v>17</v>
      </c>
      <c r="S1076" t="s">
        <v>33</v>
      </c>
      <c r="T1076" t="s">
        <v>34</v>
      </c>
      <c r="U1076">
        <v>6</v>
      </c>
      <c r="V1076" t="s">
        <v>44</v>
      </c>
      <c r="W1076" t="str">
        <f>IF(HR_Data[[#This Row],[age]]&lt;25,"Under 25",IF(HR_Data[[#This Row],[age]]&lt;35,"25-34",IF(HR_Data[[#This Row],[age]]&lt;45,"35-44",IF(HR_Data[[#This Row],[age]]&lt;55,"45-54","55+"))))</f>
        <v>25-34</v>
      </c>
      <c r="X1076" t="str">
        <f t="shared" si="16"/>
        <v>5,000-7,999</v>
      </c>
    </row>
    <row r="1077" spans="1:24" x14ac:dyDescent="0.3">
      <c r="A1077">
        <v>1516</v>
      </c>
      <c r="B1077">
        <v>32</v>
      </c>
      <c r="C1077" t="s">
        <v>36</v>
      </c>
      <c r="D1077" t="s">
        <v>23</v>
      </c>
      <c r="E1077" t="s">
        <v>38</v>
      </c>
      <c r="F1077">
        <v>10</v>
      </c>
      <c r="G1077" t="s">
        <v>50</v>
      </c>
      <c r="H1077" t="s">
        <v>48</v>
      </c>
      <c r="I1077" t="s">
        <v>29</v>
      </c>
      <c r="J1077" t="s">
        <v>40</v>
      </c>
      <c r="K1077" t="s">
        <v>29</v>
      </c>
      <c r="L1077" t="s">
        <v>55</v>
      </c>
      <c r="M1077" t="s">
        <v>31</v>
      </c>
      <c r="N1077" t="s">
        <v>32</v>
      </c>
      <c r="O1077">
        <v>11244</v>
      </c>
      <c r="P1077">
        <v>2</v>
      </c>
      <c r="Q1077" t="s">
        <v>36</v>
      </c>
      <c r="R1077">
        <v>25</v>
      </c>
      <c r="S1077" t="s">
        <v>43</v>
      </c>
      <c r="T1077" t="s">
        <v>27</v>
      </c>
      <c r="U1077">
        <v>5</v>
      </c>
      <c r="V1077" t="s">
        <v>59</v>
      </c>
      <c r="W1077" t="str">
        <f>IF(HR_Data[[#This Row],[age]]&lt;25,"Under 25",IF(HR_Data[[#This Row],[age]]&lt;35,"25-34",IF(HR_Data[[#This Row],[age]]&lt;45,"35-44",IF(HR_Data[[#This Row],[age]]&lt;55,"45-54","55+"))))</f>
        <v>25-34</v>
      </c>
      <c r="X1077" t="str">
        <f t="shared" si="16"/>
        <v>8,000+</v>
      </c>
    </row>
    <row r="1078" spans="1:24" x14ac:dyDescent="0.3">
      <c r="A1078">
        <v>1520</v>
      </c>
      <c r="B1078">
        <v>54</v>
      </c>
      <c r="C1078" t="s">
        <v>36</v>
      </c>
      <c r="D1078" t="s">
        <v>37</v>
      </c>
      <c r="E1078" t="s">
        <v>38</v>
      </c>
      <c r="F1078">
        <v>11</v>
      </c>
      <c r="G1078" t="s">
        <v>47</v>
      </c>
      <c r="H1078" t="s">
        <v>48</v>
      </c>
      <c r="I1078" t="s">
        <v>27</v>
      </c>
      <c r="J1078" t="s">
        <v>28</v>
      </c>
      <c r="K1078" t="s">
        <v>29</v>
      </c>
      <c r="L1078" t="s">
        <v>55</v>
      </c>
      <c r="M1078" t="s">
        <v>31</v>
      </c>
      <c r="N1078" t="s">
        <v>51</v>
      </c>
      <c r="O1078">
        <v>16032</v>
      </c>
      <c r="P1078">
        <v>3</v>
      </c>
      <c r="Q1078" t="s">
        <v>36</v>
      </c>
      <c r="R1078">
        <v>20</v>
      </c>
      <c r="S1078" t="s">
        <v>43</v>
      </c>
      <c r="T1078" t="s">
        <v>34</v>
      </c>
      <c r="U1078">
        <v>2</v>
      </c>
      <c r="V1078" t="s">
        <v>44</v>
      </c>
      <c r="W1078" t="str">
        <f>IF(HR_Data[[#This Row],[age]]&lt;25,"Under 25",IF(HR_Data[[#This Row],[age]]&lt;35,"25-34",IF(HR_Data[[#This Row],[age]]&lt;45,"35-44",IF(HR_Data[[#This Row],[age]]&lt;55,"45-54","55+"))))</f>
        <v>45-54</v>
      </c>
      <c r="X1078" t="str">
        <f t="shared" si="16"/>
        <v>8,000+</v>
      </c>
    </row>
    <row r="1079" spans="1:24" x14ac:dyDescent="0.3">
      <c r="A1079">
        <v>1522</v>
      </c>
      <c r="B1079">
        <v>29</v>
      </c>
      <c r="C1079" t="s">
        <v>22</v>
      </c>
      <c r="D1079" t="s">
        <v>23</v>
      </c>
      <c r="E1079" t="s">
        <v>38</v>
      </c>
      <c r="F1079">
        <v>1</v>
      </c>
      <c r="G1079" t="s">
        <v>47</v>
      </c>
      <c r="H1079" t="s">
        <v>60</v>
      </c>
      <c r="I1079" t="s">
        <v>34</v>
      </c>
      <c r="J1079" t="s">
        <v>40</v>
      </c>
      <c r="K1079" t="s">
        <v>27</v>
      </c>
      <c r="L1079" t="s">
        <v>41</v>
      </c>
      <c r="M1079" t="s">
        <v>34</v>
      </c>
      <c r="N1079" t="s">
        <v>32</v>
      </c>
      <c r="O1079">
        <v>2362</v>
      </c>
      <c r="P1079">
        <v>6</v>
      </c>
      <c r="Q1079" t="s">
        <v>36</v>
      </c>
      <c r="R1079">
        <v>13</v>
      </c>
      <c r="S1079" t="s">
        <v>33</v>
      </c>
      <c r="T1079" t="s">
        <v>29</v>
      </c>
      <c r="U1079">
        <v>2</v>
      </c>
      <c r="V1079" t="s">
        <v>35</v>
      </c>
      <c r="W1079" t="str">
        <f>IF(HR_Data[[#This Row],[age]]&lt;25,"Under 25",IF(HR_Data[[#This Row],[age]]&lt;35,"25-34",IF(HR_Data[[#This Row],[age]]&lt;45,"35-44",IF(HR_Data[[#This Row],[age]]&lt;55,"45-54","55+"))))</f>
        <v>25-34</v>
      </c>
      <c r="X1079" t="str">
        <f t="shared" si="16"/>
        <v>Below 3,000</v>
      </c>
    </row>
    <row r="1080" spans="1:24" x14ac:dyDescent="0.3">
      <c r="A1080">
        <v>1523</v>
      </c>
      <c r="B1080">
        <v>44</v>
      </c>
      <c r="C1080" t="s">
        <v>36</v>
      </c>
      <c r="D1080" t="s">
        <v>23</v>
      </c>
      <c r="E1080" t="s">
        <v>38</v>
      </c>
      <c r="F1080">
        <v>28</v>
      </c>
      <c r="G1080" t="s">
        <v>50</v>
      </c>
      <c r="H1080" t="s">
        <v>26</v>
      </c>
      <c r="I1080" t="s">
        <v>31</v>
      </c>
      <c r="J1080" t="s">
        <v>40</v>
      </c>
      <c r="K1080" t="s">
        <v>29</v>
      </c>
      <c r="L1080" t="s">
        <v>57</v>
      </c>
      <c r="M1080" t="s">
        <v>34</v>
      </c>
      <c r="N1080" t="s">
        <v>42</v>
      </c>
      <c r="O1080">
        <v>16328</v>
      </c>
      <c r="P1080">
        <v>3</v>
      </c>
      <c r="Q1080" t="s">
        <v>36</v>
      </c>
      <c r="R1080">
        <v>13</v>
      </c>
      <c r="S1080" t="s">
        <v>33</v>
      </c>
      <c r="T1080" t="s">
        <v>29</v>
      </c>
      <c r="U1080">
        <v>1</v>
      </c>
      <c r="V1080" t="s">
        <v>59</v>
      </c>
      <c r="W1080" t="str">
        <f>IF(HR_Data[[#This Row],[age]]&lt;25,"Under 25",IF(HR_Data[[#This Row],[age]]&lt;35,"25-34",IF(HR_Data[[#This Row],[age]]&lt;45,"35-44",IF(HR_Data[[#This Row],[age]]&lt;55,"45-54","55+"))))</f>
        <v>35-44</v>
      </c>
      <c r="X1080" t="str">
        <f t="shared" si="16"/>
        <v>8,000+</v>
      </c>
    </row>
    <row r="1081" spans="1:24" x14ac:dyDescent="0.3">
      <c r="A1081">
        <v>1525</v>
      </c>
      <c r="B1081">
        <v>39</v>
      </c>
      <c r="C1081" t="s">
        <v>36</v>
      </c>
      <c r="D1081" t="s">
        <v>23</v>
      </c>
      <c r="E1081" t="s">
        <v>38</v>
      </c>
      <c r="F1081">
        <v>6</v>
      </c>
      <c r="G1081" t="s">
        <v>50</v>
      </c>
      <c r="H1081" t="s">
        <v>26</v>
      </c>
      <c r="I1081" t="s">
        <v>27</v>
      </c>
      <c r="J1081" t="s">
        <v>28</v>
      </c>
      <c r="K1081" t="s">
        <v>29</v>
      </c>
      <c r="L1081" t="s">
        <v>52</v>
      </c>
      <c r="M1081" t="s">
        <v>27</v>
      </c>
      <c r="N1081" t="s">
        <v>32</v>
      </c>
      <c r="O1081">
        <v>8376</v>
      </c>
      <c r="P1081">
        <v>4</v>
      </c>
      <c r="Q1081" t="s">
        <v>36</v>
      </c>
      <c r="R1081">
        <v>18</v>
      </c>
      <c r="S1081" t="s">
        <v>33</v>
      </c>
      <c r="T1081" t="s">
        <v>31</v>
      </c>
      <c r="U1081">
        <v>3</v>
      </c>
      <c r="V1081" t="s">
        <v>44</v>
      </c>
      <c r="W1081" t="str">
        <f>IF(HR_Data[[#This Row],[age]]&lt;25,"Under 25",IF(HR_Data[[#This Row],[age]]&lt;35,"25-34",IF(HR_Data[[#This Row],[age]]&lt;45,"35-44",IF(HR_Data[[#This Row],[age]]&lt;55,"45-54","55+"))))</f>
        <v>35-44</v>
      </c>
      <c r="X1081" t="str">
        <f t="shared" si="16"/>
        <v>8,000+</v>
      </c>
    </row>
    <row r="1082" spans="1:24" x14ac:dyDescent="0.3">
      <c r="A1082">
        <v>1527</v>
      </c>
      <c r="B1082">
        <v>46</v>
      </c>
      <c r="C1082" t="s">
        <v>36</v>
      </c>
      <c r="D1082" t="s">
        <v>23</v>
      </c>
      <c r="E1082" t="s">
        <v>24</v>
      </c>
      <c r="F1082">
        <v>3</v>
      </c>
      <c r="G1082" t="s">
        <v>50</v>
      </c>
      <c r="H1082" t="s">
        <v>26</v>
      </c>
      <c r="I1082" t="s">
        <v>29</v>
      </c>
      <c r="J1082" t="s">
        <v>28</v>
      </c>
      <c r="K1082" t="s">
        <v>29</v>
      </c>
      <c r="L1082" t="s">
        <v>55</v>
      </c>
      <c r="M1082" t="s">
        <v>27</v>
      </c>
      <c r="N1082" t="s">
        <v>42</v>
      </c>
      <c r="O1082">
        <v>16606</v>
      </c>
      <c r="P1082">
        <v>8</v>
      </c>
      <c r="Q1082" t="s">
        <v>36</v>
      </c>
      <c r="R1082">
        <v>12</v>
      </c>
      <c r="S1082" t="s">
        <v>33</v>
      </c>
      <c r="T1082" t="s">
        <v>31</v>
      </c>
      <c r="U1082">
        <v>2</v>
      </c>
      <c r="V1082" t="s">
        <v>59</v>
      </c>
      <c r="W1082" t="str">
        <f>IF(HR_Data[[#This Row],[age]]&lt;25,"Under 25",IF(HR_Data[[#This Row],[age]]&lt;35,"25-34",IF(HR_Data[[#This Row],[age]]&lt;45,"35-44",IF(HR_Data[[#This Row],[age]]&lt;55,"45-54","55+"))))</f>
        <v>45-54</v>
      </c>
      <c r="X1082" t="str">
        <f t="shared" si="16"/>
        <v>8,000+</v>
      </c>
    </row>
    <row r="1083" spans="1:24" x14ac:dyDescent="0.3">
      <c r="A1083">
        <v>1529</v>
      </c>
      <c r="B1083">
        <v>35</v>
      </c>
      <c r="C1083" t="s">
        <v>36</v>
      </c>
      <c r="D1083" t="s">
        <v>23</v>
      </c>
      <c r="E1083" t="s">
        <v>38</v>
      </c>
      <c r="F1083">
        <v>16</v>
      </c>
      <c r="G1083" t="s">
        <v>50</v>
      </c>
      <c r="H1083" t="s">
        <v>26</v>
      </c>
      <c r="I1083" t="s">
        <v>31</v>
      </c>
      <c r="J1083" t="s">
        <v>28</v>
      </c>
      <c r="K1083" t="s">
        <v>27</v>
      </c>
      <c r="L1083" t="s">
        <v>53</v>
      </c>
      <c r="M1083" t="s">
        <v>27</v>
      </c>
      <c r="N1083" t="s">
        <v>32</v>
      </c>
      <c r="O1083">
        <v>8606</v>
      </c>
      <c r="P1083">
        <v>1</v>
      </c>
      <c r="Q1083" t="s">
        <v>36</v>
      </c>
      <c r="R1083">
        <v>19</v>
      </c>
      <c r="S1083" t="s">
        <v>33</v>
      </c>
      <c r="T1083" t="s">
        <v>31</v>
      </c>
      <c r="U1083">
        <v>3</v>
      </c>
      <c r="V1083" t="s">
        <v>35</v>
      </c>
      <c r="W1083" t="str">
        <f>IF(HR_Data[[#This Row],[age]]&lt;25,"Under 25",IF(HR_Data[[#This Row],[age]]&lt;35,"25-34",IF(HR_Data[[#This Row],[age]]&lt;45,"35-44",IF(HR_Data[[#This Row],[age]]&lt;55,"45-54","55+"))))</f>
        <v>35-44</v>
      </c>
      <c r="X1083" t="str">
        <f t="shared" si="16"/>
        <v>8,000+</v>
      </c>
    </row>
    <row r="1084" spans="1:24" x14ac:dyDescent="0.3">
      <c r="A1084">
        <v>1533</v>
      </c>
      <c r="B1084">
        <v>23</v>
      </c>
      <c r="C1084" t="s">
        <v>36</v>
      </c>
      <c r="D1084" t="s">
        <v>23</v>
      </c>
      <c r="E1084" t="s">
        <v>38</v>
      </c>
      <c r="F1084">
        <v>20</v>
      </c>
      <c r="G1084" t="s">
        <v>39</v>
      </c>
      <c r="H1084" t="s">
        <v>26</v>
      </c>
      <c r="I1084" t="s">
        <v>34</v>
      </c>
      <c r="J1084" t="s">
        <v>40</v>
      </c>
      <c r="K1084" t="s">
        <v>29</v>
      </c>
      <c r="L1084" t="s">
        <v>46</v>
      </c>
      <c r="M1084" t="s">
        <v>29</v>
      </c>
      <c r="N1084" t="s">
        <v>32</v>
      </c>
      <c r="O1084">
        <v>2272</v>
      </c>
      <c r="P1084">
        <v>0</v>
      </c>
      <c r="Q1084" t="s">
        <v>36</v>
      </c>
      <c r="R1084">
        <v>14</v>
      </c>
      <c r="S1084" t="s">
        <v>33</v>
      </c>
      <c r="T1084" t="s">
        <v>27</v>
      </c>
      <c r="U1084">
        <v>2</v>
      </c>
      <c r="V1084" t="s">
        <v>44</v>
      </c>
      <c r="W1084" t="str">
        <f>IF(HR_Data[[#This Row],[age]]&lt;25,"Under 25",IF(HR_Data[[#This Row],[age]]&lt;35,"25-34",IF(HR_Data[[#This Row],[age]]&lt;45,"35-44",IF(HR_Data[[#This Row],[age]]&lt;55,"45-54","55+"))))</f>
        <v>Under 25</v>
      </c>
      <c r="X1084" t="str">
        <f t="shared" si="16"/>
        <v>Below 3,000</v>
      </c>
    </row>
    <row r="1085" spans="1:24" x14ac:dyDescent="0.3">
      <c r="A1085">
        <v>1534</v>
      </c>
      <c r="B1085">
        <v>40</v>
      </c>
      <c r="C1085" t="s">
        <v>22</v>
      </c>
      <c r="D1085" t="s">
        <v>23</v>
      </c>
      <c r="E1085" t="s">
        <v>38</v>
      </c>
      <c r="F1085">
        <v>9</v>
      </c>
      <c r="G1085" t="s">
        <v>47</v>
      </c>
      <c r="H1085" t="s">
        <v>26</v>
      </c>
      <c r="I1085" t="s">
        <v>31</v>
      </c>
      <c r="J1085" t="s">
        <v>40</v>
      </c>
      <c r="K1085" t="s">
        <v>29</v>
      </c>
      <c r="L1085" t="s">
        <v>46</v>
      </c>
      <c r="M1085" t="s">
        <v>34</v>
      </c>
      <c r="N1085" t="s">
        <v>32</v>
      </c>
      <c r="O1085">
        <v>2018</v>
      </c>
      <c r="P1085">
        <v>3</v>
      </c>
      <c r="Q1085" t="s">
        <v>36</v>
      </c>
      <c r="R1085">
        <v>14</v>
      </c>
      <c r="S1085" t="s">
        <v>33</v>
      </c>
      <c r="T1085" t="s">
        <v>27</v>
      </c>
      <c r="U1085">
        <v>3</v>
      </c>
      <c r="V1085" t="s">
        <v>35</v>
      </c>
      <c r="W1085" t="str">
        <f>IF(HR_Data[[#This Row],[age]]&lt;25,"Under 25",IF(HR_Data[[#This Row],[age]]&lt;35,"25-34",IF(HR_Data[[#This Row],[age]]&lt;45,"35-44",IF(HR_Data[[#This Row],[age]]&lt;55,"45-54","55+"))))</f>
        <v>35-44</v>
      </c>
      <c r="X1085" t="str">
        <f t="shared" si="16"/>
        <v>Below 3,000</v>
      </c>
    </row>
    <row r="1086" spans="1:24" x14ac:dyDescent="0.3">
      <c r="A1086">
        <v>1535</v>
      </c>
      <c r="B1086">
        <v>34</v>
      </c>
      <c r="C1086" t="s">
        <v>36</v>
      </c>
      <c r="D1086" t="s">
        <v>23</v>
      </c>
      <c r="E1086" t="s">
        <v>24</v>
      </c>
      <c r="F1086">
        <v>1</v>
      </c>
      <c r="G1086" t="s">
        <v>50</v>
      </c>
      <c r="H1086" t="s">
        <v>60</v>
      </c>
      <c r="I1086" t="s">
        <v>31</v>
      </c>
      <c r="J1086" t="s">
        <v>40</v>
      </c>
      <c r="K1086" t="s">
        <v>27</v>
      </c>
      <c r="L1086" t="s">
        <v>30</v>
      </c>
      <c r="M1086" t="s">
        <v>29</v>
      </c>
      <c r="N1086" t="s">
        <v>42</v>
      </c>
      <c r="O1086">
        <v>7083</v>
      </c>
      <c r="P1086">
        <v>1</v>
      </c>
      <c r="Q1086" t="s">
        <v>22</v>
      </c>
      <c r="R1086">
        <v>14</v>
      </c>
      <c r="S1086" t="s">
        <v>33</v>
      </c>
      <c r="T1086" t="s">
        <v>31</v>
      </c>
      <c r="U1086">
        <v>3</v>
      </c>
      <c r="V1086" t="s">
        <v>44</v>
      </c>
      <c r="W1086" t="str">
        <f>IF(HR_Data[[#This Row],[age]]&lt;25,"Under 25",IF(HR_Data[[#This Row],[age]]&lt;35,"25-34",IF(HR_Data[[#This Row],[age]]&lt;45,"35-44",IF(HR_Data[[#This Row],[age]]&lt;55,"45-54","55+"))))</f>
        <v>25-34</v>
      </c>
      <c r="X1086" t="str">
        <f t="shared" si="16"/>
        <v>5,000-7,999</v>
      </c>
    </row>
    <row r="1087" spans="1:24" x14ac:dyDescent="0.3">
      <c r="A1087">
        <v>1537</v>
      </c>
      <c r="B1087">
        <v>31</v>
      </c>
      <c r="C1087" t="s">
        <v>22</v>
      </c>
      <c r="D1087" t="s">
        <v>37</v>
      </c>
      <c r="E1087" t="s">
        <v>38</v>
      </c>
      <c r="F1087">
        <v>3</v>
      </c>
      <c r="G1087" t="s">
        <v>50</v>
      </c>
      <c r="H1087" t="s">
        <v>26</v>
      </c>
      <c r="I1087" t="s">
        <v>31</v>
      </c>
      <c r="J1087" t="s">
        <v>28</v>
      </c>
      <c r="K1087" t="s">
        <v>29</v>
      </c>
      <c r="L1087" t="s">
        <v>41</v>
      </c>
      <c r="M1087" t="s">
        <v>29</v>
      </c>
      <c r="N1087" t="s">
        <v>32</v>
      </c>
      <c r="O1087">
        <v>4084</v>
      </c>
      <c r="P1087">
        <v>1</v>
      </c>
      <c r="Q1087" t="s">
        <v>36</v>
      </c>
      <c r="R1087">
        <v>12</v>
      </c>
      <c r="S1087" t="s">
        <v>33</v>
      </c>
      <c r="T1087" t="s">
        <v>34</v>
      </c>
      <c r="U1087">
        <v>2</v>
      </c>
      <c r="V1087" t="s">
        <v>35</v>
      </c>
      <c r="W1087" t="str">
        <f>IF(HR_Data[[#This Row],[age]]&lt;25,"Under 25",IF(HR_Data[[#This Row],[age]]&lt;35,"25-34",IF(HR_Data[[#This Row],[age]]&lt;45,"35-44",IF(HR_Data[[#This Row],[age]]&lt;55,"45-54","55+"))))</f>
        <v>25-34</v>
      </c>
      <c r="X1087" t="str">
        <f t="shared" si="16"/>
        <v>3,000-4,999</v>
      </c>
    </row>
    <row r="1088" spans="1:24" x14ac:dyDescent="0.3">
      <c r="A1088">
        <v>1539</v>
      </c>
      <c r="B1088">
        <v>50</v>
      </c>
      <c r="C1088" t="s">
        <v>36</v>
      </c>
      <c r="D1088" t="s">
        <v>37</v>
      </c>
      <c r="E1088" t="s">
        <v>38</v>
      </c>
      <c r="F1088">
        <v>22</v>
      </c>
      <c r="G1088" t="s">
        <v>61</v>
      </c>
      <c r="H1088" t="s">
        <v>48</v>
      </c>
      <c r="I1088" t="s">
        <v>29</v>
      </c>
      <c r="J1088" t="s">
        <v>40</v>
      </c>
      <c r="K1088" t="s">
        <v>34</v>
      </c>
      <c r="L1088" t="s">
        <v>57</v>
      </c>
      <c r="M1088" t="s">
        <v>31</v>
      </c>
      <c r="N1088" t="s">
        <v>32</v>
      </c>
      <c r="O1088">
        <v>14411</v>
      </c>
      <c r="P1088">
        <v>1</v>
      </c>
      <c r="Q1088" t="s">
        <v>22</v>
      </c>
      <c r="R1088">
        <v>13</v>
      </c>
      <c r="S1088" t="s">
        <v>33</v>
      </c>
      <c r="T1088" t="s">
        <v>31</v>
      </c>
      <c r="U1088">
        <v>2</v>
      </c>
      <c r="V1088" t="s">
        <v>44</v>
      </c>
      <c r="W1088" t="str">
        <f>IF(HR_Data[[#This Row],[age]]&lt;25,"Under 25",IF(HR_Data[[#This Row],[age]]&lt;35,"25-34",IF(HR_Data[[#This Row],[age]]&lt;45,"35-44",IF(HR_Data[[#This Row],[age]]&lt;55,"45-54","55+"))))</f>
        <v>45-54</v>
      </c>
      <c r="X1088" t="str">
        <f t="shared" si="16"/>
        <v>8,000+</v>
      </c>
    </row>
    <row r="1089" spans="1:24" x14ac:dyDescent="0.3">
      <c r="A1089">
        <v>1541</v>
      </c>
      <c r="B1089">
        <v>34</v>
      </c>
      <c r="C1089" t="s">
        <v>36</v>
      </c>
      <c r="D1089" t="s">
        <v>23</v>
      </c>
      <c r="E1089" t="s">
        <v>24</v>
      </c>
      <c r="F1089">
        <v>7</v>
      </c>
      <c r="G1089" t="s">
        <v>25</v>
      </c>
      <c r="H1089" t="s">
        <v>60</v>
      </c>
      <c r="I1089" t="s">
        <v>27</v>
      </c>
      <c r="J1089" t="s">
        <v>40</v>
      </c>
      <c r="K1089" t="s">
        <v>29</v>
      </c>
      <c r="L1089" t="s">
        <v>56</v>
      </c>
      <c r="M1089" t="s">
        <v>29</v>
      </c>
      <c r="N1089" t="s">
        <v>42</v>
      </c>
      <c r="O1089">
        <v>2308</v>
      </c>
      <c r="P1089">
        <v>0</v>
      </c>
      <c r="Q1089" t="s">
        <v>22</v>
      </c>
      <c r="R1089">
        <v>25</v>
      </c>
      <c r="S1089" t="s">
        <v>43</v>
      </c>
      <c r="T1089" t="s">
        <v>27</v>
      </c>
      <c r="U1089">
        <v>4</v>
      </c>
      <c r="V1089" t="s">
        <v>44</v>
      </c>
      <c r="W1089" t="str">
        <f>IF(HR_Data[[#This Row],[age]]&lt;25,"Under 25",IF(HR_Data[[#This Row],[age]]&lt;35,"25-34",IF(HR_Data[[#This Row],[age]]&lt;45,"35-44",IF(HR_Data[[#This Row],[age]]&lt;55,"45-54","55+"))))</f>
        <v>25-34</v>
      </c>
      <c r="X1089" t="str">
        <f t="shared" si="16"/>
        <v>Below 3,000</v>
      </c>
    </row>
    <row r="1090" spans="1:24" x14ac:dyDescent="0.3">
      <c r="A1090">
        <v>1542</v>
      </c>
      <c r="B1090">
        <v>42</v>
      </c>
      <c r="C1090" t="s">
        <v>36</v>
      </c>
      <c r="D1090" t="s">
        <v>23</v>
      </c>
      <c r="E1090" t="s">
        <v>38</v>
      </c>
      <c r="F1090">
        <v>2</v>
      </c>
      <c r="G1090" t="s">
        <v>50</v>
      </c>
      <c r="H1090" t="s">
        <v>48</v>
      </c>
      <c r="I1090" t="s">
        <v>29</v>
      </c>
      <c r="J1090" t="s">
        <v>40</v>
      </c>
      <c r="K1090" t="s">
        <v>27</v>
      </c>
      <c r="L1090" t="s">
        <v>46</v>
      </c>
      <c r="M1090" t="s">
        <v>27</v>
      </c>
      <c r="N1090" t="s">
        <v>42</v>
      </c>
      <c r="O1090">
        <v>4841</v>
      </c>
      <c r="P1090">
        <v>4</v>
      </c>
      <c r="Q1090" t="s">
        <v>36</v>
      </c>
      <c r="R1090">
        <v>14</v>
      </c>
      <c r="S1090" t="s">
        <v>33</v>
      </c>
      <c r="T1090" t="s">
        <v>27</v>
      </c>
      <c r="U1090">
        <v>3</v>
      </c>
      <c r="V1090" t="s">
        <v>44</v>
      </c>
      <c r="W1090" t="str">
        <f>IF(HR_Data[[#This Row],[age]]&lt;25,"Under 25",IF(HR_Data[[#This Row],[age]]&lt;35,"25-34",IF(HR_Data[[#This Row],[age]]&lt;45,"35-44",IF(HR_Data[[#This Row],[age]]&lt;55,"45-54","55+"))))</f>
        <v>35-44</v>
      </c>
      <c r="X1090" t="str">
        <f t="shared" si="16"/>
        <v>3,000-4,999</v>
      </c>
    </row>
    <row r="1091" spans="1:24" x14ac:dyDescent="0.3">
      <c r="A1091">
        <v>1543</v>
      </c>
      <c r="B1091">
        <v>37</v>
      </c>
      <c r="C1091" t="s">
        <v>36</v>
      </c>
      <c r="D1091" t="s">
        <v>23</v>
      </c>
      <c r="E1091" t="s">
        <v>38</v>
      </c>
      <c r="F1091">
        <v>13</v>
      </c>
      <c r="G1091" t="s">
        <v>50</v>
      </c>
      <c r="H1091" t="s">
        <v>48</v>
      </c>
      <c r="I1091" t="s">
        <v>34</v>
      </c>
      <c r="J1091" t="s">
        <v>40</v>
      </c>
      <c r="K1091" t="s">
        <v>29</v>
      </c>
      <c r="L1091" t="s">
        <v>41</v>
      </c>
      <c r="M1091" t="s">
        <v>31</v>
      </c>
      <c r="N1091" t="s">
        <v>42</v>
      </c>
      <c r="O1091">
        <v>4285</v>
      </c>
      <c r="P1091">
        <v>1</v>
      </c>
      <c r="Q1091" t="s">
        <v>36</v>
      </c>
      <c r="R1091">
        <v>17</v>
      </c>
      <c r="S1091" t="s">
        <v>33</v>
      </c>
      <c r="T1091" t="s">
        <v>34</v>
      </c>
      <c r="U1091">
        <v>2</v>
      </c>
      <c r="V1091" t="s">
        <v>44</v>
      </c>
      <c r="W1091" t="str">
        <f>IF(HR_Data[[#This Row],[age]]&lt;25,"Under 25",IF(HR_Data[[#This Row],[age]]&lt;35,"25-34",IF(HR_Data[[#This Row],[age]]&lt;45,"35-44",IF(HR_Data[[#This Row],[age]]&lt;55,"45-54","55+"))))</f>
        <v>35-44</v>
      </c>
      <c r="X1091" t="str">
        <f t="shared" ref="X1091:X1154" si="17">IF(O1091&lt;3000,"Below 3,000",IF(O1091&lt;5000,"3,000-4,999",IF(O1091&lt;8000,"5,000-7,999","8,000+")))</f>
        <v>3,000-4,999</v>
      </c>
    </row>
    <row r="1092" spans="1:24" x14ac:dyDescent="0.3">
      <c r="A1092">
        <v>1544</v>
      </c>
      <c r="B1092">
        <v>29</v>
      </c>
      <c r="C1092" t="s">
        <v>36</v>
      </c>
      <c r="D1092" t="s">
        <v>23</v>
      </c>
      <c r="E1092" t="s">
        <v>38</v>
      </c>
      <c r="F1092">
        <v>8</v>
      </c>
      <c r="G1092" t="s">
        <v>39</v>
      </c>
      <c r="H1092" t="s">
        <v>45</v>
      </c>
      <c r="I1092" t="s">
        <v>29</v>
      </c>
      <c r="J1092" t="s">
        <v>28</v>
      </c>
      <c r="K1092" t="s">
        <v>34</v>
      </c>
      <c r="L1092" t="s">
        <v>53</v>
      </c>
      <c r="M1092" t="s">
        <v>34</v>
      </c>
      <c r="N1092" t="s">
        <v>42</v>
      </c>
      <c r="O1092">
        <v>9715</v>
      </c>
      <c r="P1092">
        <v>3</v>
      </c>
      <c r="Q1092" t="s">
        <v>36</v>
      </c>
      <c r="R1092">
        <v>13</v>
      </c>
      <c r="S1092" t="s">
        <v>33</v>
      </c>
      <c r="T1092" t="s">
        <v>29</v>
      </c>
      <c r="U1092">
        <v>3</v>
      </c>
      <c r="V1092" t="s">
        <v>44</v>
      </c>
      <c r="W1092" t="str">
        <f>IF(HR_Data[[#This Row],[age]]&lt;25,"Under 25",IF(HR_Data[[#This Row],[age]]&lt;35,"25-34",IF(HR_Data[[#This Row],[age]]&lt;45,"35-44",IF(HR_Data[[#This Row],[age]]&lt;55,"45-54","55+"))))</f>
        <v>25-34</v>
      </c>
      <c r="X1092" t="str">
        <f t="shared" si="17"/>
        <v>8,000+</v>
      </c>
    </row>
    <row r="1093" spans="1:24" x14ac:dyDescent="0.3">
      <c r="A1093">
        <v>1545</v>
      </c>
      <c r="B1093">
        <v>33</v>
      </c>
      <c r="C1093" t="s">
        <v>36</v>
      </c>
      <c r="D1093" t="s">
        <v>23</v>
      </c>
      <c r="E1093" t="s">
        <v>38</v>
      </c>
      <c r="F1093">
        <v>25</v>
      </c>
      <c r="G1093" t="s">
        <v>50</v>
      </c>
      <c r="H1093" t="s">
        <v>26</v>
      </c>
      <c r="I1093" t="s">
        <v>31</v>
      </c>
      <c r="J1093" t="s">
        <v>40</v>
      </c>
      <c r="K1093" t="s">
        <v>27</v>
      </c>
      <c r="L1093" t="s">
        <v>52</v>
      </c>
      <c r="M1093" t="s">
        <v>27</v>
      </c>
      <c r="N1093" t="s">
        <v>32</v>
      </c>
      <c r="O1093">
        <v>4320</v>
      </c>
      <c r="P1093">
        <v>1</v>
      </c>
      <c r="Q1093" t="s">
        <v>36</v>
      </c>
      <c r="R1093">
        <v>13</v>
      </c>
      <c r="S1093" t="s">
        <v>33</v>
      </c>
      <c r="T1093" t="s">
        <v>31</v>
      </c>
      <c r="U1093">
        <v>2</v>
      </c>
      <c r="V1093" t="s">
        <v>44</v>
      </c>
      <c r="W1093" t="str">
        <f>IF(HR_Data[[#This Row],[age]]&lt;25,"Under 25",IF(HR_Data[[#This Row],[age]]&lt;35,"25-34",IF(HR_Data[[#This Row],[age]]&lt;45,"35-44",IF(HR_Data[[#This Row],[age]]&lt;55,"45-54","55+"))))</f>
        <v>25-34</v>
      </c>
      <c r="X1093" t="str">
        <f t="shared" si="17"/>
        <v>3,000-4,999</v>
      </c>
    </row>
    <row r="1094" spans="1:24" x14ac:dyDescent="0.3">
      <c r="A1094">
        <v>1546</v>
      </c>
      <c r="B1094">
        <v>45</v>
      </c>
      <c r="C1094" t="s">
        <v>36</v>
      </c>
      <c r="D1094" t="s">
        <v>23</v>
      </c>
      <c r="E1094" t="s">
        <v>38</v>
      </c>
      <c r="F1094">
        <v>28</v>
      </c>
      <c r="G1094" t="s">
        <v>50</v>
      </c>
      <c r="H1094" t="s">
        <v>60</v>
      </c>
      <c r="I1094" t="s">
        <v>31</v>
      </c>
      <c r="J1094" t="s">
        <v>40</v>
      </c>
      <c r="K1094" t="s">
        <v>29</v>
      </c>
      <c r="L1094" t="s">
        <v>41</v>
      </c>
      <c r="M1094" t="s">
        <v>31</v>
      </c>
      <c r="N1094" t="s">
        <v>42</v>
      </c>
      <c r="O1094">
        <v>2132</v>
      </c>
      <c r="P1094">
        <v>4</v>
      </c>
      <c r="Q1094" t="s">
        <v>36</v>
      </c>
      <c r="R1094">
        <v>20</v>
      </c>
      <c r="S1094" t="s">
        <v>43</v>
      </c>
      <c r="T1094" t="s">
        <v>31</v>
      </c>
      <c r="U1094">
        <v>3</v>
      </c>
      <c r="V1094" t="s">
        <v>44</v>
      </c>
      <c r="W1094" t="str">
        <f>IF(HR_Data[[#This Row],[age]]&lt;25,"Under 25",IF(HR_Data[[#This Row],[age]]&lt;35,"25-34",IF(HR_Data[[#This Row],[age]]&lt;45,"35-44",IF(HR_Data[[#This Row],[age]]&lt;55,"45-54","55+"))))</f>
        <v>45-54</v>
      </c>
      <c r="X1094" t="str">
        <f t="shared" si="17"/>
        <v>Below 3,000</v>
      </c>
    </row>
    <row r="1095" spans="1:24" x14ac:dyDescent="0.3">
      <c r="A1095">
        <v>1547</v>
      </c>
      <c r="B1095">
        <v>42</v>
      </c>
      <c r="C1095" t="s">
        <v>36</v>
      </c>
      <c r="D1095" t="s">
        <v>37</v>
      </c>
      <c r="E1095" t="s">
        <v>38</v>
      </c>
      <c r="F1095">
        <v>2</v>
      </c>
      <c r="G1095" t="s">
        <v>50</v>
      </c>
      <c r="H1095" t="s">
        <v>26</v>
      </c>
      <c r="I1095" t="s">
        <v>31</v>
      </c>
      <c r="J1095" t="s">
        <v>40</v>
      </c>
      <c r="K1095" t="s">
        <v>29</v>
      </c>
      <c r="L1095" t="s">
        <v>53</v>
      </c>
      <c r="M1095" t="s">
        <v>31</v>
      </c>
      <c r="N1095" t="s">
        <v>42</v>
      </c>
      <c r="O1095">
        <v>10124</v>
      </c>
      <c r="P1095">
        <v>2</v>
      </c>
      <c r="Q1095" t="s">
        <v>22</v>
      </c>
      <c r="R1095">
        <v>14</v>
      </c>
      <c r="S1095" t="s">
        <v>33</v>
      </c>
      <c r="T1095" t="s">
        <v>29</v>
      </c>
      <c r="U1095">
        <v>3</v>
      </c>
      <c r="V1095" t="s">
        <v>35</v>
      </c>
      <c r="W1095" t="str">
        <f>IF(HR_Data[[#This Row],[age]]&lt;25,"Under 25",IF(HR_Data[[#This Row],[age]]&lt;35,"25-34",IF(HR_Data[[#This Row],[age]]&lt;45,"35-44",IF(HR_Data[[#This Row],[age]]&lt;55,"45-54","55+"))))</f>
        <v>35-44</v>
      </c>
      <c r="X1095" t="str">
        <f t="shared" si="17"/>
        <v>8,000+</v>
      </c>
    </row>
    <row r="1096" spans="1:24" x14ac:dyDescent="0.3">
      <c r="A1096">
        <v>1548</v>
      </c>
      <c r="B1096">
        <v>40</v>
      </c>
      <c r="C1096" t="s">
        <v>36</v>
      </c>
      <c r="D1096" t="s">
        <v>23</v>
      </c>
      <c r="E1096" t="s">
        <v>24</v>
      </c>
      <c r="F1096">
        <v>9</v>
      </c>
      <c r="G1096" t="s">
        <v>25</v>
      </c>
      <c r="H1096" t="s">
        <v>48</v>
      </c>
      <c r="I1096" t="s">
        <v>34</v>
      </c>
      <c r="J1096" t="s">
        <v>40</v>
      </c>
      <c r="K1096" t="s">
        <v>29</v>
      </c>
      <c r="L1096" t="s">
        <v>30</v>
      </c>
      <c r="M1096" t="s">
        <v>34</v>
      </c>
      <c r="N1096" t="s">
        <v>42</v>
      </c>
      <c r="O1096">
        <v>5473</v>
      </c>
      <c r="P1096">
        <v>0</v>
      </c>
      <c r="Q1096" t="s">
        <v>36</v>
      </c>
      <c r="R1096">
        <v>12</v>
      </c>
      <c r="S1096" t="s">
        <v>33</v>
      </c>
      <c r="T1096" t="s">
        <v>31</v>
      </c>
      <c r="U1096">
        <v>5</v>
      </c>
      <c r="V1096" t="s">
        <v>59</v>
      </c>
      <c r="W1096" t="str">
        <f>IF(HR_Data[[#This Row],[age]]&lt;25,"Under 25",IF(HR_Data[[#This Row],[age]]&lt;35,"25-34",IF(HR_Data[[#This Row],[age]]&lt;45,"35-44",IF(HR_Data[[#This Row],[age]]&lt;55,"45-54","55+"))))</f>
        <v>35-44</v>
      </c>
      <c r="X1096" t="str">
        <f t="shared" si="17"/>
        <v>5,000-7,999</v>
      </c>
    </row>
    <row r="1097" spans="1:24" x14ac:dyDescent="0.3">
      <c r="A1097">
        <v>1549</v>
      </c>
      <c r="B1097">
        <v>33</v>
      </c>
      <c r="C1097" t="s">
        <v>36</v>
      </c>
      <c r="D1097" t="s">
        <v>23</v>
      </c>
      <c r="E1097" t="s">
        <v>38</v>
      </c>
      <c r="F1097">
        <v>28</v>
      </c>
      <c r="G1097" t="s">
        <v>47</v>
      </c>
      <c r="H1097" t="s">
        <v>26</v>
      </c>
      <c r="I1097" t="s">
        <v>27</v>
      </c>
      <c r="J1097" t="s">
        <v>40</v>
      </c>
      <c r="K1097" t="s">
        <v>29</v>
      </c>
      <c r="L1097" t="s">
        <v>46</v>
      </c>
      <c r="M1097" t="s">
        <v>29</v>
      </c>
      <c r="N1097" t="s">
        <v>42</v>
      </c>
      <c r="O1097">
        <v>5207</v>
      </c>
      <c r="P1097">
        <v>1</v>
      </c>
      <c r="Q1097" t="s">
        <v>22</v>
      </c>
      <c r="R1097">
        <v>12</v>
      </c>
      <c r="S1097" t="s">
        <v>33</v>
      </c>
      <c r="T1097" t="s">
        <v>27</v>
      </c>
      <c r="U1097">
        <v>3</v>
      </c>
      <c r="V1097" t="s">
        <v>44</v>
      </c>
      <c r="W1097" t="str">
        <f>IF(HR_Data[[#This Row],[age]]&lt;25,"Under 25",IF(HR_Data[[#This Row],[age]]&lt;35,"25-34",IF(HR_Data[[#This Row],[age]]&lt;45,"35-44",IF(HR_Data[[#This Row],[age]]&lt;55,"45-54","55+"))))</f>
        <v>25-34</v>
      </c>
      <c r="X1097" t="str">
        <f t="shared" si="17"/>
        <v>5,000-7,999</v>
      </c>
    </row>
    <row r="1098" spans="1:24" x14ac:dyDescent="0.3">
      <c r="A1098">
        <v>1550</v>
      </c>
      <c r="B1098">
        <v>40</v>
      </c>
      <c r="C1098" t="s">
        <v>36</v>
      </c>
      <c r="D1098" t="s">
        <v>23</v>
      </c>
      <c r="E1098" t="s">
        <v>62</v>
      </c>
      <c r="F1098">
        <v>6</v>
      </c>
      <c r="G1098" t="s">
        <v>25</v>
      </c>
      <c r="H1098" t="s">
        <v>48</v>
      </c>
      <c r="I1098" t="s">
        <v>29</v>
      </c>
      <c r="J1098" t="s">
        <v>40</v>
      </c>
      <c r="K1098" t="s">
        <v>29</v>
      </c>
      <c r="L1098" t="s">
        <v>55</v>
      </c>
      <c r="M1098" t="s">
        <v>31</v>
      </c>
      <c r="N1098" t="s">
        <v>32</v>
      </c>
      <c r="O1098">
        <v>16437</v>
      </c>
      <c r="P1098">
        <v>1</v>
      </c>
      <c r="Q1098" t="s">
        <v>22</v>
      </c>
      <c r="R1098">
        <v>21</v>
      </c>
      <c r="S1098" t="s">
        <v>43</v>
      </c>
      <c r="T1098" t="s">
        <v>31</v>
      </c>
      <c r="U1098">
        <v>2</v>
      </c>
      <c r="V1098" t="s">
        <v>44</v>
      </c>
      <c r="W1098" t="str">
        <f>IF(HR_Data[[#This Row],[age]]&lt;25,"Under 25",IF(HR_Data[[#This Row],[age]]&lt;35,"25-34",IF(HR_Data[[#This Row],[age]]&lt;45,"35-44",IF(HR_Data[[#This Row],[age]]&lt;55,"45-54","55+"))))</f>
        <v>35-44</v>
      </c>
      <c r="X1098" t="str">
        <f t="shared" si="17"/>
        <v>8,000+</v>
      </c>
    </row>
    <row r="1099" spans="1:24" x14ac:dyDescent="0.3">
      <c r="A1099">
        <v>1551</v>
      </c>
      <c r="B1099">
        <v>24</v>
      </c>
      <c r="C1099" t="s">
        <v>36</v>
      </c>
      <c r="D1099" t="s">
        <v>23</v>
      </c>
      <c r="E1099" t="s">
        <v>38</v>
      </c>
      <c r="F1099">
        <v>21</v>
      </c>
      <c r="G1099" t="s">
        <v>25</v>
      </c>
      <c r="H1099" t="s">
        <v>60</v>
      </c>
      <c r="I1099" t="s">
        <v>29</v>
      </c>
      <c r="J1099" t="s">
        <v>40</v>
      </c>
      <c r="K1099" t="s">
        <v>27</v>
      </c>
      <c r="L1099" t="s">
        <v>46</v>
      </c>
      <c r="M1099" t="s">
        <v>34</v>
      </c>
      <c r="N1099" t="s">
        <v>51</v>
      </c>
      <c r="O1099">
        <v>2296</v>
      </c>
      <c r="P1099">
        <v>0</v>
      </c>
      <c r="Q1099" t="s">
        <v>36</v>
      </c>
      <c r="R1099">
        <v>14</v>
      </c>
      <c r="S1099" t="s">
        <v>33</v>
      </c>
      <c r="T1099" t="s">
        <v>27</v>
      </c>
      <c r="U1099">
        <v>3</v>
      </c>
      <c r="V1099" t="s">
        <v>44</v>
      </c>
      <c r="W1099" t="str">
        <f>IF(HR_Data[[#This Row],[age]]&lt;25,"Under 25",IF(HR_Data[[#This Row],[age]]&lt;35,"25-34",IF(HR_Data[[#This Row],[age]]&lt;45,"35-44",IF(HR_Data[[#This Row],[age]]&lt;55,"45-54","55+"))))</f>
        <v>Under 25</v>
      </c>
      <c r="X1099" t="str">
        <f t="shared" si="17"/>
        <v>Below 3,000</v>
      </c>
    </row>
    <row r="1100" spans="1:24" x14ac:dyDescent="0.3">
      <c r="A1100">
        <v>1552</v>
      </c>
      <c r="B1100">
        <v>40</v>
      </c>
      <c r="C1100" t="s">
        <v>36</v>
      </c>
      <c r="D1100" t="s">
        <v>54</v>
      </c>
      <c r="E1100" t="s">
        <v>38</v>
      </c>
      <c r="F1100">
        <v>8</v>
      </c>
      <c r="G1100" t="s">
        <v>25</v>
      </c>
      <c r="H1100" t="s">
        <v>26</v>
      </c>
      <c r="I1100" t="s">
        <v>31</v>
      </c>
      <c r="J1100" t="s">
        <v>40</v>
      </c>
      <c r="K1100" t="s">
        <v>29</v>
      </c>
      <c r="L1100" t="s">
        <v>53</v>
      </c>
      <c r="M1100" t="s">
        <v>31</v>
      </c>
      <c r="N1100" t="s">
        <v>51</v>
      </c>
      <c r="O1100">
        <v>4069</v>
      </c>
      <c r="P1100">
        <v>3</v>
      </c>
      <c r="Q1100" t="s">
        <v>22</v>
      </c>
      <c r="R1100">
        <v>18</v>
      </c>
      <c r="S1100" t="s">
        <v>33</v>
      </c>
      <c r="T1100" t="s">
        <v>29</v>
      </c>
      <c r="U1100">
        <v>2</v>
      </c>
      <c r="V1100" t="s">
        <v>44</v>
      </c>
      <c r="W1100" t="str">
        <f>IF(HR_Data[[#This Row],[age]]&lt;25,"Under 25",IF(HR_Data[[#This Row],[age]]&lt;35,"25-34",IF(HR_Data[[#This Row],[age]]&lt;45,"35-44",IF(HR_Data[[#This Row],[age]]&lt;55,"45-54","55+"))))</f>
        <v>35-44</v>
      </c>
      <c r="X1100" t="str">
        <f t="shared" si="17"/>
        <v>3,000-4,999</v>
      </c>
    </row>
    <row r="1101" spans="1:24" x14ac:dyDescent="0.3">
      <c r="A1101">
        <v>1553</v>
      </c>
      <c r="B1101">
        <v>45</v>
      </c>
      <c r="C1101" t="s">
        <v>36</v>
      </c>
      <c r="D1101" t="s">
        <v>23</v>
      </c>
      <c r="E1101" t="s">
        <v>38</v>
      </c>
      <c r="F1101">
        <v>1</v>
      </c>
      <c r="G1101" t="s">
        <v>47</v>
      </c>
      <c r="H1101" t="s">
        <v>60</v>
      </c>
      <c r="I1101" t="s">
        <v>34</v>
      </c>
      <c r="J1101" t="s">
        <v>40</v>
      </c>
      <c r="K1101" t="s">
        <v>29</v>
      </c>
      <c r="L1101" t="s">
        <v>53</v>
      </c>
      <c r="M1101" t="s">
        <v>27</v>
      </c>
      <c r="N1101" t="s">
        <v>51</v>
      </c>
      <c r="O1101">
        <v>7441</v>
      </c>
      <c r="P1101">
        <v>1</v>
      </c>
      <c r="Q1101" t="s">
        <v>36</v>
      </c>
      <c r="R1101">
        <v>12</v>
      </c>
      <c r="S1101" t="s">
        <v>33</v>
      </c>
      <c r="T1101" t="s">
        <v>34</v>
      </c>
      <c r="U1101">
        <v>4</v>
      </c>
      <c r="V1101" t="s">
        <v>44</v>
      </c>
      <c r="W1101" t="str">
        <f>IF(HR_Data[[#This Row],[age]]&lt;25,"Under 25",IF(HR_Data[[#This Row],[age]]&lt;35,"25-34",IF(HR_Data[[#This Row],[age]]&lt;45,"35-44",IF(HR_Data[[#This Row],[age]]&lt;55,"45-54","55+"))))</f>
        <v>45-54</v>
      </c>
      <c r="X1101" t="str">
        <f t="shared" si="17"/>
        <v>5,000-7,999</v>
      </c>
    </row>
    <row r="1102" spans="1:24" x14ac:dyDescent="0.3">
      <c r="A1102">
        <v>1554</v>
      </c>
      <c r="B1102">
        <v>35</v>
      </c>
      <c r="C1102" t="s">
        <v>36</v>
      </c>
      <c r="D1102" t="s">
        <v>23</v>
      </c>
      <c r="E1102" t="s">
        <v>24</v>
      </c>
      <c r="F1102">
        <v>28</v>
      </c>
      <c r="G1102" t="s">
        <v>47</v>
      </c>
      <c r="H1102" t="s">
        <v>26</v>
      </c>
      <c r="I1102" t="s">
        <v>27</v>
      </c>
      <c r="J1102" t="s">
        <v>28</v>
      </c>
      <c r="K1102" t="s">
        <v>27</v>
      </c>
      <c r="L1102" t="s">
        <v>56</v>
      </c>
      <c r="M1102" t="s">
        <v>29</v>
      </c>
      <c r="N1102" t="s">
        <v>42</v>
      </c>
      <c r="O1102">
        <v>2430</v>
      </c>
      <c r="P1102">
        <v>0</v>
      </c>
      <c r="Q1102" t="s">
        <v>36</v>
      </c>
      <c r="R1102">
        <v>23</v>
      </c>
      <c r="S1102" t="s">
        <v>43</v>
      </c>
      <c r="T1102" t="s">
        <v>34</v>
      </c>
      <c r="U1102">
        <v>5</v>
      </c>
      <c r="V1102" t="s">
        <v>44</v>
      </c>
      <c r="W1102" t="str">
        <f>IF(HR_Data[[#This Row],[age]]&lt;25,"Under 25",IF(HR_Data[[#This Row],[age]]&lt;35,"25-34",IF(HR_Data[[#This Row],[age]]&lt;45,"35-44",IF(HR_Data[[#This Row],[age]]&lt;55,"45-54","55+"))))</f>
        <v>35-44</v>
      </c>
      <c r="X1102" t="str">
        <f t="shared" si="17"/>
        <v>Below 3,000</v>
      </c>
    </row>
    <row r="1103" spans="1:24" x14ac:dyDescent="0.3">
      <c r="A1103">
        <v>1555</v>
      </c>
      <c r="B1103">
        <v>32</v>
      </c>
      <c r="C1103" t="s">
        <v>36</v>
      </c>
      <c r="D1103" t="s">
        <v>23</v>
      </c>
      <c r="E1103" t="s">
        <v>38</v>
      </c>
      <c r="F1103">
        <v>5</v>
      </c>
      <c r="G1103" t="s">
        <v>25</v>
      </c>
      <c r="H1103" t="s">
        <v>26</v>
      </c>
      <c r="I1103" t="s">
        <v>31</v>
      </c>
      <c r="J1103" t="s">
        <v>28</v>
      </c>
      <c r="K1103" t="s">
        <v>27</v>
      </c>
      <c r="L1103" t="s">
        <v>41</v>
      </c>
      <c r="M1103" t="s">
        <v>27</v>
      </c>
      <c r="N1103" t="s">
        <v>42</v>
      </c>
      <c r="O1103">
        <v>5878</v>
      </c>
      <c r="P1103">
        <v>3</v>
      </c>
      <c r="Q1103" t="s">
        <v>36</v>
      </c>
      <c r="R1103">
        <v>12</v>
      </c>
      <c r="S1103" t="s">
        <v>33</v>
      </c>
      <c r="T1103" t="s">
        <v>34</v>
      </c>
      <c r="U1103">
        <v>2</v>
      </c>
      <c r="V1103" t="s">
        <v>44</v>
      </c>
      <c r="W1103" t="str">
        <f>IF(HR_Data[[#This Row],[age]]&lt;25,"Under 25",IF(HR_Data[[#This Row],[age]]&lt;35,"25-34",IF(HR_Data[[#This Row],[age]]&lt;45,"35-44",IF(HR_Data[[#This Row],[age]]&lt;55,"45-54","55+"))))</f>
        <v>25-34</v>
      </c>
      <c r="X1103" t="str">
        <f t="shared" si="17"/>
        <v>5,000-7,999</v>
      </c>
    </row>
    <row r="1104" spans="1:24" x14ac:dyDescent="0.3">
      <c r="A1104">
        <v>1556</v>
      </c>
      <c r="B1104">
        <v>36</v>
      </c>
      <c r="C1104" t="s">
        <v>36</v>
      </c>
      <c r="D1104" t="s">
        <v>23</v>
      </c>
      <c r="E1104" t="s">
        <v>24</v>
      </c>
      <c r="F1104">
        <v>2</v>
      </c>
      <c r="G1104" t="s">
        <v>47</v>
      </c>
      <c r="H1104" t="s">
        <v>26</v>
      </c>
      <c r="I1104" t="s">
        <v>29</v>
      </c>
      <c r="J1104" t="s">
        <v>40</v>
      </c>
      <c r="K1104" t="s">
        <v>29</v>
      </c>
      <c r="L1104" t="s">
        <v>56</v>
      </c>
      <c r="M1104" t="s">
        <v>31</v>
      </c>
      <c r="N1104" t="s">
        <v>32</v>
      </c>
      <c r="O1104">
        <v>2644</v>
      </c>
      <c r="P1104">
        <v>3</v>
      </c>
      <c r="Q1104" t="s">
        <v>22</v>
      </c>
      <c r="R1104">
        <v>21</v>
      </c>
      <c r="S1104" t="s">
        <v>43</v>
      </c>
      <c r="T1104" t="s">
        <v>31</v>
      </c>
      <c r="U1104">
        <v>3</v>
      </c>
      <c r="V1104" t="s">
        <v>49</v>
      </c>
      <c r="W1104" t="str">
        <f>IF(HR_Data[[#This Row],[age]]&lt;25,"Under 25",IF(HR_Data[[#This Row],[age]]&lt;35,"25-34",IF(HR_Data[[#This Row],[age]]&lt;45,"35-44",IF(HR_Data[[#This Row],[age]]&lt;55,"45-54","55+"))))</f>
        <v>35-44</v>
      </c>
      <c r="X1104" t="str">
        <f t="shared" si="17"/>
        <v>Below 3,000</v>
      </c>
    </row>
    <row r="1105" spans="1:24" x14ac:dyDescent="0.3">
      <c r="A1105">
        <v>1557</v>
      </c>
      <c r="B1105">
        <v>48</v>
      </c>
      <c r="C1105" t="s">
        <v>36</v>
      </c>
      <c r="D1105" t="s">
        <v>23</v>
      </c>
      <c r="E1105" t="s">
        <v>24</v>
      </c>
      <c r="F1105">
        <v>16</v>
      </c>
      <c r="G1105" t="s">
        <v>47</v>
      </c>
      <c r="H1105" t="s">
        <v>26</v>
      </c>
      <c r="I1105" t="s">
        <v>29</v>
      </c>
      <c r="J1105" t="s">
        <v>28</v>
      </c>
      <c r="K1105" t="s">
        <v>29</v>
      </c>
      <c r="L1105" t="s">
        <v>30</v>
      </c>
      <c r="M1105" t="s">
        <v>29</v>
      </c>
      <c r="N1105" t="s">
        <v>51</v>
      </c>
      <c r="O1105">
        <v>6439</v>
      </c>
      <c r="P1105">
        <v>8</v>
      </c>
      <c r="Q1105" t="s">
        <v>36</v>
      </c>
      <c r="R1105">
        <v>14</v>
      </c>
      <c r="S1105" t="s">
        <v>33</v>
      </c>
      <c r="T1105" t="s">
        <v>29</v>
      </c>
      <c r="U1105">
        <v>2</v>
      </c>
      <c r="V1105" t="s">
        <v>44</v>
      </c>
      <c r="W1105" t="str">
        <f>IF(HR_Data[[#This Row],[age]]&lt;25,"Under 25",IF(HR_Data[[#This Row],[age]]&lt;35,"25-34",IF(HR_Data[[#This Row],[age]]&lt;45,"35-44",IF(HR_Data[[#This Row],[age]]&lt;55,"45-54","55+"))))</f>
        <v>45-54</v>
      </c>
      <c r="X1105" t="str">
        <f t="shared" si="17"/>
        <v>5,000-7,999</v>
      </c>
    </row>
    <row r="1106" spans="1:24" x14ac:dyDescent="0.3">
      <c r="A1106">
        <v>1558</v>
      </c>
      <c r="B1106">
        <v>29</v>
      </c>
      <c r="C1106" t="s">
        <v>36</v>
      </c>
      <c r="D1106" t="s">
        <v>23</v>
      </c>
      <c r="E1106" t="s">
        <v>38</v>
      </c>
      <c r="F1106">
        <v>9</v>
      </c>
      <c r="G1106" t="s">
        <v>50</v>
      </c>
      <c r="H1106" t="s">
        <v>26</v>
      </c>
      <c r="I1106" t="s">
        <v>29</v>
      </c>
      <c r="J1106" t="s">
        <v>40</v>
      </c>
      <c r="K1106" t="s">
        <v>31</v>
      </c>
      <c r="L1106" t="s">
        <v>41</v>
      </c>
      <c r="M1106" t="s">
        <v>29</v>
      </c>
      <c r="N1106" t="s">
        <v>42</v>
      </c>
      <c r="O1106">
        <v>2451</v>
      </c>
      <c r="P1106">
        <v>6</v>
      </c>
      <c r="Q1106" t="s">
        <v>36</v>
      </c>
      <c r="R1106">
        <v>18</v>
      </c>
      <c r="S1106" t="s">
        <v>33</v>
      </c>
      <c r="T1106" t="s">
        <v>34</v>
      </c>
      <c r="U1106">
        <v>2</v>
      </c>
      <c r="V1106" t="s">
        <v>49</v>
      </c>
      <c r="W1106" t="str">
        <f>IF(HR_Data[[#This Row],[age]]&lt;25,"Under 25",IF(HR_Data[[#This Row],[age]]&lt;35,"25-34",IF(HR_Data[[#This Row],[age]]&lt;45,"35-44",IF(HR_Data[[#This Row],[age]]&lt;55,"45-54","55+"))))</f>
        <v>25-34</v>
      </c>
      <c r="X1106" t="str">
        <f t="shared" si="17"/>
        <v>Below 3,000</v>
      </c>
    </row>
    <row r="1107" spans="1:24" x14ac:dyDescent="0.3">
      <c r="A1107">
        <v>1560</v>
      </c>
      <c r="B1107">
        <v>33</v>
      </c>
      <c r="C1107" t="s">
        <v>36</v>
      </c>
      <c r="D1107" t="s">
        <v>23</v>
      </c>
      <c r="E1107" t="s">
        <v>24</v>
      </c>
      <c r="F1107">
        <v>8</v>
      </c>
      <c r="G1107" t="s">
        <v>47</v>
      </c>
      <c r="H1107" t="s">
        <v>26</v>
      </c>
      <c r="I1107" t="s">
        <v>34</v>
      </c>
      <c r="J1107" t="s">
        <v>40</v>
      </c>
      <c r="K1107" t="s">
        <v>29</v>
      </c>
      <c r="L1107" t="s">
        <v>30</v>
      </c>
      <c r="M1107" t="s">
        <v>34</v>
      </c>
      <c r="N1107" t="s">
        <v>42</v>
      </c>
      <c r="O1107">
        <v>6392</v>
      </c>
      <c r="P1107">
        <v>2</v>
      </c>
      <c r="Q1107" t="s">
        <v>36</v>
      </c>
      <c r="R1107">
        <v>13</v>
      </c>
      <c r="S1107" t="s">
        <v>33</v>
      </c>
      <c r="T1107" t="s">
        <v>31</v>
      </c>
      <c r="U1107">
        <v>6</v>
      </c>
      <c r="V1107" t="s">
        <v>35</v>
      </c>
      <c r="W1107" t="str">
        <f>IF(HR_Data[[#This Row],[age]]&lt;25,"Under 25",IF(HR_Data[[#This Row],[age]]&lt;35,"25-34",IF(HR_Data[[#This Row],[age]]&lt;45,"35-44",IF(HR_Data[[#This Row],[age]]&lt;55,"45-54","55+"))))</f>
        <v>25-34</v>
      </c>
      <c r="X1107" t="str">
        <f t="shared" si="17"/>
        <v>5,000-7,999</v>
      </c>
    </row>
    <row r="1108" spans="1:24" x14ac:dyDescent="0.3">
      <c r="A1108">
        <v>1562</v>
      </c>
      <c r="B1108">
        <v>30</v>
      </c>
      <c r="C1108" t="s">
        <v>22</v>
      </c>
      <c r="D1108" t="s">
        <v>23</v>
      </c>
      <c r="E1108" t="s">
        <v>24</v>
      </c>
      <c r="F1108">
        <v>1</v>
      </c>
      <c r="G1108" t="s">
        <v>50</v>
      </c>
      <c r="H1108" t="s">
        <v>26</v>
      </c>
      <c r="I1108" t="s">
        <v>27</v>
      </c>
      <c r="J1108" t="s">
        <v>40</v>
      </c>
      <c r="K1108" t="s">
        <v>27</v>
      </c>
      <c r="L1108" t="s">
        <v>30</v>
      </c>
      <c r="M1108" t="s">
        <v>34</v>
      </c>
      <c r="N1108" t="s">
        <v>42</v>
      </c>
      <c r="O1108">
        <v>9714</v>
      </c>
      <c r="P1108">
        <v>1</v>
      </c>
      <c r="Q1108" t="s">
        <v>36</v>
      </c>
      <c r="R1108">
        <v>11</v>
      </c>
      <c r="S1108" t="s">
        <v>33</v>
      </c>
      <c r="T1108" t="s">
        <v>31</v>
      </c>
      <c r="U1108">
        <v>4</v>
      </c>
      <c r="V1108" t="s">
        <v>44</v>
      </c>
      <c r="W1108" t="str">
        <f>IF(HR_Data[[#This Row],[age]]&lt;25,"Under 25",IF(HR_Data[[#This Row],[age]]&lt;35,"25-34",IF(HR_Data[[#This Row],[age]]&lt;45,"35-44",IF(HR_Data[[#This Row],[age]]&lt;55,"45-54","55+"))))</f>
        <v>25-34</v>
      </c>
      <c r="X1108" t="str">
        <f t="shared" si="17"/>
        <v>8,000+</v>
      </c>
    </row>
    <row r="1109" spans="1:24" x14ac:dyDescent="0.3">
      <c r="A1109">
        <v>1563</v>
      </c>
      <c r="B1109">
        <v>38</v>
      </c>
      <c r="C1109" t="s">
        <v>36</v>
      </c>
      <c r="D1109" t="s">
        <v>37</v>
      </c>
      <c r="E1109" t="s">
        <v>62</v>
      </c>
      <c r="F1109">
        <v>10</v>
      </c>
      <c r="G1109" t="s">
        <v>47</v>
      </c>
      <c r="H1109" t="s">
        <v>62</v>
      </c>
      <c r="I1109" t="s">
        <v>29</v>
      </c>
      <c r="J1109" t="s">
        <v>40</v>
      </c>
      <c r="K1109" t="s">
        <v>29</v>
      </c>
      <c r="L1109" t="s">
        <v>62</v>
      </c>
      <c r="M1109" t="s">
        <v>29</v>
      </c>
      <c r="N1109" t="s">
        <v>42</v>
      </c>
      <c r="O1109">
        <v>6077</v>
      </c>
      <c r="P1109">
        <v>3</v>
      </c>
      <c r="Q1109" t="s">
        <v>36</v>
      </c>
      <c r="R1109">
        <v>11</v>
      </c>
      <c r="S1109" t="s">
        <v>33</v>
      </c>
      <c r="T1109" t="s">
        <v>29</v>
      </c>
      <c r="U1109">
        <v>2</v>
      </c>
      <c r="V1109" t="s">
        <v>44</v>
      </c>
      <c r="W1109" t="str">
        <f>IF(HR_Data[[#This Row],[age]]&lt;25,"Under 25",IF(HR_Data[[#This Row],[age]]&lt;35,"25-34",IF(HR_Data[[#This Row],[age]]&lt;45,"35-44",IF(HR_Data[[#This Row],[age]]&lt;55,"45-54","55+"))))</f>
        <v>35-44</v>
      </c>
      <c r="X1109" t="str">
        <f t="shared" si="17"/>
        <v>5,000-7,999</v>
      </c>
    </row>
    <row r="1110" spans="1:24" x14ac:dyDescent="0.3">
      <c r="A1110">
        <v>1564</v>
      </c>
      <c r="B1110">
        <v>35</v>
      </c>
      <c r="C1110" t="s">
        <v>36</v>
      </c>
      <c r="D1110" t="s">
        <v>23</v>
      </c>
      <c r="E1110" t="s">
        <v>38</v>
      </c>
      <c r="F1110">
        <v>1</v>
      </c>
      <c r="G1110" t="s">
        <v>50</v>
      </c>
      <c r="H1110" t="s">
        <v>48</v>
      </c>
      <c r="I1110" t="s">
        <v>31</v>
      </c>
      <c r="J1110" t="s">
        <v>40</v>
      </c>
      <c r="K1110" t="s">
        <v>27</v>
      </c>
      <c r="L1110" t="s">
        <v>46</v>
      </c>
      <c r="M1110" t="s">
        <v>34</v>
      </c>
      <c r="N1110" t="s">
        <v>32</v>
      </c>
      <c r="O1110">
        <v>2450</v>
      </c>
      <c r="P1110">
        <v>1</v>
      </c>
      <c r="Q1110" t="s">
        <v>36</v>
      </c>
      <c r="R1110">
        <v>19</v>
      </c>
      <c r="S1110" t="s">
        <v>33</v>
      </c>
      <c r="T1110" t="s">
        <v>27</v>
      </c>
      <c r="U1110">
        <v>3</v>
      </c>
      <c r="V1110" t="s">
        <v>44</v>
      </c>
      <c r="W1110" t="str">
        <f>IF(HR_Data[[#This Row],[age]]&lt;25,"Under 25",IF(HR_Data[[#This Row],[age]]&lt;35,"25-34",IF(HR_Data[[#This Row],[age]]&lt;45,"35-44",IF(HR_Data[[#This Row],[age]]&lt;55,"45-54","55+"))))</f>
        <v>35-44</v>
      </c>
      <c r="X1110" t="str">
        <f t="shared" si="17"/>
        <v>Below 3,000</v>
      </c>
    </row>
    <row r="1111" spans="1:24" x14ac:dyDescent="0.3">
      <c r="A1111">
        <v>1568</v>
      </c>
      <c r="B1111">
        <v>30</v>
      </c>
      <c r="C1111" t="s">
        <v>36</v>
      </c>
      <c r="D1111" t="s">
        <v>23</v>
      </c>
      <c r="E1111" t="s">
        <v>24</v>
      </c>
      <c r="F1111">
        <v>29</v>
      </c>
      <c r="G1111" t="s">
        <v>47</v>
      </c>
      <c r="H1111" t="s">
        <v>60</v>
      </c>
      <c r="I1111" t="s">
        <v>29</v>
      </c>
      <c r="J1111" t="s">
        <v>40</v>
      </c>
      <c r="K1111" t="s">
        <v>29</v>
      </c>
      <c r="L1111" t="s">
        <v>30</v>
      </c>
      <c r="M1111" t="s">
        <v>27</v>
      </c>
      <c r="N1111" t="s">
        <v>42</v>
      </c>
      <c r="O1111">
        <v>9250</v>
      </c>
      <c r="P1111">
        <v>3</v>
      </c>
      <c r="Q1111" t="s">
        <v>36</v>
      </c>
      <c r="R1111">
        <v>12</v>
      </c>
      <c r="S1111" t="s">
        <v>33</v>
      </c>
      <c r="T1111" t="s">
        <v>27</v>
      </c>
      <c r="U1111">
        <v>3</v>
      </c>
      <c r="V1111" t="s">
        <v>44</v>
      </c>
      <c r="W1111" t="str">
        <f>IF(HR_Data[[#This Row],[age]]&lt;25,"Under 25",IF(HR_Data[[#This Row],[age]]&lt;35,"25-34",IF(HR_Data[[#This Row],[age]]&lt;45,"35-44",IF(HR_Data[[#This Row],[age]]&lt;55,"45-54","55+"))))</f>
        <v>25-34</v>
      </c>
      <c r="X1111" t="str">
        <f t="shared" si="17"/>
        <v>8,000+</v>
      </c>
    </row>
    <row r="1112" spans="1:24" x14ac:dyDescent="0.3">
      <c r="A1112">
        <v>1569</v>
      </c>
      <c r="B1112">
        <v>35</v>
      </c>
      <c r="C1112" t="s">
        <v>22</v>
      </c>
      <c r="D1112" t="s">
        <v>23</v>
      </c>
      <c r="E1112" t="s">
        <v>38</v>
      </c>
      <c r="F1112">
        <v>2</v>
      </c>
      <c r="G1112" t="s">
        <v>50</v>
      </c>
      <c r="H1112" t="s">
        <v>26</v>
      </c>
      <c r="I1112" t="s">
        <v>34</v>
      </c>
      <c r="J1112" t="s">
        <v>28</v>
      </c>
      <c r="K1112" t="s">
        <v>29</v>
      </c>
      <c r="L1112" t="s">
        <v>46</v>
      </c>
      <c r="M1112" t="s">
        <v>34</v>
      </c>
      <c r="N1112" t="s">
        <v>51</v>
      </c>
      <c r="O1112">
        <v>2074</v>
      </c>
      <c r="P1112">
        <v>1</v>
      </c>
      <c r="Q1112" t="s">
        <v>22</v>
      </c>
      <c r="R1112">
        <v>12</v>
      </c>
      <c r="S1112" t="s">
        <v>33</v>
      </c>
      <c r="T1112" t="s">
        <v>31</v>
      </c>
      <c r="U1112">
        <v>2</v>
      </c>
      <c r="V1112" t="s">
        <v>44</v>
      </c>
      <c r="W1112" t="str">
        <f>IF(HR_Data[[#This Row],[age]]&lt;25,"Under 25",IF(HR_Data[[#This Row],[age]]&lt;35,"25-34",IF(HR_Data[[#This Row],[age]]&lt;45,"35-44",IF(HR_Data[[#This Row],[age]]&lt;55,"45-54","55+"))))</f>
        <v>35-44</v>
      </c>
      <c r="X1112" t="str">
        <f t="shared" si="17"/>
        <v>Below 3,000</v>
      </c>
    </row>
    <row r="1113" spans="1:24" x14ac:dyDescent="0.3">
      <c r="A1113">
        <v>1572</v>
      </c>
      <c r="B1113">
        <v>53</v>
      </c>
      <c r="C1113" t="s">
        <v>22</v>
      </c>
      <c r="D1113" t="s">
        <v>23</v>
      </c>
      <c r="E1113" t="s">
        <v>38</v>
      </c>
      <c r="F1113">
        <v>2</v>
      </c>
      <c r="G1113" t="s">
        <v>61</v>
      </c>
      <c r="H1113" t="s">
        <v>60</v>
      </c>
      <c r="I1113" t="s">
        <v>29</v>
      </c>
      <c r="J1113" t="s">
        <v>28</v>
      </c>
      <c r="K1113" t="s">
        <v>27</v>
      </c>
      <c r="L1113" t="s">
        <v>52</v>
      </c>
      <c r="M1113" t="s">
        <v>31</v>
      </c>
      <c r="N1113" t="s">
        <v>42</v>
      </c>
      <c r="O1113">
        <v>10169</v>
      </c>
      <c r="P1113">
        <v>0</v>
      </c>
      <c r="Q1113" t="s">
        <v>36</v>
      </c>
      <c r="R1113">
        <v>16</v>
      </c>
      <c r="S1113" t="s">
        <v>33</v>
      </c>
      <c r="T1113" t="s">
        <v>27</v>
      </c>
      <c r="U1113">
        <v>4</v>
      </c>
      <c r="V1113" t="s">
        <v>44</v>
      </c>
      <c r="W1113" t="str">
        <f>IF(HR_Data[[#This Row],[age]]&lt;25,"Under 25",IF(HR_Data[[#This Row],[age]]&lt;35,"25-34",IF(HR_Data[[#This Row],[age]]&lt;45,"35-44",IF(HR_Data[[#This Row],[age]]&lt;55,"45-54","55+"))))</f>
        <v>45-54</v>
      </c>
      <c r="X1113" t="str">
        <f t="shared" si="17"/>
        <v>8,000+</v>
      </c>
    </row>
    <row r="1114" spans="1:24" x14ac:dyDescent="0.3">
      <c r="A1114">
        <v>1573</v>
      </c>
      <c r="B1114">
        <v>38</v>
      </c>
      <c r="C1114" t="s">
        <v>22</v>
      </c>
      <c r="D1114" t="s">
        <v>23</v>
      </c>
      <c r="E1114" t="s">
        <v>38</v>
      </c>
      <c r="F1114">
        <v>2</v>
      </c>
      <c r="G1114" t="s">
        <v>50</v>
      </c>
      <c r="H1114" t="s">
        <v>48</v>
      </c>
      <c r="I1114" t="s">
        <v>29</v>
      </c>
      <c r="J1114" t="s">
        <v>40</v>
      </c>
      <c r="K1114" t="s">
        <v>29</v>
      </c>
      <c r="L1114" t="s">
        <v>52</v>
      </c>
      <c r="M1114" t="s">
        <v>27</v>
      </c>
      <c r="N1114" t="s">
        <v>42</v>
      </c>
      <c r="O1114">
        <v>4855</v>
      </c>
      <c r="P1114">
        <v>4</v>
      </c>
      <c r="Q1114" t="s">
        <v>36</v>
      </c>
      <c r="R1114">
        <v>11</v>
      </c>
      <c r="S1114" t="s">
        <v>33</v>
      </c>
      <c r="T1114" t="s">
        <v>34</v>
      </c>
      <c r="U1114">
        <v>2</v>
      </c>
      <c r="V1114" t="s">
        <v>44</v>
      </c>
      <c r="W1114" t="str">
        <f>IF(HR_Data[[#This Row],[age]]&lt;25,"Under 25",IF(HR_Data[[#This Row],[age]]&lt;35,"25-34",IF(HR_Data[[#This Row],[age]]&lt;45,"35-44",IF(HR_Data[[#This Row],[age]]&lt;55,"45-54","55+"))))</f>
        <v>35-44</v>
      </c>
      <c r="X1114" t="str">
        <f t="shared" si="17"/>
        <v>3,000-4,999</v>
      </c>
    </row>
    <row r="1115" spans="1:24" x14ac:dyDescent="0.3">
      <c r="A1115">
        <v>1574</v>
      </c>
      <c r="B1115">
        <v>32</v>
      </c>
      <c r="C1115" t="s">
        <v>36</v>
      </c>
      <c r="D1115" t="s">
        <v>54</v>
      </c>
      <c r="E1115" t="s">
        <v>38</v>
      </c>
      <c r="F1115">
        <v>1</v>
      </c>
      <c r="G1115" t="s">
        <v>47</v>
      </c>
      <c r="H1115" t="s">
        <v>60</v>
      </c>
      <c r="I1115" t="s">
        <v>31</v>
      </c>
      <c r="J1115" t="s">
        <v>40</v>
      </c>
      <c r="K1115" t="s">
        <v>29</v>
      </c>
      <c r="L1115" t="s">
        <v>41</v>
      </c>
      <c r="M1115" t="s">
        <v>34</v>
      </c>
      <c r="N1115" t="s">
        <v>42</v>
      </c>
      <c r="O1115">
        <v>4087</v>
      </c>
      <c r="P1115">
        <v>4</v>
      </c>
      <c r="Q1115" t="s">
        <v>36</v>
      </c>
      <c r="R1115">
        <v>14</v>
      </c>
      <c r="S1115" t="s">
        <v>33</v>
      </c>
      <c r="T1115" t="s">
        <v>27</v>
      </c>
      <c r="U1115">
        <v>3</v>
      </c>
      <c r="V1115" t="s">
        <v>49</v>
      </c>
      <c r="W1115" t="str">
        <f>IF(HR_Data[[#This Row],[age]]&lt;25,"Under 25",IF(HR_Data[[#This Row],[age]]&lt;35,"25-34",IF(HR_Data[[#This Row],[age]]&lt;45,"35-44",IF(HR_Data[[#This Row],[age]]&lt;55,"45-54","55+"))))</f>
        <v>25-34</v>
      </c>
      <c r="X1115" t="str">
        <f t="shared" si="17"/>
        <v>3,000-4,999</v>
      </c>
    </row>
    <row r="1116" spans="1:24" x14ac:dyDescent="0.3">
      <c r="A1116">
        <v>1576</v>
      </c>
      <c r="B1116">
        <v>48</v>
      </c>
      <c r="C1116" t="s">
        <v>36</v>
      </c>
      <c r="D1116" t="s">
        <v>23</v>
      </c>
      <c r="E1116" t="s">
        <v>38</v>
      </c>
      <c r="F1116">
        <v>15</v>
      </c>
      <c r="G1116" t="s">
        <v>47</v>
      </c>
      <c r="H1116" t="s">
        <v>45</v>
      </c>
      <c r="I1116" t="s">
        <v>29</v>
      </c>
      <c r="J1116" t="s">
        <v>28</v>
      </c>
      <c r="K1116" t="s">
        <v>29</v>
      </c>
      <c r="L1116" t="s">
        <v>41</v>
      </c>
      <c r="M1116" t="s">
        <v>34</v>
      </c>
      <c r="N1116" t="s">
        <v>42</v>
      </c>
      <c r="O1116">
        <v>2367</v>
      </c>
      <c r="P1116">
        <v>8</v>
      </c>
      <c r="Q1116" t="s">
        <v>36</v>
      </c>
      <c r="R1116">
        <v>12</v>
      </c>
      <c r="S1116" t="s">
        <v>33</v>
      </c>
      <c r="T1116" t="s">
        <v>31</v>
      </c>
      <c r="U1116">
        <v>3</v>
      </c>
      <c r="V1116" t="s">
        <v>49</v>
      </c>
      <c r="W1116" t="str">
        <f>IF(HR_Data[[#This Row],[age]]&lt;25,"Under 25",IF(HR_Data[[#This Row],[age]]&lt;35,"25-34",IF(HR_Data[[#This Row],[age]]&lt;45,"35-44",IF(HR_Data[[#This Row],[age]]&lt;55,"45-54","55+"))))</f>
        <v>45-54</v>
      </c>
      <c r="X1116" t="str">
        <f t="shared" si="17"/>
        <v>Below 3,000</v>
      </c>
    </row>
    <row r="1117" spans="1:24" x14ac:dyDescent="0.3">
      <c r="A1117">
        <v>1577</v>
      </c>
      <c r="B1117">
        <v>34</v>
      </c>
      <c r="C1117" t="s">
        <v>36</v>
      </c>
      <c r="D1117" t="s">
        <v>23</v>
      </c>
      <c r="E1117" t="s">
        <v>38</v>
      </c>
      <c r="F1117">
        <v>7</v>
      </c>
      <c r="G1117" t="s">
        <v>47</v>
      </c>
      <c r="H1117" t="s">
        <v>48</v>
      </c>
      <c r="I1117" t="s">
        <v>34</v>
      </c>
      <c r="J1117" t="s">
        <v>40</v>
      </c>
      <c r="K1117" t="s">
        <v>29</v>
      </c>
      <c r="L1117" t="s">
        <v>41</v>
      </c>
      <c r="M1117" t="s">
        <v>31</v>
      </c>
      <c r="N1117" t="s">
        <v>32</v>
      </c>
      <c r="O1117">
        <v>2972</v>
      </c>
      <c r="P1117">
        <v>1</v>
      </c>
      <c r="Q1117" t="s">
        <v>36</v>
      </c>
      <c r="R1117">
        <v>13</v>
      </c>
      <c r="S1117" t="s">
        <v>33</v>
      </c>
      <c r="T1117" t="s">
        <v>29</v>
      </c>
      <c r="U1117">
        <v>4</v>
      </c>
      <c r="V1117" t="s">
        <v>35</v>
      </c>
      <c r="W1117" t="str">
        <f>IF(HR_Data[[#This Row],[age]]&lt;25,"Under 25",IF(HR_Data[[#This Row],[age]]&lt;35,"25-34",IF(HR_Data[[#This Row],[age]]&lt;45,"35-44",IF(HR_Data[[#This Row],[age]]&lt;55,"45-54","55+"))))</f>
        <v>25-34</v>
      </c>
      <c r="X1117" t="str">
        <f t="shared" si="17"/>
        <v>Below 3,000</v>
      </c>
    </row>
    <row r="1118" spans="1:24" x14ac:dyDescent="0.3">
      <c r="A1118">
        <v>1578</v>
      </c>
      <c r="B1118">
        <v>55</v>
      </c>
      <c r="C1118" t="s">
        <v>36</v>
      </c>
      <c r="D1118" t="s">
        <v>23</v>
      </c>
      <c r="E1118" t="s">
        <v>24</v>
      </c>
      <c r="F1118">
        <v>26</v>
      </c>
      <c r="G1118" t="s">
        <v>61</v>
      </c>
      <c r="H1118" t="s">
        <v>58</v>
      </c>
      <c r="I1118" t="s">
        <v>29</v>
      </c>
      <c r="J1118" t="s">
        <v>40</v>
      </c>
      <c r="K1118" t="s">
        <v>27</v>
      </c>
      <c r="L1118" t="s">
        <v>55</v>
      </c>
      <c r="M1118" t="s">
        <v>31</v>
      </c>
      <c r="N1118" t="s">
        <v>42</v>
      </c>
      <c r="O1118">
        <v>19586</v>
      </c>
      <c r="P1118">
        <v>1</v>
      </c>
      <c r="Q1118" t="s">
        <v>36</v>
      </c>
      <c r="R1118">
        <v>21</v>
      </c>
      <c r="S1118" t="s">
        <v>43</v>
      </c>
      <c r="T1118" t="s">
        <v>29</v>
      </c>
      <c r="U1118">
        <v>3</v>
      </c>
      <c r="V1118" t="s">
        <v>44</v>
      </c>
      <c r="W1118" t="str">
        <f>IF(HR_Data[[#This Row],[age]]&lt;25,"Under 25",IF(HR_Data[[#This Row],[age]]&lt;35,"25-34",IF(HR_Data[[#This Row],[age]]&lt;45,"35-44",IF(HR_Data[[#This Row],[age]]&lt;55,"45-54","55+"))))</f>
        <v>55+</v>
      </c>
      <c r="X1118" t="str">
        <f t="shared" si="17"/>
        <v>8,000+</v>
      </c>
    </row>
    <row r="1119" spans="1:24" x14ac:dyDescent="0.3">
      <c r="A1119">
        <v>1580</v>
      </c>
      <c r="B1119">
        <v>34</v>
      </c>
      <c r="C1119" t="s">
        <v>36</v>
      </c>
      <c r="D1119" t="s">
        <v>23</v>
      </c>
      <c r="E1119" t="s">
        <v>38</v>
      </c>
      <c r="F1119">
        <v>1</v>
      </c>
      <c r="G1119" t="s">
        <v>47</v>
      </c>
      <c r="H1119" t="s">
        <v>26</v>
      </c>
      <c r="I1119" t="s">
        <v>27</v>
      </c>
      <c r="J1119" t="s">
        <v>40</v>
      </c>
      <c r="K1119" t="s">
        <v>29</v>
      </c>
      <c r="L1119" t="s">
        <v>41</v>
      </c>
      <c r="M1119" t="s">
        <v>31</v>
      </c>
      <c r="N1119" t="s">
        <v>42</v>
      </c>
      <c r="O1119">
        <v>5484</v>
      </c>
      <c r="P1119">
        <v>9</v>
      </c>
      <c r="Q1119" t="s">
        <v>36</v>
      </c>
      <c r="R1119">
        <v>17</v>
      </c>
      <c r="S1119" t="s">
        <v>33</v>
      </c>
      <c r="T1119" t="s">
        <v>27</v>
      </c>
      <c r="U1119">
        <v>3</v>
      </c>
      <c r="V1119" t="s">
        <v>49</v>
      </c>
      <c r="W1119" t="str">
        <f>IF(HR_Data[[#This Row],[age]]&lt;25,"Under 25",IF(HR_Data[[#This Row],[age]]&lt;35,"25-34",IF(HR_Data[[#This Row],[age]]&lt;45,"35-44",IF(HR_Data[[#This Row],[age]]&lt;55,"45-54","55+"))))</f>
        <v>25-34</v>
      </c>
      <c r="X1119" t="str">
        <f t="shared" si="17"/>
        <v>5,000-7,999</v>
      </c>
    </row>
    <row r="1120" spans="1:24" x14ac:dyDescent="0.3">
      <c r="A1120">
        <v>1581</v>
      </c>
      <c r="B1120">
        <v>26</v>
      </c>
      <c r="C1120" t="s">
        <v>36</v>
      </c>
      <c r="D1120" t="s">
        <v>23</v>
      </c>
      <c r="E1120" t="s">
        <v>38</v>
      </c>
      <c r="F1120">
        <v>3</v>
      </c>
      <c r="G1120" t="s">
        <v>50</v>
      </c>
      <c r="H1120" t="s">
        <v>26</v>
      </c>
      <c r="I1120" t="s">
        <v>34</v>
      </c>
      <c r="J1120" t="s">
        <v>28</v>
      </c>
      <c r="K1120" t="s">
        <v>29</v>
      </c>
      <c r="L1120" t="s">
        <v>41</v>
      </c>
      <c r="M1120" t="s">
        <v>31</v>
      </c>
      <c r="N1120" t="s">
        <v>42</v>
      </c>
      <c r="O1120">
        <v>2061</v>
      </c>
      <c r="P1120">
        <v>1</v>
      </c>
      <c r="Q1120" t="s">
        <v>36</v>
      </c>
      <c r="R1120">
        <v>21</v>
      </c>
      <c r="S1120" t="s">
        <v>43</v>
      </c>
      <c r="T1120" t="s">
        <v>34</v>
      </c>
      <c r="U1120">
        <v>5</v>
      </c>
      <c r="V1120" t="s">
        <v>44</v>
      </c>
      <c r="W1120" t="str">
        <f>IF(HR_Data[[#This Row],[age]]&lt;25,"Under 25",IF(HR_Data[[#This Row],[age]]&lt;35,"25-34",IF(HR_Data[[#This Row],[age]]&lt;45,"35-44",IF(HR_Data[[#This Row],[age]]&lt;55,"45-54","55+"))))</f>
        <v>25-34</v>
      </c>
      <c r="X1120" t="str">
        <f t="shared" si="17"/>
        <v>Below 3,000</v>
      </c>
    </row>
    <row r="1121" spans="1:24" x14ac:dyDescent="0.3">
      <c r="A1121">
        <v>1582</v>
      </c>
      <c r="B1121">
        <v>38</v>
      </c>
      <c r="C1121" t="s">
        <v>36</v>
      </c>
      <c r="D1121" t="s">
        <v>23</v>
      </c>
      <c r="E1121" t="s">
        <v>24</v>
      </c>
      <c r="F1121">
        <v>14</v>
      </c>
      <c r="G1121" t="s">
        <v>50</v>
      </c>
      <c r="H1121" t="s">
        <v>26</v>
      </c>
      <c r="I1121" t="s">
        <v>29</v>
      </c>
      <c r="J1121" t="s">
        <v>40</v>
      </c>
      <c r="K1121" t="s">
        <v>29</v>
      </c>
      <c r="L1121" t="s">
        <v>30</v>
      </c>
      <c r="M1121" t="s">
        <v>27</v>
      </c>
      <c r="N1121" t="s">
        <v>42</v>
      </c>
      <c r="O1121">
        <v>9924</v>
      </c>
      <c r="P1121">
        <v>0</v>
      </c>
      <c r="Q1121" t="s">
        <v>36</v>
      </c>
      <c r="R1121">
        <v>11</v>
      </c>
      <c r="S1121" t="s">
        <v>33</v>
      </c>
      <c r="T1121" t="s">
        <v>31</v>
      </c>
      <c r="U1121">
        <v>3</v>
      </c>
      <c r="V1121" t="s">
        <v>44</v>
      </c>
      <c r="W1121" t="str">
        <f>IF(HR_Data[[#This Row],[age]]&lt;25,"Under 25",IF(HR_Data[[#This Row],[age]]&lt;35,"25-34",IF(HR_Data[[#This Row],[age]]&lt;45,"35-44",IF(HR_Data[[#This Row],[age]]&lt;55,"45-54","55+"))))</f>
        <v>35-44</v>
      </c>
      <c r="X1121" t="str">
        <f t="shared" si="17"/>
        <v>8,000+</v>
      </c>
    </row>
    <row r="1122" spans="1:24" x14ac:dyDescent="0.3">
      <c r="A1122">
        <v>1583</v>
      </c>
      <c r="B1122">
        <v>38</v>
      </c>
      <c r="C1122" t="s">
        <v>36</v>
      </c>
      <c r="D1122" t="s">
        <v>23</v>
      </c>
      <c r="E1122" t="s">
        <v>24</v>
      </c>
      <c r="F1122">
        <v>16</v>
      </c>
      <c r="G1122" t="s">
        <v>50</v>
      </c>
      <c r="H1122" t="s">
        <v>26</v>
      </c>
      <c r="I1122" t="s">
        <v>27</v>
      </c>
      <c r="J1122" t="s">
        <v>28</v>
      </c>
      <c r="K1122" t="s">
        <v>29</v>
      </c>
      <c r="L1122" t="s">
        <v>30</v>
      </c>
      <c r="M1122" t="s">
        <v>27</v>
      </c>
      <c r="N1122" t="s">
        <v>32</v>
      </c>
      <c r="O1122">
        <v>4198</v>
      </c>
      <c r="P1122">
        <v>2</v>
      </c>
      <c r="Q1122" t="s">
        <v>36</v>
      </c>
      <c r="R1122">
        <v>12</v>
      </c>
      <c r="S1122" t="s">
        <v>33</v>
      </c>
      <c r="T1122" t="s">
        <v>27</v>
      </c>
      <c r="U1122">
        <v>5</v>
      </c>
      <c r="V1122" t="s">
        <v>59</v>
      </c>
      <c r="W1122" t="str">
        <f>IF(HR_Data[[#This Row],[age]]&lt;25,"Under 25",IF(HR_Data[[#This Row],[age]]&lt;35,"25-34",IF(HR_Data[[#This Row],[age]]&lt;45,"35-44",IF(HR_Data[[#This Row],[age]]&lt;55,"45-54","55+"))))</f>
        <v>35-44</v>
      </c>
      <c r="X1122" t="str">
        <f t="shared" si="17"/>
        <v>3,000-4,999</v>
      </c>
    </row>
    <row r="1123" spans="1:24" x14ac:dyDescent="0.3">
      <c r="A1123">
        <v>1585</v>
      </c>
      <c r="B1123">
        <v>36</v>
      </c>
      <c r="C1123" t="s">
        <v>36</v>
      </c>
      <c r="D1123" t="s">
        <v>23</v>
      </c>
      <c r="E1123" t="s">
        <v>24</v>
      </c>
      <c r="F1123">
        <v>1</v>
      </c>
      <c r="G1123" t="s">
        <v>47</v>
      </c>
      <c r="H1123" t="s">
        <v>26</v>
      </c>
      <c r="I1123" t="s">
        <v>27</v>
      </c>
      <c r="J1123" t="s">
        <v>28</v>
      </c>
      <c r="K1123" t="s">
        <v>29</v>
      </c>
      <c r="L1123" t="s">
        <v>30</v>
      </c>
      <c r="M1123" t="s">
        <v>29</v>
      </c>
      <c r="N1123" t="s">
        <v>32</v>
      </c>
      <c r="O1123">
        <v>6815</v>
      </c>
      <c r="P1123">
        <v>6</v>
      </c>
      <c r="Q1123" t="s">
        <v>36</v>
      </c>
      <c r="R1123">
        <v>13</v>
      </c>
      <c r="S1123" t="s">
        <v>33</v>
      </c>
      <c r="T1123" t="s">
        <v>34</v>
      </c>
      <c r="U1123">
        <v>5</v>
      </c>
      <c r="V1123" t="s">
        <v>44</v>
      </c>
      <c r="W1123" t="str">
        <f>IF(HR_Data[[#This Row],[age]]&lt;25,"Under 25",IF(HR_Data[[#This Row],[age]]&lt;35,"25-34",IF(HR_Data[[#This Row],[age]]&lt;45,"35-44",IF(HR_Data[[#This Row],[age]]&lt;55,"45-54","55+"))))</f>
        <v>35-44</v>
      </c>
      <c r="X1123" t="str">
        <f t="shared" si="17"/>
        <v>5,000-7,999</v>
      </c>
    </row>
    <row r="1124" spans="1:24" x14ac:dyDescent="0.3">
      <c r="A1124">
        <v>1586</v>
      </c>
      <c r="B1124">
        <v>29</v>
      </c>
      <c r="C1124" t="s">
        <v>36</v>
      </c>
      <c r="D1124" t="s">
        <v>23</v>
      </c>
      <c r="E1124" t="s">
        <v>38</v>
      </c>
      <c r="F1124">
        <v>3</v>
      </c>
      <c r="G1124" t="s">
        <v>39</v>
      </c>
      <c r="H1124" t="s">
        <v>48</v>
      </c>
      <c r="I1124" t="s">
        <v>27</v>
      </c>
      <c r="J1124" t="s">
        <v>40</v>
      </c>
      <c r="K1124" t="s">
        <v>29</v>
      </c>
      <c r="L1124" t="s">
        <v>46</v>
      </c>
      <c r="M1124" t="s">
        <v>34</v>
      </c>
      <c r="N1124" t="s">
        <v>32</v>
      </c>
      <c r="O1124">
        <v>4723</v>
      </c>
      <c r="P1124">
        <v>1</v>
      </c>
      <c r="Q1124" t="s">
        <v>22</v>
      </c>
      <c r="R1124">
        <v>18</v>
      </c>
      <c r="S1124" t="s">
        <v>33</v>
      </c>
      <c r="T1124" t="s">
        <v>31</v>
      </c>
      <c r="U1124">
        <v>3</v>
      </c>
      <c r="V1124" t="s">
        <v>44</v>
      </c>
      <c r="W1124" t="str">
        <f>IF(HR_Data[[#This Row],[age]]&lt;25,"Under 25",IF(HR_Data[[#This Row],[age]]&lt;35,"25-34",IF(HR_Data[[#This Row],[age]]&lt;45,"35-44",IF(HR_Data[[#This Row],[age]]&lt;55,"45-54","55+"))))</f>
        <v>25-34</v>
      </c>
      <c r="X1124" t="str">
        <f t="shared" si="17"/>
        <v>3,000-4,999</v>
      </c>
    </row>
    <row r="1125" spans="1:24" x14ac:dyDescent="0.3">
      <c r="A1125">
        <v>1587</v>
      </c>
      <c r="B1125">
        <v>35</v>
      </c>
      <c r="C1125" t="s">
        <v>36</v>
      </c>
      <c r="D1125" t="s">
        <v>23</v>
      </c>
      <c r="E1125" t="s">
        <v>38</v>
      </c>
      <c r="F1125">
        <v>10</v>
      </c>
      <c r="G1125" t="s">
        <v>47</v>
      </c>
      <c r="H1125" t="s">
        <v>48</v>
      </c>
      <c r="I1125" t="s">
        <v>34</v>
      </c>
      <c r="J1125" t="s">
        <v>28</v>
      </c>
      <c r="K1125" t="s">
        <v>29</v>
      </c>
      <c r="L1125" t="s">
        <v>53</v>
      </c>
      <c r="M1125" t="s">
        <v>29</v>
      </c>
      <c r="N1125" t="s">
        <v>32</v>
      </c>
      <c r="O1125">
        <v>6142</v>
      </c>
      <c r="P1125">
        <v>3</v>
      </c>
      <c r="Q1125" t="s">
        <v>22</v>
      </c>
      <c r="R1125">
        <v>16</v>
      </c>
      <c r="S1125" t="s">
        <v>33</v>
      </c>
      <c r="T1125" t="s">
        <v>29</v>
      </c>
      <c r="U1125">
        <v>4</v>
      </c>
      <c r="V1125" t="s">
        <v>44</v>
      </c>
      <c r="W1125" t="str">
        <f>IF(HR_Data[[#This Row],[age]]&lt;25,"Under 25",IF(HR_Data[[#This Row],[age]]&lt;35,"25-34",IF(HR_Data[[#This Row],[age]]&lt;45,"35-44",IF(HR_Data[[#This Row],[age]]&lt;55,"45-54","55+"))))</f>
        <v>35-44</v>
      </c>
      <c r="X1125" t="str">
        <f t="shared" si="17"/>
        <v>5,000-7,999</v>
      </c>
    </row>
    <row r="1126" spans="1:24" x14ac:dyDescent="0.3">
      <c r="A1126">
        <v>1588</v>
      </c>
      <c r="B1126">
        <v>39</v>
      </c>
      <c r="C1126" t="s">
        <v>36</v>
      </c>
      <c r="D1126" t="s">
        <v>23</v>
      </c>
      <c r="E1126" t="s">
        <v>24</v>
      </c>
      <c r="F1126">
        <v>6</v>
      </c>
      <c r="G1126" t="s">
        <v>50</v>
      </c>
      <c r="H1126" t="s">
        <v>48</v>
      </c>
      <c r="I1126" t="s">
        <v>31</v>
      </c>
      <c r="J1126" t="s">
        <v>40</v>
      </c>
      <c r="K1126" t="s">
        <v>31</v>
      </c>
      <c r="L1126" t="s">
        <v>30</v>
      </c>
      <c r="M1126" t="s">
        <v>29</v>
      </c>
      <c r="N1126" t="s">
        <v>42</v>
      </c>
      <c r="O1126">
        <v>8237</v>
      </c>
      <c r="P1126">
        <v>2</v>
      </c>
      <c r="Q1126" t="s">
        <v>36</v>
      </c>
      <c r="R1126">
        <v>11</v>
      </c>
      <c r="S1126" t="s">
        <v>33</v>
      </c>
      <c r="T1126" t="s">
        <v>34</v>
      </c>
      <c r="U1126">
        <v>3</v>
      </c>
      <c r="V1126" t="s">
        <v>44</v>
      </c>
      <c r="W1126" t="str">
        <f>IF(HR_Data[[#This Row],[age]]&lt;25,"Under 25",IF(HR_Data[[#This Row],[age]]&lt;35,"25-34",IF(HR_Data[[#This Row],[age]]&lt;45,"35-44",IF(HR_Data[[#This Row],[age]]&lt;55,"45-54","55+"))))</f>
        <v>35-44</v>
      </c>
      <c r="X1126" t="str">
        <f t="shared" si="17"/>
        <v>8,000+</v>
      </c>
    </row>
    <row r="1127" spans="1:24" x14ac:dyDescent="0.3">
      <c r="A1127">
        <v>1590</v>
      </c>
      <c r="B1127">
        <v>29</v>
      </c>
      <c r="C1127" t="s">
        <v>36</v>
      </c>
      <c r="D1127" t="s">
        <v>37</v>
      </c>
      <c r="E1127" t="s">
        <v>38</v>
      </c>
      <c r="F1127">
        <v>2</v>
      </c>
      <c r="G1127" t="s">
        <v>39</v>
      </c>
      <c r="H1127" t="s">
        <v>26</v>
      </c>
      <c r="I1127" t="s">
        <v>34</v>
      </c>
      <c r="J1127" t="s">
        <v>40</v>
      </c>
      <c r="K1127" t="s">
        <v>29</v>
      </c>
      <c r="L1127" t="s">
        <v>53</v>
      </c>
      <c r="M1127" t="s">
        <v>31</v>
      </c>
      <c r="N1127" t="s">
        <v>51</v>
      </c>
      <c r="O1127">
        <v>8853</v>
      </c>
      <c r="P1127">
        <v>1</v>
      </c>
      <c r="Q1127" t="s">
        <v>36</v>
      </c>
      <c r="R1127">
        <v>19</v>
      </c>
      <c r="S1127" t="s">
        <v>33</v>
      </c>
      <c r="T1127" t="s">
        <v>31</v>
      </c>
      <c r="U1127">
        <v>0</v>
      </c>
      <c r="V1127" t="s">
        <v>59</v>
      </c>
      <c r="W1127" t="str">
        <f>IF(HR_Data[[#This Row],[age]]&lt;25,"Under 25",IF(HR_Data[[#This Row],[age]]&lt;35,"25-34",IF(HR_Data[[#This Row],[age]]&lt;45,"35-44",IF(HR_Data[[#This Row],[age]]&lt;55,"45-54","55+"))))</f>
        <v>25-34</v>
      </c>
      <c r="X1127" t="str">
        <f t="shared" si="17"/>
        <v>8,000+</v>
      </c>
    </row>
    <row r="1128" spans="1:24" x14ac:dyDescent="0.3">
      <c r="A1128">
        <v>1591</v>
      </c>
      <c r="B1128">
        <v>50</v>
      </c>
      <c r="C1128" t="s">
        <v>36</v>
      </c>
      <c r="D1128" t="s">
        <v>23</v>
      </c>
      <c r="E1128" t="s">
        <v>24</v>
      </c>
      <c r="F1128">
        <v>9</v>
      </c>
      <c r="G1128" t="s">
        <v>50</v>
      </c>
      <c r="H1128" t="s">
        <v>58</v>
      </c>
      <c r="I1128" t="s">
        <v>29</v>
      </c>
      <c r="J1128" t="s">
        <v>40</v>
      </c>
      <c r="K1128" t="s">
        <v>29</v>
      </c>
      <c r="L1128" t="s">
        <v>55</v>
      </c>
      <c r="M1128" t="s">
        <v>29</v>
      </c>
      <c r="N1128" t="s">
        <v>42</v>
      </c>
      <c r="O1128">
        <v>19331</v>
      </c>
      <c r="P1128">
        <v>4</v>
      </c>
      <c r="Q1128" t="s">
        <v>22</v>
      </c>
      <c r="R1128">
        <v>16</v>
      </c>
      <c r="S1128" t="s">
        <v>33</v>
      </c>
      <c r="T1128" t="s">
        <v>29</v>
      </c>
      <c r="U1128">
        <v>2</v>
      </c>
      <c r="V1128" t="s">
        <v>44</v>
      </c>
      <c r="W1128" t="str">
        <f>IF(HR_Data[[#This Row],[age]]&lt;25,"Under 25",IF(HR_Data[[#This Row],[age]]&lt;35,"25-34",IF(HR_Data[[#This Row],[age]]&lt;45,"35-44",IF(HR_Data[[#This Row],[age]]&lt;55,"45-54","55+"))))</f>
        <v>45-54</v>
      </c>
      <c r="X1128" t="str">
        <f t="shared" si="17"/>
        <v>8,000+</v>
      </c>
    </row>
    <row r="1129" spans="1:24" x14ac:dyDescent="0.3">
      <c r="A1129">
        <v>1592</v>
      </c>
      <c r="B1129">
        <v>23</v>
      </c>
      <c r="C1129" t="s">
        <v>36</v>
      </c>
      <c r="D1129" t="s">
        <v>23</v>
      </c>
      <c r="E1129" t="s">
        <v>38</v>
      </c>
      <c r="F1129">
        <v>10</v>
      </c>
      <c r="G1129" t="s">
        <v>50</v>
      </c>
      <c r="H1129" t="s">
        <v>60</v>
      </c>
      <c r="I1129" t="s">
        <v>31</v>
      </c>
      <c r="J1129" t="s">
        <v>40</v>
      </c>
      <c r="K1129" t="s">
        <v>31</v>
      </c>
      <c r="L1129" t="s">
        <v>41</v>
      </c>
      <c r="M1129" t="s">
        <v>29</v>
      </c>
      <c r="N1129" t="s">
        <v>42</v>
      </c>
      <c r="O1129">
        <v>2073</v>
      </c>
      <c r="P1129">
        <v>2</v>
      </c>
      <c r="Q1129" t="s">
        <v>36</v>
      </c>
      <c r="R1129">
        <v>16</v>
      </c>
      <c r="S1129" t="s">
        <v>33</v>
      </c>
      <c r="T1129" t="s">
        <v>31</v>
      </c>
      <c r="U1129">
        <v>2</v>
      </c>
      <c r="V1129" t="s">
        <v>44</v>
      </c>
      <c r="W1129" t="str">
        <f>IF(HR_Data[[#This Row],[age]]&lt;25,"Under 25",IF(HR_Data[[#This Row],[age]]&lt;35,"25-34",IF(HR_Data[[#This Row],[age]]&lt;45,"35-44",IF(HR_Data[[#This Row],[age]]&lt;55,"45-54","55+"))))</f>
        <v>Under 25</v>
      </c>
      <c r="X1129" t="str">
        <f t="shared" si="17"/>
        <v>Below 3,000</v>
      </c>
    </row>
    <row r="1130" spans="1:24" x14ac:dyDescent="0.3">
      <c r="A1130">
        <v>1594</v>
      </c>
      <c r="B1130">
        <v>36</v>
      </c>
      <c r="C1130" t="s">
        <v>36</v>
      </c>
      <c r="D1130" t="s">
        <v>37</v>
      </c>
      <c r="E1130" t="s">
        <v>38</v>
      </c>
      <c r="F1130">
        <v>6</v>
      </c>
      <c r="G1130" t="s">
        <v>47</v>
      </c>
      <c r="H1130" t="s">
        <v>26</v>
      </c>
      <c r="I1130" t="s">
        <v>34</v>
      </c>
      <c r="J1130" t="s">
        <v>40</v>
      </c>
      <c r="K1130" t="s">
        <v>31</v>
      </c>
      <c r="L1130" t="s">
        <v>46</v>
      </c>
      <c r="M1130" t="s">
        <v>34</v>
      </c>
      <c r="N1130" t="s">
        <v>42</v>
      </c>
      <c r="O1130">
        <v>5562</v>
      </c>
      <c r="P1130">
        <v>3</v>
      </c>
      <c r="Q1130" t="s">
        <v>22</v>
      </c>
      <c r="R1130">
        <v>13</v>
      </c>
      <c r="S1130" t="s">
        <v>33</v>
      </c>
      <c r="T1130" t="s">
        <v>31</v>
      </c>
      <c r="U1130">
        <v>3</v>
      </c>
      <c r="V1130" t="s">
        <v>44</v>
      </c>
      <c r="W1130" t="str">
        <f>IF(HR_Data[[#This Row],[age]]&lt;25,"Under 25",IF(HR_Data[[#This Row],[age]]&lt;35,"25-34",IF(HR_Data[[#This Row],[age]]&lt;45,"35-44",IF(HR_Data[[#This Row],[age]]&lt;55,"45-54","55+"))))</f>
        <v>35-44</v>
      </c>
      <c r="X1130" t="str">
        <f t="shared" si="17"/>
        <v>5,000-7,999</v>
      </c>
    </row>
    <row r="1131" spans="1:24" x14ac:dyDescent="0.3">
      <c r="A1131">
        <v>1595</v>
      </c>
      <c r="B1131">
        <v>42</v>
      </c>
      <c r="C1131" t="s">
        <v>36</v>
      </c>
      <c r="D1131" t="s">
        <v>23</v>
      </c>
      <c r="E1131" t="s">
        <v>38</v>
      </c>
      <c r="F1131">
        <v>9</v>
      </c>
      <c r="G1131" t="s">
        <v>25</v>
      </c>
      <c r="H1131" t="s">
        <v>45</v>
      </c>
      <c r="I1131" t="s">
        <v>31</v>
      </c>
      <c r="J1131" t="s">
        <v>40</v>
      </c>
      <c r="K1131" t="s">
        <v>27</v>
      </c>
      <c r="L1131" t="s">
        <v>55</v>
      </c>
      <c r="M1131" t="s">
        <v>31</v>
      </c>
      <c r="N1131" t="s">
        <v>32</v>
      </c>
      <c r="O1131">
        <v>19613</v>
      </c>
      <c r="P1131">
        <v>8</v>
      </c>
      <c r="Q1131" t="s">
        <v>36</v>
      </c>
      <c r="R1131">
        <v>22</v>
      </c>
      <c r="S1131" t="s">
        <v>43</v>
      </c>
      <c r="T1131" t="s">
        <v>31</v>
      </c>
      <c r="U1131">
        <v>2</v>
      </c>
      <c r="V1131" t="s">
        <v>44</v>
      </c>
      <c r="W1131" t="str">
        <f>IF(HR_Data[[#This Row],[age]]&lt;25,"Under 25",IF(HR_Data[[#This Row],[age]]&lt;35,"25-34",IF(HR_Data[[#This Row],[age]]&lt;45,"35-44",IF(HR_Data[[#This Row],[age]]&lt;55,"45-54","55+"))))</f>
        <v>35-44</v>
      </c>
      <c r="X1131" t="str">
        <f t="shared" si="17"/>
        <v>8,000+</v>
      </c>
    </row>
    <row r="1132" spans="1:24" x14ac:dyDescent="0.3">
      <c r="A1132">
        <v>1596</v>
      </c>
      <c r="B1132">
        <v>35</v>
      </c>
      <c r="C1132" t="s">
        <v>36</v>
      </c>
      <c r="D1132" t="s">
        <v>23</v>
      </c>
      <c r="E1132" t="s">
        <v>38</v>
      </c>
      <c r="F1132">
        <v>28</v>
      </c>
      <c r="G1132" t="s">
        <v>50</v>
      </c>
      <c r="H1132" t="s">
        <v>26</v>
      </c>
      <c r="I1132" t="s">
        <v>27</v>
      </c>
      <c r="J1132" t="s">
        <v>40</v>
      </c>
      <c r="K1132" t="s">
        <v>31</v>
      </c>
      <c r="L1132" t="s">
        <v>46</v>
      </c>
      <c r="M1132" t="s">
        <v>29</v>
      </c>
      <c r="N1132" t="s">
        <v>42</v>
      </c>
      <c r="O1132">
        <v>3407</v>
      </c>
      <c r="P1132">
        <v>1</v>
      </c>
      <c r="Q1132" t="s">
        <v>36</v>
      </c>
      <c r="R1132">
        <v>17</v>
      </c>
      <c r="S1132" t="s">
        <v>33</v>
      </c>
      <c r="T1132" t="s">
        <v>31</v>
      </c>
      <c r="U1132">
        <v>3</v>
      </c>
      <c r="V1132" t="s">
        <v>49</v>
      </c>
      <c r="W1132" t="str">
        <f>IF(HR_Data[[#This Row],[age]]&lt;25,"Under 25",IF(HR_Data[[#This Row],[age]]&lt;35,"25-34",IF(HR_Data[[#This Row],[age]]&lt;45,"35-44",IF(HR_Data[[#This Row],[age]]&lt;55,"45-54","55+"))))</f>
        <v>35-44</v>
      </c>
      <c r="X1132" t="str">
        <f t="shared" si="17"/>
        <v>3,000-4,999</v>
      </c>
    </row>
    <row r="1133" spans="1:24" x14ac:dyDescent="0.3">
      <c r="A1133">
        <v>1597</v>
      </c>
      <c r="B1133">
        <v>34</v>
      </c>
      <c r="C1133" t="s">
        <v>36</v>
      </c>
      <c r="D1133" t="s">
        <v>37</v>
      </c>
      <c r="E1133" t="s">
        <v>38</v>
      </c>
      <c r="F1133">
        <v>10</v>
      </c>
      <c r="G1133" t="s">
        <v>47</v>
      </c>
      <c r="H1133" t="s">
        <v>60</v>
      </c>
      <c r="I1133" t="s">
        <v>31</v>
      </c>
      <c r="J1133" t="s">
        <v>40</v>
      </c>
      <c r="K1133" t="s">
        <v>27</v>
      </c>
      <c r="L1133" t="s">
        <v>53</v>
      </c>
      <c r="M1133" t="s">
        <v>29</v>
      </c>
      <c r="N1133" t="s">
        <v>42</v>
      </c>
      <c r="O1133">
        <v>5063</v>
      </c>
      <c r="P1133">
        <v>1</v>
      </c>
      <c r="Q1133" t="s">
        <v>36</v>
      </c>
      <c r="R1133">
        <v>14</v>
      </c>
      <c r="S1133" t="s">
        <v>33</v>
      </c>
      <c r="T1133" t="s">
        <v>27</v>
      </c>
      <c r="U1133">
        <v>3</v>
      </c>
      <c r="V1133" t="s">
        <v>49</v>
      </c>
      <c r="W1133" t="str">
        <f>IF(HR_Data[[#This Row],[age]]&lt;25,"Under 25",IF(HR_Data[[#This Row],[age]]&lt;35,"25-34",IF(HR_Data[[#This Row],[age]]&lt;45,"35-44",IF(HR_Data[[#This Row],[age]]&lt;55,"45-54","55+"))))</f>
        <v>25-34</v>
      </c>
      <c r="X1133" t="str">
        <f t="shared" si="17"/>
        <v>5,000-7,999</v>
      </c>
    </row>
    <row r="1134" spans="1:24" x14ac:dyDescent="0.3">
      <c r="A1134">
        <v>1598</v>
      </c>
      <c r="B1134">
        <v>40</v>
      </c>
      <c r="C1134" t="s">
        <v>36</v>
      </c>
      <c r="D1134" t="s">
        <v>23</v>
      </c>
      <c r="E1134" t="s">
        <v>24</v>
      </c>
      <c r="F1134">
        <v>14</v>
      </c>
      <c r="G1134" t="s">
        <v>25</v>
      </c>
      <c r="H1134" t="s">
        <v>26</v>
      </c>
      <c r="I1134" t="s">
        <v>31</v>
      </c>
      <c r="J1134" t="s">
        <v>28</v>
      </c>
      <c r="K1134" t="s">
        <v>29</v>
      </c>
      <c r="L1134" t="s">
        <v>30</v>
      </c>
      <c r="M1134" t="s">
        <v>34</v>
      </c>
      <c r="N1134" t="s">
        <v>42</v>
      </c>
      <c r="O1134">
        <v>4639</v>
      </c>
      <c r="P1134">
        <v>1</v>
      </c>
      <c r="Q1134" t="s">
        <v>36</v>
      </c>
      <c r="R1134">
        <v>15</v>
      </c>
      <c r="S1134" t="s">
        <v>33</v>
      </c>
      <c r="T1134" t="s">
        <v>29</v>
      </c>
      <c r="U1134">
        <v>2</v>
      </c>
      <c r="V1134" t="s">
        <v>44</v>
      </c>
      <c r="W1134" t="str">
        <f>IF(HR_Data[[#This Row],[age]]&lt;25,"Under 25",IF(HR_Data[[#This Row],[age]]&lt;35,"25-34",IF(HR_Data[[#This Row],[age]]&lt;45,"35-44",IF(HR_Data[[#This Row],[age]]&lt;55,"45-54","55+"))))</f>
        <v>35-44</v>
      </c>
      <c r="X1134" t="str">
        <f t="shared" si="17"/>
        <v>3,000-4,999</v>
      </c>
    </row>
    <row r="1135" spans="1:24" x14ac:dyDescent="0.3">
      <c r="A1135">
        <v>1599</v>
      </c>
      <c r="B1135">
        <v>43</v>
      </c>
      <c r="C1135" t="s">
        <v>36</v>
      </c>
      <c r="D1135" t="s">
        <v>23</v>
      </c>
      <c r="E1135" t="s">
        <v>38</v>
      </c>
      <c r="F1135">
        <v>27</v>
      </c>
      <c r="G1135" t="s">
        <v>50</v>
      </c>
      <c r="H1135" t="s">
        <v>60</v>
      </c>
      <c r="I1135" t="s">
        <v>31</v>
      </c>
      <c r="J1135" t="s">
        <v>40</v>
      </c>
      <c r="K1135" t="s">
        <v>31</v>
      </c>
      <c r="L1135" t="s">
        <v>46</v>
      </c>
      <c r="M1135" t="s">
        <v>27</v>
      </c>
      <c r="N1135" t="s">
        <v>51</v>
      </c>
      <c r="O1135">
        <v>4876</v>
      </c>
      <c r="P1135">
        <v>5</v>
      </c>
      <c r="Q1135" t="s">
        <v>36</v>
      </c>
      <c r="R1135">
        <v>12</v>
      </c>
      <c r="S1135" t="s">
        <v>33</v>
      </c>
      <c r="T1135" t="s">
        <v>29</v>
      </c>
      <c r="U1135">
        <v>0</v>
      </c>
      <c r="V1135" t="s">
        <v>44</v>
      </c>
      <c r="W1135" t="str">
        <f>IF(HR_Data[[#This Row],[age]]&lt;25,"Under 25",IF(HR_Data[[#This Row],[age]]&lt;35,"25-34",IF(HR_Data[[#This Row],[age]]&lt;45,"35-44",IF(HR_Data[[#This Row],[age]]&lt;55,"45-54","55+"))))</f>
        <v>35-44</v>
      </c>
      <c r="X1135" t="str">
        <f t="shared" si="17"/>
        <v>3,000-4,999</v>
      </c>
    </row>
    <row r="1136" spans="1:24" x14ac:dyDescent="0.3">
      <c r="A1136">
        <v>1601</v>
      </c>
      <c r="B1136">
        <v>35</v>
      </c>
      <c r="C1136" t="s">
        <v>36</v>
      </c>
      <c r="D1136" t="s">
        <v>23</v>
      </c>
      <c r="E1136" t="s">
        <v>38</v>
      </c>
      <c r="F1136">
        <v>7</v>
      </c>
      <c r="G1136" t="s">
        <v>25</v>
      </c>
      <c r="H1136" t="s">
        <v>26</v>
      </c>
      <c r="I1136" t="s">
        <v>29</v>
      </c>
      <c r="J1136" t="s">
        <v>40</v>
      </c>
      <c r="K1136" t="s">
        <v>27</v>
      </c>
      <c r="L1136" t="s">
        <v>46</v>
      </c>
      <c r="M1136" t="s">
        <v>31</v>
      </c>
      <c r="N1136" t="s">
        <v>42</v>
      </c>
      <c r="O1136">
        <v>2690</v>
      </c>
      <c r="P1136">
        <v>1</v>
      </c>
      <c r="Q1136" t="s">
        <v>36</v>
      </c>
      <c r="R1136">
        <v>18</v>
      </c>
      <c r="S1136" t="s">
        <v>33</v>
      </c>
      <c r="T1136" t="s">
        <v>31</v>
      </c>
      <c r="U1136">
        <v>5</v>
      </c>
      <c r="V1136" t="s">
        <v>49</v>
      </c>
      <c r="W1136" t="str">
        <f>IF(HR_Data[[#This Row],[age]]&lt;25,"Under 25",IF(HR_Data[[#This Row],[age]]&lt;35,"25-34",IF(HR_Data[[#This Row],[age]]&lt;45,"35-44",IF(HR_Data[[#This Row],[age]]&lt;55,"45-54","55+"))))</f>
        <v>35-44</v>
      </c>
      <c r="X1136" t="str">
        <f t="shared" si="17"/>
        <v>Below 3,000</v>
      </c>
    </row>
    <row r="1137" spans="1:24" x14ac:dyDescent="0.3">
      <c r="A1137">
        <v>1602</v>
      </c>
      <c r="B1137">
        <v>46</v>
      </c>
      <c r="C1137" t="s">
        <v>36</v>
      </c>
      <c r="D1137" t="s">
        <v>23</v>
      </c>
      <c r="E1137" t="s">
        <v>24</v>
      </c>
      <c r="F1137">
        <v>1</v>
      </c>
      <c r="G1137" t="s">
        <v>47</v>
      </c>
      <c r="H1137" t="s">
        <v>26</v>
      </c>
      <c r="I1137" t="s">
        <v>31</v>
      </c>
      <c r="J1137" t="s">
        <v>40</v>
      </c>
      <c r="K1137" t="s">
        <v>31</v>
      </c>
      <c r="L1137" t="s">
        <v>55</v>
      </c>
      <c r="M1137" t="s">
        <v>34</v>
      </c>
      <c r="N1137" t="s">
        <v>32</v>
      </c>
      <c r="O1137">
        <v>17567</v>
      </c>
      <c r="P1137">
        <v>1</v>
      </c>
      <c r="Q1137" t="s">
        <v>36</v>
      </c>
      <c r="R1137">
        <v>15</v>
      </c>
      <c r="S1137" t="s">
        <v>33</v>
      </c>
      <c r="T1137" t="s">
        <v>27</v>
      </c>
      <c r="U1137">
        <v>5</v>
      </c>
      <c r="V1137" t="s">
        <v>35</v>
      </c>
      <c r="W1137" t="str">
        <f>IF(HR_Data[[#This Row],[age]]&lt;25,"Under 25",IF(HR_Data[[#This Row],[age]]&lt;35,"25-34",IF(HR_Data[[#This Row],[age]]&lt;45,"35-44",IF(HR_Data[[#This Row],[age]]&lt;55,"45-54","55+"))))</f>
        <v>45-54</v>
      </c>
      <c r="X1137" t="str">
        <f t="shared" si="17"/>
        <v>8,000+</v>
      </c>
    </row>
    <row r="1138" spans="1:24" x14ac:dyDescent="0.3">
      <c r="A1138">
        <v>1604</v>
      </c>
      <c r="B1138">
        <v>28</v>
      </c>
      <c r="C1138" t="s">
        <v>22</v>
      </c>
      <c r="D1138" t="s">
        <v>23</v>
      </c>
      <c r="E1138" t="s">
        <v>38</v>
      </c>
      <c r="F1138">
        <v>24</v>
      </c>
      <c r="G1138" t="s">
        <v>50</v>
      </c>
      <c r="H1138" t="s">
        <v>48</v>
      </c>
      <c r="I1138" t="s">
        <v>29</v>
      </c>
      <c r="J1138" t="s">
        <v>40</v>
      </c>
      <c r="K1138" t="s">
        <v>29</v>
      </c>
      <c r="L1138" t="s">
        <v>46</v>
      </c>
      <c r="M1138" t="s">
        <v>27</v>
      </c>
      <c r="N1138" t="s">
        <v>42</v>
      </c>
      <c r="O1138">
        <v>2408</v>
      </c>
      <c r="P1138">
        <v>1</v>
      </c>
      <c r="Q1138" t="s">
        <v>22</v>
      </c>
      <c r="R1138">
        <v>17</v>
      </c>
      <c r="S1138" t="s">
        <v>33</v>
      </c>
      <c r="T1138" t="s">
        <v>29</v>
      </c>
      <c r="U1138">
        <v>3</v>
      </c>
      <c r="V1138" t="s">
        <v>44</v>
      </c>
      <c r="W1138" t="str">
        <f>IF(HR_Data[[#This Row],[age]]&lt;25,"Under 25",IF(HR_Data[[#This Row],[age]]&lt;35,"25-34",IF(HR_Data[[#This Row],[age]]&lt;45,"35-44",IF(HR_Data[[#This Row],[age]]&lt;55,"45-54","55+"))))</f>
        <v>25-34</v>
      </c>
      <c r="X1138" t="str">
        <f t="shared" si="17"/>
        <v>Below 3,000</v>
      </c>
    </row>
    <row r="1139" spans="1:24" x14ac:dyDescent="0.3">
      <c r="A1139">
        <v>1605</v>
      </c>
      <c r="B1139">
        <v>22</v>
      </c>
      <c r="C1139" t="s">
        <v>36</v>
      </c>
      <c r="D1139" t="s">
        <v>54</v>
      </c>
      <c r="E1139" t="s">
        <v>38</v>
      </c>
      <c r="F1139">
        <v>26</v>
      </c>
      <c r="G1139" t="s">
        <v>25</v>
      </c>
      <c r="H1139" t="s">
        <v>45</v>
      </c>
      <c r="I1139" t="s">
        <v>27</v>
      </c>
      <c r="J1139" t="s">
        <v>28</v>
      </c>
      <c r="K1139" t="s">
        <v>27</v>
      </c>
      <c r="L1139" t="s">
        <v>41</v>
      </c>
      <c r="M1139" t="s">
        <v>29</v>
      </c>
      <c r="N1139" t="s">
        <v>42</v>
      </c>
      <c r="O1139">
        <v>2814</v>
      </c>
      <c r="P1139">
        <v>1</v>
      </c>
      <c r="Q1139" t="s">
        <v>22</v>
      </c>
      <c r="R1139">
        <v>14</v>
      </c>
      <c r="S1139" t="s">
        <v>33</v>
      </c>
      <c r="T1139" t="s">
        <v>27</v>
      </c>
      <c r="U1139">
        <v>2</v>
      </c>
      <c r="V1139" t="s">
        <v>49</v>
      </c>
      <c r="W1139" t="str">
        <f>IF(HR_Data[[#This Row],[age]]&lt;25,"Under 25",IF(HR_Data[[#This Row],[age]]&lt;35,"25-34",IF(HR_Data[[#This Row],[age]]&lt;45,"35-44",IF(HR_Data[[#This Row],[age]]&lt;55,"45-54","55+"))))</f>
        <v>Under 25</v>
      </c>
      <c r="X1139" t="str">
        <f t="shared" si="17"/>
        <v>Below 3,000</v>
      </c>
    </row>
    <row r="1140" spans="1:24" x14ac:dyDescent="0.3">
      <c r="A1140">
        <v>1606</v>
      </c>
      <c r="B1140">
        <v>50</v>
      </c>
      <c r="C1140" t="s">
        <v>36</v>
      </c>
      <c r="D1140" t="s">
        <v>37</v>
      </c>
      <c r="E1140" t="s">
        <v>38</v>
      </c>
      <c r="F1140">
        <v>20</v>
      </c>
      <c r="G1140" t="s">
        <v>61</v>
      </c>
      <c r="H1140" t="s">
        <v>48</v>
      </c>
      <c r="I1140" t="s">
        <v>27</v>
      </c>
      <c r="J1140" t="s">
        <v>40</v>
      </c>
      <c r="K1140" t="s">
        <v>29</v>
      </c>
      <c r="L1140" t="s">
        <v>53</v>
      </c>
      <c r="M1140" t="s">
        <v>29</v>
      </c>
      <c r="N1140" t="s">
        <v>42</v>
      </c>
      <c r="O1140">
        <v>11245</v>
      </c>
      <c r="P1140">
        <v>2</v>
      </c>
      <c r="Q1140" t="s">
        <v>22</v>
      </c>
      <c r="R1140">
        <v>15</v>
      </c>
      <c r="S1140" t="s">
        <v>33</v>
      </c>
      <c r="T1140" t="s">
        <v>29</v>
      </c>
      <c r="U1140">
        <v>3</v>
      </c>
      <c r="V1140" t="s">
        <v>44</v>
      </c>
      <c r="W1140" t="str">
        <f>IF(HR_Data[[#This Row],[age]]&lt;25,"Under 25",IF(HR_Data[[#This Row],[age]]&lt;35,"25-34",IF(HR_Data[[#This Row],[age]]&lt;45,"35-44",IF(HR_Data[[#This Row],[age]]&lt;55,"45-54","55+"))))</f>
        <v>45-54</v>
      </c>
      <c r="X1140" t="str">
        <f t="shared" si="17"/>
        <v>8,000+</v>
      </c>
    </row>
    <row r="1141" spans="1:24" x14ac:dyDescent="0.3">
      <c r="A1141">
        <v>1607</v>
      </c>
      <c r="B1141">
        <v>32</v>
      </c>
      <c r="C1141" t="s">
        <v>36</v>
      </c>
      <c r="D1141" t="s">
        <v>23</v>
      </c>
      <c r="E1141" t="s">
        <v>38</v>
      </c>
      <c r="F1141">
        <v>5</v>
      </c>
      <c r="G1141" t="s">
        <v>47</v>
      </c>
      <c r="H1141" t="s">
        <v>45</v>
      </c>
      <c r="I1141" t="s">
        <v>27</v>
      </c>
      <c r="J1141" t="s">
        <v>28</v>
      </c>
      <c r="K1141" t="s">
        <v>31</v>
      </c>
      <c r="L1141" t="s">
        <v>41</v>
      </c>
      <c r="M1141" t="s">
        <v>31</v>
      </c>
      <c r="N1141" t="s">
        <v>42</v>
      </c>
      <c r="O1141">
        <v>3312</v>
      </c>
      <c r="P1141">
        <v>3</v>
      </c>
      <c r="Q1141" t="s">
        <v>36</v>
      </c>
      <c r="R1141">
        <v>17</v>
      </c>
      <c r="S1141" t="s">
        <v>33</v>
      </c>
      <c r="T1141" t="s">
        <v>31</v>
      </c>
      <c r="U1141">
        <v>3</v>
      </c>
      <c r="V1141" t="s">
        <v>44</v>
      </c>
      <c r="W1141" t="str">
        <f>IF(HR_Data[[#This Row],[age]]&lt;25,"Under 25",IF(HR_Data[[#This Row],[age]]&lt;35,"25-34",IF(HR_Data[[#This Row],[age]]&lt;45,"35-44",IF(HR_Data[[#This Row],[age]]&lt;55,"45-54","55+"))))</f>
        <v>25-34</v>
      </c>
      <c r="X1141" t="str">
        <f t="shared" si="17"/>
        <v>3,000-4,999</v>
      </c>
    </row>
    <row r="1142" spans="1:24" x14ac:dyDescent="0.3">
      <c r="A1142">
        <v>1608</v>
      </c>
      <c r="B1142">
        <v>44</v>
      </c>
      <c r="C1142" t="s">
        <v>36</v>
      </c>
      <c r="D1142" t="s">
        <v>23</v>
      </c>
      <c r="E1142" t="s">
        <v>38</v>
      </c>
      <c r="F1142">
        <v>7</v>
      </c>
      <c r="G1142" t="s">
        <v>50</v>
      </c>
      <c r="H1142" t="s">
        <v>48</v>
      </c>
      <c r="I1142" t="s">
        <v>27</v>
      </c>
      <c r="J1142" t="s">
        <v>28</v>
      </c>
      <c r="K1142" t="s">
        <v>29</v>
      </c>
      <c r="L1142" t="s">
        <v>57</v>
      </c>
      <c r="M1142" t="s">
        <v>31</v>
      </c>
      <c r="N1142" t="s">
        <v>51</v>
      </c>
      <c r="O1142">
        <v>19049</v>
      </c>
      <c r="P1142">
        <v>0</v>
      </c>
      <c r="Q1142" t="s">
        <v>22</v>
      </c>
      <c r="R1142">
        <v>14</v>
      </c>
      <c r="S1142" t="s">
        <v>33</v>
      </c>
      <c r="T1142" t="s">
        <v>31</v>
      </c>
      <c r="U1142">
        <v>4</v>
      </c>
      <c r="V1142" t="s">
        <v>49</v>
      </c>
      <c r="W1142" t="str">
        <f>IF(HR_Data[[#This Row],[age]]&lt;25,"Under 25",IF(HR_Data[[#This Row],[age]]&lt;35,"25-34",IF(HR_Data[[#This Row],[age]]&lt;45,"35-44",IF(HR_Data[[#This Row],[age]]&lt;55,"45-54","55+"))))</f>
        <v>35-44</v>
      </c>
      <c r="X1142" t="str">
        <f t="shared" si="17"/>
        <v>8,000+</v>
      </c>
    </row>
    <row r="1143" spans="1:24" x14ac:dyDescent="0.3">
      <c r="A1143">
        <v>1609</v>
      </c>
      <c r="B1143">
        <v>30</v>
      </c>
      <c r="C1143" t="s">
        <v>36</v>
      </c>
      <c r="D1143" t="s">
        <v>23</v>
      </c>
      <c r="E1143" t="s">
        <v>38</v>
      </c>
      <c r="F1143">
        <v>7</v>
      </c>
      <c r="G1143" t="s">
        <v>50</v>
      </c>
      <c r="H1143" t="s">
        <v>48</v>
      </c>
      <c r="I1143" t="s">
        <v>27</v>
      </c>
      <c r="J1143" t="s">
        <v>40</v>
      </c>
      <c r="K1143" t="s">
        <v>27</v>
      </c>
      <c r="L1143" t="s">
        <v>41</v>
      </c>
      <c r="M1143" t="s">
        <v>27</v>
      </c>
      <c r="N1143" t="s">
        <v>42</v>
      </c>
      <c r="O1143">
        <v>2141</v>
      </c>
      <c r="P1143">
        <v>1</v>
      </c>
      <c r="Q1143" t="s">
        <v>36</v>
      </c>
      <c r="R1143">
        <v>12</v>
      </c>
      <c r="S1143" t="s">
        <v>33</v>
      </c>
      <c r="T1143" t="s">
        <v>27</v>
      </c>
      <c r="U1143">
        <v>3</v>
      </c>
      <c r="V1143" t="s">
        <v>49</v>
      </c>
      <c r="W1143" t="str">
        <f>IF(HR_Data[[#This Row],[age]]&lt;25,"Under 25",IF(HR_Data[[#This Row],[age]]&lt;35,"25-34",IF(HR_Data[[#This Row],[age]]&lt;45,"35-44",IF(HR_Data[[#This Row],[age]]&lt;55,"45-54","55+"))))</f>
        <v>25-34</v>
      </c>
      <c r="X1143" t="str">
        <f t="shared" si="17"/>
        <v>Below 3,000</v>
      </c>
    </row>
    <row r="1144" spans="1:24" x14ac:dyDescent="0.3">
      <c r="A1144">
        <v>1611</v>
      </c>
      <c r="B1144">
        <v>45</v>
      </c>
      <c r="C1144" t="s">
        <v>36</v>
      </c>
      <c r="D1144" t="s">
        <v>23</v>
      </c>
      <c r="E1144" t="s">
        <v>38</v>
      </c>
      <c r="F1144">
        <v>5</v>
      </c>
      <c r="G1144" t="s">
        <v>61</v>
      </c>
      <c r="H1144" t="s">
        <v>48</v>
      </c>
      <c r="I1144" t="s">
        <v>29</v>
      </c>
      <c r="J1144" t="s">
        <v>28</v>
      </c>
      <c r="K1144" t="s">
        <v>34</v>
      </c>
      <c r="L1144" t="s">
        <v>46</v>
      </c>
      <c r="M1144" t="s">
        <v>34</v>
      </c>
      <c r="N1144" t="s">
        <v>32</v>
      </c>
      <c r="O1144">
        <v>5769</v>
      </c>
      <c r="P1144">
        <v>1</v>
      </c>
      <c r="Q1144" t="s">
        <v>22</v>
      </c>
      <c r="R1144">
        <v>14</v>
      </c>
      <c r="S1144" t="s">
        <v>33</v>
      </c>
      <c r="T1144" t="s">
        <v>34</v>
      </c>
      <c r="U1144">
        <v>3</v>
      </c>
      <c r="V1144" t="s">
        <v>44</v>
      </c>
      <c r="W1144" t="str">
        <f>IF(HR_Data[[#This Row],[age]]&lt;25,"Under 25",IF(HR_Data[[#This Row],[age]]&lt;35,"25-34",IF(HR_Data[[#This Row],[age]]&lt;45,"35-44",IF(HR_Data[[#This Row],[age]]&lt;55,"45-54","55+"))))</f>
        <v>45-54</v>
      </c>
      <c r="X1144" t="str">
        <f t="shared" si="17"/>
        <v>5,000-7,999</v>
      </c>
    </row>
    <row r="1145" spans="1:24" x14ac:dyDescent="0.3">
      <c r="A1145">
        <v>1612</v>
      </c>
      <c r="B1145">
        <v>45</v>
      </c>
      <c r="C1145" t="s">
        <v>36</v>
      </c>
      <c r="D1145" t="s">
        <v>54</v>
      </c>
      <c r="E1145" t="s">
        <v>24</v>
      </c>
      <c r="F1145">
        <v>26</v>
      </c>
      <c r="G1145" t="s">
        <v>50</v>
      </c>
      <c r="H1145" t="s">
        <v>58</v>
      </c>
      <c r="I1145" t="s">
        <v>34</v>
      </c>
      <c r="J1145" t="s">
        <v>40</v>
      </c>
      <c r="K1145" t="s">
        <v>27</v>
      </c>
      <c r="L1145" t="s">
        <v>30</v>
      </c>
      <c r="M1145" t="s">
        <v>34</v>
      </c>
      <c r="N1145" t="s">
        <v>42</v>
      </c>
      <c r="O1145">
        <v>4385</v>
      </c>
      <c r="P1145">
        <v>1</v>
      </c>
      <c r="Q1145" t="s">
        <v>36</v>
      </c>
      <c r="R1145">
        <v>15</v>
      </c>
      <c r="S1145" t="s">
        <v>33</v>
      </c>
      <c r="T1145" t="s">
        <v>34</v>
      </c>
      <c r="U1145">
        <v>2</v>
      </c>
      <c r="V1145" t="s">
        <v>44</v>
      </c>
      <c r="W1145" t="str">
        <f>IF(HR_Data[[#This Row],[age]]&lt;25,"Under 25",IF(HR_Data[[#This Row],[age]]&lt;35,"25-34",IF(HR_Data[[#This Row],[age]]&lt;45,"35-44",IF(HR_Data[[#This Row],[age]]&lt;55,"45-54","55+"))))</f>
        <v>45-54</v>
      </c>
      <c r="X1145" t="str">
        <f t="shared" si="17"/>
        <v>3,000-4,999</v>
      </c>
    </row>
    <row r="1146" spans="1:24" x14ac:dyDescent="0.3">
      <c r="A1146">
        <v>1613</v>
      </c>
      <c r="B1146">
        <v>31</v>
      </c>
      <c r="C1146" t="s">
        <v>36</v>
      </c>
      <c r="D1146" t="s">
        <v>37</v>
      </c>
      <c r="E1146" t="s">
        <v>24</v>
      </c>
      <c r="F1146">
        <v>2</v>
      </c>
      <c r="G1146" t="s">
        <v>47</v>
      </c>
      <c r="H1146" t="s">
        <v>45</v>
      </c>
      <c r="I1146" t="s">
        <v>31</v>
      </c>
      <c r="J1146" t="s">
        <v>40</v>
      </c>
      <c r="K1146" t="s">
        <v>29</v>
      </c>
      <c r="L1146" t="s">
        <v>30</v>
      </c>
      <c r="M1146" t="s">
        <v>34</v>
      </c>
      <c r="N1146" t="s">
        <v>32</v>
      </c>
      <c r="O1146">
        <v>5332</v>
      </c>
      <c r="P1146">
        <v>7</v>
      </c>
      <c r="Q1146" t="s">
        <v>36</v>
      </c>
      <c r="R1146">
        <v>13</v>
      </c>
      <c r="S1146" t="s">
        <v>33</v>
      </c>
      <c r="T1146" t="s">
        <v>31</v>
      </c>
      <c r="U1146">
        <v>3</v>
      </c>
      <c r="V1146" t="s">
        <v>44</v>
      </c>
      <c r="W1146" t="str">
        <f>IF(HR_Data[[#This Row],[age]]&lt;25,"Under 25",IF(HR_Data[[#This Row],[age]]&lt;35,"25-34",IF(HR_Data[[#This Row],[age]]&lt;45,"35-44",IF(HR_Data[[#This Row],[age]]&lt;55,"45-54","55+"))))</f>
        <v>25-34</v>
      </c>
      <c r="X1146" t="str">
        <f t="shared" si="17"/>
        <v>5,000-7,999</v>
      </c>
    </row>
    <row r="1147" spans="1:24" x14ac:dyDescent="0.3">
      <c r="A1147">
        <v>1614</v>
      </c>
      <c r="B1147">
        <v>36</v>
      </c>
      <c r="C1147" t="s">
        <v>36</v>
      </c>
      <c r="D1147" t="s">
        <v>23</v>
      </c>
      <c r="E1147" t="s">
        <v>38</v>
      </c>
      <c r="F1147">
        <v>12</v>
      </c>
      <c r="G1147" t="s">
        <v>47</v>
      </c>
      <c r="H1147" t="s">
        <v>26</v>
      </c>
      <c r="I1147" t="s">
        <v>29</v>
      </c>
      <c r="J1147" t="s">
        <v>28</v>
      </c>
      <c r="K1147" t="s">
        <v>29</v>
      </c>
      <c r="L1147" t="s">
        <v>52</v>
      </c>
      <c r="M1147" t="s">
        <v>29</v>
      </c>
      <c r="N1147" t="s">
        <v>42</v>
      </c>
      <c r="O1147">
        <v>4663</v>
      </c>
      <c r="P1147">
        <v>9</v>
      </c>
      <c r="Q1147" t="s">
        <v>22</v>
      </c>
      <c r="R1147">
        <v>12</v>
      </c>
      <c r="S1147" t="s">
        <v>33</v>
      </c>
      <c r="T1147" t="s">
        <v>27</v>
      </c>
      <c r="U1147">
        <v>2</v>
      </c>
      <c r="V1147" t="s">
        <v>44</v>
      </c>
      <c r="W1147" t="str">
        <f>IF(HR_Data[[#This Row],[age]]&lt;25,"Under 25",IF(HR_Data[[#This Row],[age]]&lt;35,"25-34",IF(HR_Data[[#This Row],[age]]&lt;45,"35-44",IF(HR_Data[[#This Row],[age]]&lt;55,"45-54","55+"))))</f>
        <v>35-44</v>
      </c>
      <c r="X1147" t="str">
        <f t="shared" si="17"/>
        <v>3,000-4,999</v>
      </c>
    </row>
    <row r="1148" spans="1:24" x14ac:dyDescent="0.3">
      <c r="A1148">
        <v>1615</v>
      </c>
      <c r="B1148">
        <v>34</v>
      </c>
      <c r="C1148" t="s">
        <v>36</v>
      </c>
      <c r="D1148" t="s">
        <v>37</v>
      </c>
      <c r="E1148" t="s">
        <v>38</v>
      </c>
      <c r="F1148">
        <v>10</v>
      </c>
      <c r="G1148" t="s">
        <v>47</v>
      </c>
      <c r="H1148" t="s">
        <v>26</v>
      </c>
      <c r="I1148" t="s">
        <v>29</v>
      </c>
      <c r="J1148" t="s">
        <v>40</v>
      </c>
      <c r="K1148" t="s">
        <v>31</v>
      </c>
      <c r="L1148" t="s">
        <v>52</v>
      </c>
      <c r="M1148" t="s">
        <v>31</v>
      </c>
      <c r="N1148" t="s">
        <v>51</v>
      </c>
      <c r="O1148">
        <v>4724</v>
      </c>
      <c r="P1148">
        <v>1</v>
      </c>
      <c r="Q1148" t="s">
        <v>36</v>
      </c>
      <c r="R1148">
        <v>13</v>
      </c>
      <c r="S1148" t="s">
        <v>33</v>
      </c>
      <c r="T1148" t="s">
        <v>34</v>
      </c>
      <c r="U1148">
        <v>3</v>
      </c>
      <c r="V1148" t="s">
        <v>44</v>
      </c>
      <c r="W1148" t="str">
        <f>IF(HR_Data[[#This Row],[age]]&lt;25,"Under 25",IF(HR_Data[[#This Row],[age]]&lt;35,"25-34",IF(HR_Data[[#This Row],[age]]&lt;45,"35-44",IF(HR_Data[[#This Row],[age]]&lt;55,"45-54","55+"))))</f>
        <v>25-34</v>
      </c>
      <c r="X1148" t="str">
        <f t="shared" si="17"/>
        <v>3,000-4,999</v>
      </c>
    </row>
    <row r="1149" spans="1:24" x14ac:dyDescent="0.3">
      <c r="A1149">
        <v>1617</v>
      </c>
      <c r="B1149">
        <v>49</v>
      </c>
      <c r="C1149" t="s">
        <v>36</v>
      </c>
      <c r="D1149" t="s">
        <v>23</v>
      </c>
      <c r="E1149" t="s">
        <v>38</v>
      </c>
      <c r="F1149">
        <v>25</v>
      </c>
      <c r="G1149" t="s">
        <v>47</v>
      </c>
      <c r="H1149" t="s">
        <v>26</v>
      </c>
      <c r="I1149" t="s">
        <v>29</v>
      </c>
      <c r="J1149" t="s">
        <v>28</v>
      </c>
      <c r="K1149" t="s">
        <v>29</v>
      </c>
      <c r="L1149" t="s">
        <v>46</v>
      </c>
      <c r="M1149" t="s">
        <v>34</v>
      </c>
      <c r="N1149" t="s">
        <v>42</v>
      </c>
      <c r="O1149">
        <v>3211</v>
      </c>
      <c r="P1149">
        <v>1</v>
      </c>
      <c r="Q1149" t="s">
        <v>36</v>
      </c>
      <c r="R1149">
        <v>14</v>
      </c>
      <c r="S1149" t="s">
        <v>33</v>
      </c>
      <c r="T1149" t="s">
        <v>31</v>
      </c>
      <c r="U1149">
        <v>3</v>
      </c>
      <c r="V1149" t="s">
        <v>49</v>
      </c>
      <c r="W1149" t="str">
        <f>IF(HR_Data[[#This Row],[age]]&lt;25,"Under 25",IF(HR_Data[[#This Row],[age]]&lt;35,"25-34",IF(HR_Data[[#This Row],[age]]&lt;45,"35-44",IF(HR_Data[[#This Row],[age]]&lt;55,"45-54","55+"))))</f>
        <v>45-54</v>
      </c>
      <c r="X1149" t="str">
        <f t="shared" si="17"/>
        <v>3,000-4,999</v>
      </c>
    </row>
    <row r="1150" spans="1:24" x14ac:dyDescent="0.3">
      <c r="A1150">
        <v>1618</v>
      </c>
      <c r="B1150">
        <v>39</v>
      </c>
      <c r="C1150" t="s">
        <v>36</v>
      </c>
      <c r="D1150" t="s">
        <v>23</v>
      </c>
      <c r="E1150" t="s">
        <v>38</v>
      </c>
      <c r="F1150">
        <v>10</v>
      </c>
      <c r="G1150" t="s">
        <v>61</v>
      </c>
      <c r="H1150" t="s">
        <v>48</v>
      </c>
      <c r="I1150" t="s">
        <v>27</v>
      </c>
      <c r="J1150" t="s">
        <v>40</v>
      </c>
      <c r="K1150" t="s">
        <v>29</v>
      </c>
      <c r="L1150" t="s">
        <v>52</v>
      </c>
      <c r="M1150" t="s">
        <v>34</v>
      </c>
      <c r="N1150" t="s">
        <v>42</v>
      </c>
      <c r="O1150">
        <v>5377</v>
      </c>
      <c r="P1150">
        <v>2</v>
      </c>
      <c r="Q1150" t="s">
        <v>36</v>
      </c>
      <c r="R1150">
        <v>13</v>
      </c>
      <c r="S1150" t="s">
        <v>33</v>
      </c>
      <c r="T1150" t="s">
        <v>31</v>
      </c>
      <c r="U1150">
        <v>3</v>
      </c>
      <c r="V1150" t="s">
        <v>44</v>
      </c>
      <c r="W1150" t="str">
        <f>IF(HR_Data[[#This Row],[age]]&lt;25,"Under 25",IF(HR_Data[[#This Row],[age]]&lt;35,"25-34",IF(HR_Data[[#This Row],[age]]&lt;45,"35-44",IF(HR_Data[[#This Row],[age]]&lt;55,"45-54","55+"))))</f>
        <v>35-44</v>
      </c>
      <c r="X1150" t="str">
        <f t="shared" si="17"/>
        <v>5,000-7,999</v>
      </c>
    </row>
    <row r="1151" spans="1:24" x14ac:dyDescent="0.3">
      <c r="A1151">
        <v>1619</v>
      </c>
      <c r="B1151">
        <v>27</v>
      </c>
      <c r="C1151" t="s">
        <v>36</v>
      </c>
      <c r="D1151" t="s">
        <v>23</v>
      </c>
      <c r="E1151" t="s">
        <v>38</v>
      </c>
      <c r="F1151">
        <v>19</v>
      </c>
      <c r="G1151" t="s">
        <v>50</v>
      </c>
      <c r="H1151" t="s">
        <v>45</v>
      </c>
      <c r="I1151" t="s">
        <v>31</v>
      </c>
      <c r="J1151" t="s">
        <v>40</v>
      </c>
      <c r="K1151" t="s">
        <v>27</v>
      </c>
      <c r="L1151" t="s">
        <v>46</v>
      </c>
      <c r="M1151" t="s">
        <v>34</v>
      </c>
      <c r="N1151" t="s">
        <v>51</v>
      </c>
      <c r="O1151">
        <v>4066</v>
      </c>
      <c r="P1151">
        <v>1</v>
      </c>
      <c r="Q1151" t="s">
        <v>36</v>
      </c>
      <c r="R1151">
        <v>11</v>
      </c>
      <c r="S1151" t="s">
        <v>33</v>
      </c>
      <c r="T1151" t="s">
        <v>34</v>
      </c>
      <c r="U1151">
        <v>3</v>
      </c>
      <c r="V1151" t="s">
        <v>44</v>
      </c>
      <c r="W1151" t="str">
        <f>IF(HR_Data[[#This Row],[age]]&lt;25,"Under 25",IF(HR_Data[[#This Row],[age]]&lt;35,"25-34",IF(HR_Data[[#This Row],[age]]&lt;45,"35-44",IF(HR_Data[[#This Row],[age]]&lt;55,"45-54","55+"))))</f>
        <v>25-34</v>
      </c>
      <c r="X1151" t="str">
        <f t="shared" si="17"/>
        <v>3,000-4,999</v>
      </c>
    </row>
    <row r="1152" spans="1:24" x14ac:dyDescent="0.3">
      <c r="A1152">
        <v>1621</v>
      </c>
      <c r="B1152">
        <v>35</v>
      </c>
      <c r="C1152" t="s">
        <v>36</v>
      </c>
      <c r="D1152" t="s">
        <v>23</v>
      </c>
      <c r="E1152" t="s">
        <v>38</v>
      </c>
      <c r="F1152">
        <v>18</v>
      </c>
      <c r="G1152" t="s">
        <v>61</v>
      </c>
      <c r="H1152" t="s">
        <v>26</v>
      </c>
      <c r="I1152" t="s">
        <v>27</v>
      </c>
      <c r="J1152" t="s">
        <v>40</v>
      </c>
      <c r="K1152" t="s">
        <v>31</v>
      </c>
      <c r="L1152" t="s">
        <v>41</v>
      </c>
      <c r="M1152" t="s">
        <v>34</v>
      </c>
      <c r="N1152" t="s">
        <v>42</v>
      </c>
      <c r="O1152">
        <v>5208</v>
      </c>
      <c r="P1152">
        <v>1</v>
      </c>
      <c r="Q1152" t="s">
        <v>36</v>
      </c>
      <c r="R1152">
        <v>11</v>
      </c>
      <c r="S1152" t="s">
        <v>33</v>
      </c>
      <c r="T1152" t="s">
        <v>31</v>
      </c>
      <c r="U1152">
        <v>2</v>
      </c>
      <c r="V1152" t="s">
        <v>44</v>
      </c>
      <c r="W1152" t="str">
        <f>IF(HR_Data[[#This Row],[age]]&lt;25,"Under 25",IF(HR_Data[[#This Row],[age]]&lt;35,"25-34",IF(HR_Data[[#This Row],[age]]&lt;45,"35-44",IF(HR_Data[[#This Row],[age]]&lt;55,"45-54","55+"))))</f>
        <v>35-44</v>
      </c>
      <c r="X1152" t="str">
        <f t="shared" si="17"/>
        <v>5,000-7,999</v>
      </c>
    </row>
    <row r="1153" spans="1:24" x14ac:dyDescent="0.3">
      <c r="A1153">
        <v>1622</v>
      </c>
      <c r="B1153">
        <v>28</v>
      </c>
      <c r="C1153" t="s">
        <v>36</v>
      </c>
      <c r="D1153" t="s">
        <v>23</v>
      </c>
      <c r="E1153" t="s">
        <v>38</v>
      </c>
      <c r="F1153">
        <v>27</v>
      </c>
      <c r="G1153" t="s">
        <v>50</v>
      </c>
      <c r="H1153" t="s">
        <v>48</v>
      </c>
      <c r="I1153" t="s">
        <v>27</v>
      </c>
      <c r="J1153" t="s">
        <v>28</v>
      </c>
      <c r="K1153" t="s">
        <v>34</v>
      </c>
      <c r="L1153" t="s">
        <v>52</v>
      </c>
      <c r="M1153" t="s">
        <v>34</v>
      </c>
      <c r="N1153" t="s">
        <v>51</v>
      </c>
      <c r="O1153">
        <v>4877</v>
      </c>
      <c r="P1153">
        <v>0</v>
      </c>
      <c r="Q1153" t="s">
        <v>36</v>
      </c>
      <c r="R1153">
        <v>21</v>
      </c>
      <c r="S1153" t="s">
        <v>43</v>
      </c>
      <c r="T1153" t="s">
        <v>27</v>
      </c>
      <c r="U1153">
        <v>5</v>
      </c>
      <c r="V1153" t="s">
        <v>49</v>
      </c>
      <c r="W1153" t="str">
        <f>IF(HR_Data[[#This Row],[age]]&lt;25,"Under 25",IF(HR_Data[[#This Row],[age]]&lt;35,"25-34",IF(HR_Data[[#This Row],[age]]&lt;45,"35-44",IF(HR_Data[[#This Row],[age]]&lt;55,"45-54","55+"))))</f>
        <v>25-34</v>
      </c>
      <c r="X1153" t="str">
        <f t="shared" si="17"/>
        <v>3,000-4,999</v>
      </c>
    </row>
    <row r="1154" spans="1:24" x14ac:dyDescent="0.3">
      <c r="A1154">
        <v>1623</v>
      </c>
      <c r="B1154">
        <v>21</v>
      </c>
      <c r="C1154" t="s">
        <v>36</v>
      </c>
      <c r="D1154" t="s">
        <v>23</v>
      </c>
      <c r="E1154" t="s">
        <v>38</v>
      </c>
      <c r="F1154">
        <v>5</v>
      </c>
      <c r="G1154" t="s">
        <v>39</v>
      </c>
      <c r="H1154" t="s">
        <v>48</v>
      </c>
      <c r="I1154" t="s">
        <v>29</v>
      </c>
      <c r="J1154" t="s">
        <v>40</v>
      </c>
      <c r="K1154" t="s">
        <v>29</v>
      </c>
      <c r="L1154" t="s">
        <v>41</v>
      </c>
      <c r="M1154" t="s">
        <v>31</v>
      </c>
      <c r="N1154" t="s">
        <v>32</v>
      </c>
      <c r="O1154">
        <v>3117</v>
      </c>
      <c r="P1154">
        <v>1</v>
      </c>
      <c r="Q1154" t="s">
        <v>36</v>
      </c>
      <c r="R1154">
        <v>18</v>
      </c>
      <c r="S1154" t="s">
        <v>33</v>
      </c>
      <c r="T1154" t="s">
        <v>29</v>
      </c>
      <c r="U1154">
        <v>2</v>
      </c>
      <c r="V1154" t="s">
        <v>44</v>
      </c>
      <c r="W1154" t="str">
        <f>IF(HR_Data[[#This Row],[age]]&lt;25,"Under 25",IF(HR_Data[[#This Row],[age]]&lt;35,"25-34",IF(HR_Data[[#This Row],[age]]&lt;45,"35-44",IF(HR_Data[[#This Row],[age]]&lt;55,"45-54","55+"))))</f>
        <v>Under 25</v>
      </c>
      <c r="X1154" t="str">
        <f t="shared" si="17"/>
        <v>3,000-4,999</v>
      </c>
    </row>
    <row r="1155" spans="1:24" x14ac:dyDescent="0.3">
      <c r="A1155">
        <v>1624</v>
      </c>
      <c r="B1155">
        <v>18</v>
      </c>
      <c r="C1155" t="s">
        <v>22</v>
      </c>
      <c r="D1155" t="s">
        <v>37</v>
      </c>
      <c r="E1155" t="s">
        <v>24</v>
      </c>
      <c r="F1155">
        <v>3</v>
      </c>
      <c r="G1155" t="s">
        <v>25</v>
      </c>
      <c r="H1155" t="s">
        <v>48</v>
      </c>
      <c r="I1155" t="s">
        <v>27</v>
      </c>
      <c r="J1155" t="s">
        <v>28</v>
      </c>
      <c r="K1155" t="s">
        <v>29</v>
      </c>
      <c r="L1155" t="s">
        <v>56</v>
      </c>
      <c r="M1155" t="s">
        <v>31</v>
      </c>
      <c r="N1155" t="s">
        <v>32</v>
      </c>
      <c r="O1155">
        <v>1569</v>
      </c>
      <c r="P1155">
        <v>1</v>
      </c>
      <c r="Q1155" t="s">
        <v>22</v>
      </c>
      <c r="R1155">
        <v>12</v>
      </c>
      <c r="S1155" t="s">
        <v>33</v>
      </c>
      <c r="T1155" t="s">
        <v>29</v>
      </c>
      <c r="U1155">
        <v>2</v>
      </c>
      <c r="V1155" t="s">
        <v>59</v>
      </c>
      <c r="W1155" t="str">
        <f>IF(HR_Data[[#This Row],[age]]&lt;25,"Under 25",IF(HR_Data[[#This Row],[age]]&lt;35,"25-34",IF(HR_Data[[#This Row],[age]]&lt;45,"35-44",IF(HR_Data[[#This Row],[age]]&lt;55,"45-54","55+"))))</f>
        <v>Under 25</v>
      </c>
      <c r="X1155" t="str">
        <f t="shared" ref="X1155:X1218" si="18">IF(O1155&lt;3000,"Below 3,000",IF(O1155&lt;5000,"3,000-4,999",IF(O1155&lt;8000,"5,000-7,999","8,000+")))</f>
        <v>Below 3,000</v>
      </c>
    </row>
    <row r="1156" spans="1:24" x14ac:dyDescent="0.3">
      <c r="A1156">
        <v>1625</v>
      </c>
      <c r="B1156">
        <v>47</v>
      </c>
      <c r="C1156" t="s">
        <v>36</v>
      </c>
      <c r="D1156" t="s">
        <v>23</v>
      </c>
      <c r="E1156" t="s">
        <v>62</v>
      </c>
      <c r="F1156">
        <v>26</v>
      </c>
      <c r="G1156" t="s">
        <v>47</v>
      </c>
      <c r="H1156" t="s">
        <v>26</v>
      </c>
      <c r="I1156" t="s">
        <v>31</v>
      </c>
      <c r="J1156" t="s">
        <v>28</v>
      </c>
      <c r="K1156" t="s">
        <v>29</v>
      </c>
      <c r="L1156" t="s">
        <v>55</v>
      </c>
      <c r="M1156" t="s">
        <v>29</v>
      </c>
      <c r="N1156" t="s">
        <v>42</v>
      </c>
      <c r="O1156">
        <v>19658</v>
      </c>
      <c r="P1156">
        <v>3</v>
      </c>
      <c r="Q1156" t="s">
        <v>36</v>
      </c>
      <c r="R1156">
        <v>11</v>
      </c>
      <c r="S1156" t="s">
        <v>33</v>
      </c>
      <c r="T1156" t="s">
        <v>29</v>
      </c>
      <c r="U1156">
        <v>2</v>
      </c>
      <c r="V1156" t="s">
        <v>44</v>
      </c>
      <c r="W1156" t="str">
        <f>IF(HR_Data[[#This Row],[age]]&lt;25,"Under 25",IF(HR_Data[[#This Row],[age]]&lt;35,"25-34",IF(HR_Data[[#This Row],[age]]&lt;45,"35-44",IF(HR_Data[[#This Row],[age]]&lt;55,"45-54","55+"))))</f>
        <v>45-54</v>
      </c>
      <c r="X1156" t="str">
        <f t="shared" si="18"/>
        <v>8,000+</v>
      </c>
    </row>
    <row r="1157" spans="1:24" x14ac:dyDescent="0.3">
      <c r="A1157">
        <v>1627</v>
      </c>
      <c r="B1157">
        <v>39</v>
      </c>
      <c r="C1157" t="s">
        <v>36</v>
      </c>
      <c r="D1157" t="s">
        <v>23</v>
      </c>
      <c r="E1157" t="s">
        <v>38</v>
      </c>
      <c r="F1157">
        <v>3</v>
      </c>
      <c r="G1157" t="s">
        <v>25</v>
      </c>
      <c r="H1157" t="s">
        <v>48</v>
      </c>
      <c r="I1157" t="s">
        <v>29</v>
      </c>
      <c r="J1157" t="s">
        <v>40</v>
      </c>
      <c r="K1157" t="s">
        <v>27</v>
      </c>
      <c r="L1157" t="s">
        <v>46</v>
      </c>
      <c r="M1157" t="s">
        <v>29</v>
      </c>
      <c r="N1157" t="s">
        <v>51</v>
      </c>
      <c r="O1157">
        <v>3069</v>
      </c>
      <c r="P1157">
        <v>0</v>
      </c>
      <c r="Q1157" t="s">
        <v>36</v>
      </c>
      <c r="R1157">
        <v>15</v>
      </c>
      <c r="S1157" t="s">
        <v>33</v>
      </c>
      <c r="T1157" t="s">
        <v>31</v>
      </c>
      <c r="U1157">
        <v>3</v>
      </c>
      <c r="V1157" t="s">
        <v>44</v>
      </c>
      <c r="W1157" t="str">
        <f>IF(HR_Data[[#This Row],[age]]&lt;25,"Under 25",IF(HR_Data[[#This Row],[age]]&lt;35,"25-34",IF(HR_Data[[#This Row],[age]]&lt;45,"35-44",IF(HR_Data[[#This Row],[age]]&lt;55,"45-54","55+"))))</f>
        <v>35-44</v>
      </c>
      <c r="X1157" t="str">
        <f t="shared" si="18"/>
        <v>3,000-4,999</v>
      </c>
    </row>
    <row r="1158" spans="1:24" x14ac:dyDescent="0.3">
      <c r="A1158">
        <v>1628</v>
      </c>
      <c r="B1158">
        <v>40</v>
      </c>
      <c r="C1158" t="s">
        <v>36</v>
      </c>
      <c r="D1158" t="s">
        <v>23</v>
      </c>
      <c r="E1158" t="s">
        <v>38</v>
      </c>
      <c r="F1158">
        <v>15</v>
      </c>
      <c r="G1158" t="s">
        <v>50</v>
      </c>
      <c r="H1158" t="s">
        <v>26</v>
      </c>
      <c r="I1158" t="s">
        <v>34</v>
      </c>
      <c r="J1158" t="s">
        <v>28</v>
      </c>
      <c r="K1158" t="s">
        <v>27</v>
      </c>
      <c r="L1158" t="s">
        <v>52</v>
      </c>
      <c r="M1158" t="s">
        <v>29</v>
      </c>
      <c r="N1158" t="s">
        <v>42</v>
      </c>
      <c r="O1158">
        <v>10435</v>
      </c>
      <c r="P1158">
        <v>1</v>
      </c>
      <c r="Q1158" t="s">
        <v>36</v>
      </c>
      <c r="R1158">
        <v>13</v>
      </c>
      <c r="S1158" t="s">
        <v>33</v>
      </c>
      <c r="T1158" t="s">
        <v>31</v>
      </c>
      <c r="U1158">
        <v>2</v>
      </c>
      <c r="V1158" t="s">
        <v>44</v>
      </c>
      <c r="W1158" t="str">
        <f>IF(HR_Data[[#This Row],[age]]&lt;25,"Under 25",IF(HR_Data[[#This Row],[age]]&lt;35,"25-34",IF(HR_Data[[#This Row],[age]]&lt;45,"35-44",IF(HR_Data[[#This Row],[age]]&lt;55,"45-54","55+"))))</f>
        <v>35-44</v>
      </c>
      <c r="X1158" t="str">
        <f t="shared" si="18"/>
        <v>8,000+</v>
      </c>
    </row>
    <row r="1159" spans="1:24" x14ac:dyDescent="0.3">
      <c r="A1159">
        <v>1630</v>
      </c>
      <c r="B1159">
        <v>35</v>
      </c>
      <c r="C1159" t="s">
        <v>36</v>
      </c>
      <c r="D1159" t="s">
        <v>54</v>
      </c>
      <c r="E1159" t="s">
        <v>38</v>
      </c>
      <c r="F1159">
        <v>8</v>
      </c>
      <c r="G1159" t="s">
        <v>47</v>
      </c>
      <c r="H1159" t="s">
        <v>26</v>
      </c>
      <c r="I1159" t="s">
        <v>29</v>
      </c>
      <c r="J1159" t="s">
        <v>28</v>
      </c>
      <c r="K1159" t="s">
        <v>29</v>
      </c>
      <c r="L1159" t="s">
        <v>53</v>
      </c>
      <c r="M1159" t="s">
        <v>29</v>
      </c>
      <c r="N1159" t="s">
        <v>42</v>
      </c>
      <c r="O1159">
        <v>4148</v>
      </c>
      <c r="P1159">
        <v>1</v>
      </c>
      <c r="Q1159" t="s">
        <v>36</v>
      </c>
      <c r="R1159">
        <v>12</v>
      </c>
      <c r="S1159" t="s">
        <v>33</v>
      </c>
      <c r="T1159" t="s">
        <v>31</v>
      </c>
      <c r="U1159">
        <v>5</v>
      </c>
      <c r="V1159" t="s">
        <v>44</v>
      </c>
      <c r="W1159" t="str">
        <f>IF(HR_Data[[#This Row],[age]]&lt;25,"Under 25",IF(HR_Data[[#This Row],[age]]&lt;35,"25-34",IF(HR_Data[[#This Row],[age]]&lt;45,"35-44",IF(HR_Data[[#This Row],[age]]&lt;55,"45-54","55+"))))</f>
        <v>35-44</v>
      </c>
      <c r="X1159" t="str">
        <f t="shared" si="18"/>
        <v>3,000-4,999</v>
      </c>
    </row>
    <row r="1160" spans="1:24" x14ac:dyDescent="0.3">
      <c r="A1160">
        <v>1631</v>
      </c>
      <c r="B1160">
        <v>37</v>
      </c>
      <c r="C1160" t="s">
        <v>36</v>
      </c>
      <c r="D1160" t="s">
        <v>23</v>
      </c>
      <c r="E1160" t="s">
        <v>38</v>
      </c>
      <c r="F1160">
        <v>19</v>
      </c>
      <c r="G1160" t="s">
        <v>50</v>
      </c>
      <c r="H1160" t="s">
        <v>26</v>
      </c>
      <c r="I1160" t="s">
        <v>29</v>
      </c>
      <c r="J1160" t="s">
        <v>40</v>
      </c>
      <c r="K1160" t="s">
        <v>29</v>
      </c>
      <c r="L1160" t="s">
        <v>52</v>
      </c>
      <c r="M1160" t="s">
        <v>29</v>
      </c>
      <c r="N1160" t="s">
        <v>42</v>
      </c>
      <c r="O1160">
        <v>5768</v>
      </c>
      <c r="P1160">
        <v>3</v>
      </c>
      <c r="Q1160" t="s">
        <v>36</v>
      </c>
      <c r="R1160">
        <v>17</v>
      </c>
      <c r="S1160" t="s">
        <v>33</v>
      </c>
      <c r="T1160" t="s">
        <v>34</v>
      </c>
      <c r="U1160">
        <v>2</v>
      </c>
      <c r="V1160" t="s">
        <v>49</v>
      </c>
      <c r="W1160" t="str">
        <f>IF(HR_Data[[#This Row],[age]]&lt;25,"Under 25",IF(HR_Data[[#This Row],[age]]&lt;35,"25-34",IF(HR_Data[[#This Row],[age]]&lt;45,"35-44",IF(HR_Data[[#This Row],[age]]&lt;55,"45-54","55+"))))</f>
        <v>35-44</v>
      </c>
      <c r="X1160" t="str">
        <f t="shared" si="18"/>
        <v>5,000-7,999</v>
      </c>
    </row>
    <row r="1161" spans="1:24" x14ac:dyDescent="0.3">
      <c r="A1161">
        <v>1633</v>
      </c>
      <c r="B1161">
        <v>39</v>
      </c>
      <c r="C1161" t="s">
        <v>36</v>
      </c>
      <c r="D1161" t="s">
        <v>37</v>
      </c>
      <c r="E1161" t="s">
        <v>38</v>
      </c>
      <c r="F1161">
        <v>4</v>
      </c>
      <c r="G1161" t="s">
        <v>50</v>
      </c>
      <c r="H1161" t="s">
        <v>48</v>
      </c>
      <c r="I1161" t="s">
        <v>34</v>
      </c>
      <c r="J1161" t="s">
        <v>28</v>
      </c>
      <c r="K1161" t="s">
        <v>29</v>
      </c>
      <c r="L1161" t="s">
        <v>52</v>
      </c>
      <c r="M1161" t="s">
        <v>29</v>
      </c>
      <c r="N1161" t="s">
        <v>32</v>
      </c>
      <c r="O1161">
        <v>5042</v>
      </c>
      <c r="P1161">
        <v>0</v>
      </c>
      <c r="Q1161" t="s">
        <v>36</v>
      </c>
      <c r="R1161">
        <v>13</v>
      </c>
      <c r="S1161" t="s">
        <v>33</v>
      </c>
      <c r="T1161" t="s">
        <v>31</v>
      </c>
      <c r="U1161">
        <v>2</v>
      </c>
      <c r="V1161" t="s">
        <v>35</v>
      </c>
      <c r="W1161" t="str">
        <f>IF(HR_Data[[#This Row],[age]]&lt;25,"Under 25",IF(HR_Data[[#This Row],[age]]&lt;35,"25-34",IF(HR_Data[[#This Row],[age]]&lt;45,"35-44",IF(HR_Data[[#This Row],[age]]&lt;55,"45-54","55+"))))</f>
        <v>35-44</v>
      </c>
      <c r="X1161" t="str">
        <f t="shared" si="18"/>
        <v>5,000-7,999</v>
      </c>
    </row>
    <row r="1162" spans="1:24" x14ac:dyDescent="0.3">
      <c r="A1162">
        <v>1635</v>
      </c>
      <c r="B1162">
        <v>45</v>
      </c>
      <c r="C1162" t="s">
        <v>36</v>
      </c>
      <c r="D1162" t="s">
        <v>23</v>
      </c>
      <c r="E1162" t="s">
        <v>38</v>
      </c>
      <c r="F1162">
        <v>2</v>
      </c>
      <c r="G1162" t="s">
        <v>25</v>
      </c>
      <c r="H1162" t="s">
        <v>45</v>
      </c>
      <c r="I1162" t="s">
        <v>31</v>
      </c>
      <c r="J1162" t="s">
        <v>28</v>
      </c>
      <c r="K1162" t="s">
        <v>27</v>
      </c>
      <c r="L1162" t="s">
        <v>52</v>
      </c>
      <c r="M1162" t="s">
        <v>31</v>
      </c>
      <c r="N1162" t="s">
        <v>51</v>
      </c>
      <c r="O1162">
        <v>5770</v>
      </c>
      <c r="P1162">
        <v>1</v>
      </c>
      <c r="Q1162" t="s">
        <v>36</v>
      </c>
      <c r="R1162">
        <v>19</v>
      </c>
      <c r="S1162" t="s">
        <v>33</v>
      </c>
      <c r="T1162" t="s">
        <v>34</v>
      </c>
      <c r="U1162">
        <v>3</v>
      </c>
      <c r="V1162" t="s">
        <v>44</v>
      </c>
      <c r="W1162" t="str">
        <f>IF(HR_Data[[#This Row],[age]]&lt;25,"Under 25",IF(HR_Data[[#This Row],[age]]&lt;35,"25-34",IF(HR_Data[[#This Row],[age]]&lt;45,"35-44",IF(HR_Data[[#This Row],[age]]&lt;55,"45-54","55+"))))</f>
        <v>45-54</v>
      </c>
      <c r="X1162" t="str">
        <f t="shared" si="18"/>
        <v>5,000-7,999</v>
      </c>
    </row>
    <row r="1163" spans="1:24" x14ac:dyDescent="0.3">
      <c r="A1163">
        <v>1638</v>
      </c>
      <c r="B1163">
        <v>38</v>
      </c>
      <c r="C1163" t="s">
        <v>36</v>
      </c>
      <c r="D1163" t="s">
        <v>23</v>
      </c>
      <c r="E1163" t="s">
        <v>38</v>
      </c>
      <c r="F1163">
        <v>2</v>
      </c>
      <c r="G1163" t="s">
        <v>25</v>
      </c>
      <c r="H1163" t="s">
        <v>48</v>
      </c>
      <c r="I1163" t="s">
        <v>31</v>
      </c>
      <c r="J1163" t="s">
        <v>28</v>
      </c>
      <c r="K1163" t="s">
        <v>27</v>
      </c>
      <c r="L1163" t="s">
        <v>52</v>
      </c>
      <c r="M1163" t="s">
        <v>29</v>
      </c>
      <c r="N1163" t="s">
        <v>42</v>
      </c>
      <c r="O1163">
        <v>7756</v>
      </c>
      <c r="P1163">
        <v>3</v>
      </c>
      <c r="Q1163" t="s">
        <v>22</v>
      </c>
      <c r="R1163">
        <v>19</v>
      </c>
      <c r="S1163" t="s">
        <v>33</v>
      </c>
      <c r="T1163" t="s">
        <v>31</v>
      </c>
      <c r="U1163">
        <v>6</v>
      </c>
      <c r="V1163" t="s">
        <v>59</v>
      </c>
      <c r="W1163" t="str">
        <f>IF(HR_Data[[#This Row],[age]]&lt;25,"Under 25",IF(HR_Data[[#This Row],[age]]&lt;35,"25-34",IF(HR_Data[[#This Row],[age]]&lt;45,"35-44",IF(HR_Data[[#This Row],[age]]&lt;55,"45-54","55+"))))</f>
        <v>35-44</v>
      </c>
      <c r="X1163" t="str">
        <f t="shared" si="18"/>
        <v>5,000-7,999</v>
      </c>
    </row>
    <row r="1164" spans="1:24" x14ac:dyDescent="0.3">
      <c r="A1164">
        <v>1639</v>
      </c>
      <c r="B1164">
        <v>35</v>
      </c>
      <c r="C1164" t="s">
        <v>22</v>
      </c>
      <c r="D1164" t="s">
        <v>23</v>
      </c>
      <c r="E1164" t="s">
        <v>24</v>
      </c>
      <c r="F1164">
        <v>10</v>
      </c>
      <c r="G1164" t="s">
        <v>50</v>
      </c>
      <c r="H1164" t="s">
        <v>48</v>
      </c>
      <c r="I1164" t="s">
        <v>31</v>
      </c>
      <c r="J1164" t="s">
        <v>40</v>
      </c>
      <c r="K1164" t="s">
        <v>27</v>
      </c>
      <c r="L1164" t="s">
        <v>30</v>
      </c>
      <c r="M1164" t="s">
        <v>34</v>
      </c>
      <c r="N1164" t="s">
        <v>42</v>
      </c>
      <c r="O1164">
        <v>10306</v>
      </c>
      <c r="P1164">
        <v>9</v>
      </c>
      <c r="Q1164" t="s">
        <v>36</v>
      </c>
      <c r="R1164">
        <v>17</v>
      </c>
      <c r="S1164" t="s">
        <v>33</v>
      </c>
      <c r="T1164" t="s">
        <v>29</v>
      </c>
      <c r="U1164">
        <v>3</v>
      </c>
      <c r="V1164" t="s">
        <v>44</v>
      </c>
      <c r="W1164" t="str">
        <f>IF(HR_Data[[#This Row],[age]]&lt;25,"Under 25",IF(HR_Data[[#This Row],[age]]&lt;35,"25-34",IF(HR_Data[[#This Row],[age]]&lt;45,"35-44",IF(HR_Data[[#This Row],[age]]&lt;55,"45-54","55+"))))</f>
        <v>35-44</v>
      </c>
      <c r="X1164" t="str">
        <f t="shared" si="18"/>
        <v>8,000+</v>
      </c>
    </row>
    <row r="1165" spans="1:24" x14ac:dyDescent="0.3">
      <c r="A1165">
        <v>1640</v>
      </c>
      <c r="B1165">
        <v>37</v>
      </c>
      <c r="C1165" t="s">
        <v>36</v>
      </c>
      <c r="D1165" t="s">
        <v>23</v>
      </c>
      <c r="E1165" t="s">
        <v>38</v>
      </c>
      <c r="F1165">
        <v>10</v>
      </c>
      <c r="G1165" t="s">
        <v>50</v>
      </c>
      <c r="H1165" t="s">
        <v>48</v>
      </c>
      <c r="I1165" t="s">
        <v>27</v>
      </c>
      <c r="J1165" t="s">
        <v>28</v>
      </c>
      <c r="K1165" t="s">
        <v>29</v>
      </c>
      <c r="L1165" t="s">
        <v>41</v>
      </c>
      <c r="M1165" t="s">
        <v>27</v>
      </c>
      <c r="N1165" t="s">
        <v>42</v>
      </c>
      <c r="O1165">
        <v>3936</v>
      </c>
      <c r="P1165">
        <v>1</v>
      </c>
      <c r="Q1165" t="s">
        <v>36</v>
      </c>
      <c r="R1165">
        <v>11</v>
      </c>
      <c r="S1165" t="s">
        <v>33</v>
      </c>
      <c r="T1165" t="s">
        <v>34</v>
      </c>
      <c r="U1165">
        <v>2</v>
      </c>
      <c r="V1165" t="s">
        <v>35</v>
      </c>
      <c r="W1165" t="str">
        <f>IF(HR_Data[[#This Row],[age]]&lt;25,"Under 25",IF(HR_Data[[#This Row],[age]]&lt;35,"25-34",IF(HR_Data[[#This Row],[age]]&lt;45,"35-44",IF(HR_Data[[#This Row],[age]]&lt;55,"45-54","55+"))))</f>
        <v>35-44</v>
      </c>
      <c r="X1165" t="str">
        <f t="shared" si="18"/>
        <v>3,000-4,999</v>
      </c>
    </row>
    <row r="1166" spans="1:24" x14ac:dyDescent="0.3">
      <c r="A1166">
        <v>1641</v>
      </c>
      <c r="B1166">
        <v>40</v>
      </c>
      <c r="C1166" t="s">
        <v>36</v>
      </c>
      <c r="D1166" t="s">
        <v>23</v>
      </c>
      <c r="E1166" t="s">
        <v>38</v>
      </c>
      <c r="F1166">
        <v>16</v>
      </c>
      <c r="G1166" t="s">
        <v>50</v>
      </c>
      <c r="H1166" t="s">
        <v>26</v>
      </c>
      <c r="I1166" t="s">
        <v>29</v>
      </c>
      <c r="J1166" t="s">
        <v>28</v>
      </c>
      <c r="K1166" t="s">
        <v>29</v>
      </c>
      <c r="L1166" t="s">
        <v>52</v>
      </c>
      <c r="M1166" t="s">
        <v>31</v>
      </c>
      <c r="N1166" t="s">
        <v>32</v>
      </c>
      <c r="O1166">
        <v>7945</v>
      </c>
      <c r="P1166">
        <v>6</v>
      </c>
      <c r="Q1166" t="s">
        <v>22</v>
      </c>
      <c r="R1166">
        <v>15</v>
      </c>
      <c r="S1166" t="s">
        <v>33</v>
      </c>
      <c r="T1166" t="s">
        <v>31</v>
      </c>
      <c r="U1166">
        <v>2</v>
      </c>
      <c r="V1166" t="s">
        <v>49</v>
      </c>
      <c r="W1166" t="str">
        <f>IF(HR_Data[[#This Row],[age]]&lt;25,"Under 25",IF(HR_Data[[#This Row],[age]]&lt;35,"25-34",IF(HR_Data[[#This Row],[age]]&lt;45,"35-44",IF(HR_Data[[#This Row],[age]]&lt;55,"45-54","55+"))))</f>
        <v>35-44</v>
      </c>
      <c r="X1166" t="str">
        <f t="shared" si="18"/>
        <v>5,000-7,999</v>
      </c>
    </row>
    <row r="1167" spans="1:24" x14ac:dyDescent="0.3">
      <c r="A1167">
        <v>1642</v>
      </c>
      <c r="B1167">
        <v>44</v>
      </c>
      <c r="C1167" t="s">
        <v>36</v>
      </c>
      <c r="D1167" t="s">
        <v>37</v>
      </c>
      <c r="E1167" t="s">
        <v>62</v>
      </c>
      <c r="F1167">
        <v>1</v>
      </c>
      <c r="G1167" t="s">
        <v>61</v>
      </c>
      <c r="H1167" t="s">
        <v>62</v>
      </c>
      <c r="I1167" t="s">
        <v>34</v>
      </c>
      <c r="J1167" t="s">
        <v>40</v>
      </c>
      <c r="K1167" t="s">
        <v>29</v>
      </c>
      <c r="L1167" t="s">
        <v>62</v>
      </c>
      <c r="M1167" t="s">
        <v>31</v>
      </c>
      <c r="N1167" t="s">
        <v>42</v>
      </c>
      <c r="O1167">
        <v>5743</v>
      </c>
      <c r="P1167">
        <v>4</v>
      </c>
      <c r="Q1167" t="s">
        <v>22</v>
      </c>
      <c r="R1167">
        <v>11</v>
      </c>
      <c r="S1167" t="s">
        <v>33</v>
      </c>
      <c r="T1167" t="s">
        <v>29</v>
      </c>
      <c r="U1167">
        <v>3</v>
      </c>
      <c r="V1167" t="s">
        <v>44</v>
      </c>
      <c r="W1167" t="str">
        <f>IF(HR_Data[[#This Row],[age]]&lt;25,"Under 25",IF(HR_Data[[#This Row],[age]]&lt;35,"25-34",IF(HR_Data[[#This Row],[age]]&lt;45,"35-44",IF(HR_Data[[#This Row],[age]]&lt;55,"45-54","55+"))))</f>
        <v>35-44</v>
      </c>
      <c r="X1167" t="str">
        <f t="shared" si="18"/>
        <v>5,000-7,999</v>
      </c>
    </row>
    <row r="1168" spans="1:24" x14ac:dyDescent="0.3">
      <c r="A1168">
        <v>1644</v>
      </c>
      <c r="B1168">
        <v>48</v>
      </c>
      <c r="C1168" t="s">
        <v>36</v>
      </c>
      <c r="D1168" t="s">
        <v>37</v>
      </c>
      <c r="E1168" t="s">
        <v>38</v>
      </c>
      <c r="F1168">
        <v>4</v>
      </c>
      <c r="G1168" t="s">
        <v>61</v>
      </c>
      <c r="H1168" t="s">
        <v>48</v>
      </c>
      <c r="I1168" t="s">
        <v>29</v>
      </c>
      <c r="J1168" t="s">
        <v>40</v>
      </c>
      <c r="K1168" t="s">
        <v>27</v>
      </c>
      <c r="L1168" t="s">
        <v>55</v>
      </c>
      <c r="M1168" t="s">
        <v>31</v>
      </c>
      <c r="N1168" t="s">
        <v>42</v>
      </c>
      <c r="O1168">
        <v>15202</v>
      </c>
      <c r="P1168">
        <v>2</v>
      </c>
      <c r="Q1168" t="s">
        <v>36</v>
      </c>
      <c r="R1168">
        <v>25</v>
      </c>
      <c r="S1168" t="s">
        <v>43</v>
      </c>
      <c r="T1168" t="s">
        <v>27</v>
      </c>
      <c r="U1168">
        <v>3</v>
      </c>
      <c r="V1168" t="s">
        <v>44</v>
      </c>
      <c r="W1168" t="str">
        <f>IF(HR_Data[[#This Row],[age]]&lt;25,"Under 25",IF(HR_Data[[#This Row],[age]]&lt;35,"25-34",IF(HR_Data[[#This Row],[age]]&lt;45,"35-44",IF(HR_Data[[#This Row],[age]]&lt;55,"45-54","55+"))))</f>
        <v>45-54</v>
      </c>
      <c r="X1168" t="str">
        <f t="shared" si="18"/>
        <v>8,000+</v>
      </c>
    </row>
    <row r="1169" spans="1:24" x14ac:dyDescent="0.3">
      <c r="A1169">
        <v>1645</v>
      </c>
      <c r="B1169">
        <v>35</v>
      </c>
      <c r="C1169" t="s">
        <v>22</v>
      </c>
      <c r="D1169" t="s">
        <v>23</v>
      </c>
      <c r="E1169" t="s">
        <v>24</v>
      </c>
      <c r="F1169">
        <v>15</v>
      </c>
      <c r="G1169" t="s">
        <v>25</v>
      </c>
      <c r="H1169" t="s">
        <v>48</v>
      </c>
      <c r="I1169" t="s">
        <v>34</v>
      </c>
      <c r="J1169" t="s">
        <v>40</v>
      </c>
      <c r="K1169" t="s">
        <v>34</v>
      </c>
      <c r="L1169" t="s">
        <v>30</v>
      </c>
      <c r="M1169" t="s">
        <v>31</v>
      </c>
      <c r="N1169" t="s">
        <v>51</v>
      </c>
      <c r="O1169">
        <v>5440</v>
      </c>
      <c r="P1169">
        <v>6</v>
      </c>
      <c r="Q1169" t="s">
        <v>22</v>
      </c>
      <c r="R1169">
        <v>14</v>
      </c>
      <c r="S1169" t="s">
        <v>33</v>
      </c>
      <c r="T1169" t="s">
        <v>31</v>
      </c>
      <c r="U1169">
        <v>2</v>
      </c>
      <c r="V1169" t="s">
        <v>49</v>
      </c>
      <c r="W1169" t="str">
        <f>IF(HR_Data[[#This Row],[age]]&lt;25,"Under 25",IF(HR_Data[[#This Row],[age]]&lt;35,"25-34",IF(HR_Data[[#This Row],[age]]&lt;45,"35-44",IF(HR_Data[[#This Row],[age]]&lt;55,"45-54","55+"))))</f>
        <v>35-44</v>
      </c>
      <c r="X1169" t="str">
        <f t="shared" si="18"/>
        <v>5,000-7,999</v>
      </c>
    </row>
    <row r="1170" spans="1:24" x14ac:dyDescent="0.3">
      <c r="A1170">
        <v>1646</v>
      </c>
      <c r="B1170">
        <v>24</v>
      </c>
      <c r="C1170" t="s">
        <v>36</v>
      </c>
      <c r="D1170" t="s">
        <v>37</v>
      </c>
      <c r="E1170" t="s">
        <v>38</v>
      </c>
      <c r="F1170">
        <v>2</v>
      </c>
      <c r="G1170" t="s">
        <v>39</v>
      </c>
      <c r="H1170" t="s">
        <v>60</v>
      </c>
      <c r="I1170" t="s">
        <v>34</v>
      </c>
      <c r="J1170" t="s">
        <v>28</v>
      </c>
      <c r="K1170" t="s">
        <v>29</v>
      </c>
      <c r="L1170" t="s">
        <v>41</v>
      </c>
      <c r="M1170" t="s">
        <v>31</v>
      </c>
      <c r="N1170" t="s">
        <v>32</v>
      </c>
      <c r="O1170">
        <v>3760</v>
      </c>
      <c r="P1170">
        <v>1</v>
      </c>
      <c r="Q1170" t="s">
        <v>22</v>
      </c>
      <c r="R1170">
        <v>13</v>
      </c>
      <c r="S1170" t="s">
        <v>33</v>
      </c>
      <c r="T1170" t="s">
        <v>29</v>
      </c>
      <c r="U1170">
        <v>2</v>
      </c>
      <c r="V1170" t="s">
        <v>44</v>
      </c>
      <c r="W1170" t="str">
        <f>IF(HR_Data[[#This Row],[age]]&lt;25,"Under 25",IF(HR_Data[[#This Row],[age]]&lt;35,"25-34",IF(HR_Data[[#This Row],[age]]&lt;45,"35-44",IF(HR_Data[[#This Row],[age]]&lt;55,"45-54","55+"))))</f>
        <v>Under 25</v>
      </c>
      <c r="X1170" t="str">
        <f t="shared" si="18"/>
        <v>3,000-4,999</v>
      </c>
    </row>
    <row r="1171" spans="1:24" x14ac:dyDescent="0.3">
      <c r="A1171">
        <v>1647</v>
      </c>
      <c r="B1171">
        <v>27</v>
      </c>
      <c r="C1171" t="s">
        <v>36</v>
      </c>
      <c r="D1171" t="s">
        <v>23</v>
      </c>
      <c r="E1171" t="s">
        <v>38</v>
      </c>
      <c r="F1171">
        <v>8</v>
      </c>
      <c r="G1171" t="s">
        <v>50</v>
      </c>
      <c r="H1171" t="s">
        <v>48</v>
      </c>
      <c r="I1171" t="s">
        <v>27</v>
      </c>
      <c r="J1171" t="s">
        <v>28</v>
      </c>
      <c r="K1171" t="s">
        <v>31</v>
      </c>
      <c r="L1171" t="s">
        <v>41</v>
      </c>
      <c r="M1171" t="s">
        <v>29</v>
      </c>
      <c r="N1171" t="s">
        <v>42</v>
      </c>
      <c r="O1171">
        <v>3517</v>
      </c>
      <c r="P1171">
        <v>7</v>
      </c>
      <c r="Q1171" t="s">
        <v>36</v>
      </c>
      <c r="R1171">
        <v>17</v>
      </c>
      <c r="S1171" t="s">
        <v>33</v>
      </c>
      <c r="T1171" t="s">
        <v>34</v>
      </c>
      <c r="U1171">
        <v>0</v>
      </c>
      <c r="V1171" t="s">
        <v>44</v>
      </c>
      <c r="W1171" t="str">
        <f>IF(HR_Data[[#This Row],[age]]&lt;25,"Under 25",IF(HR_Data[[#This Row],[age]]&lt;35,"25-34",IF(HR_Data[[#This Row],[age]]&lt;45,"35-44",IF(HR_Data[[#This Row],[age]]&lt;55,"45-54","55+"))))</f>
        <v>25-34</v>
      </c>
      <c r="X1171" t="str">
        <f t="shared" si="18"/>
        <v>3,000-4,999</v>
      </c>
    </row>
    <row r="1172" spans="1:24" x14ac:dyDescent="0.3">
      <c r="A1172">
        <v>1648</v>
      </c>
      <c r="B1172">
        <v>27</v>
      </c>
      <c r="C1172" t="s">
        <v>36</v>
      </c>
      <c r="D1172" t="s">
        <v>37</v>
      </c>
      <c r="E1172" t="s">
        <v>38</v>
      </c>
      <c r="F1172">
        <v>2</v>
      </c>
      <c r="G1172" t="s">
        <v>50</v>
      </c>
      <c r="H1172" t="s">
        <v>48</v>
      </c>
      <c r="I1172" t="s">
        <v>31</v>
      </c>
      <c r="J1172" t="s">
        <v>40</v>
      </c>
      <c r="K1172" t="s">
        <v>29</v>
      </c>
      <c r="L1172" t="s">
        <v>41</v>
      </c>
      <c r="M1172" t="s">
        <v>31</v>
      </c>
      <c r="N1172" t="s">
        <v>32</v>
      </c>
      <c r="O1172">
        <v>2580</v>
      </c>
      <c r="P1172">
        <v>2</v>
      </c>
      <c r="Q1172" t="s">
        <v>36</v>
      </c>
      <c r="R1172">
        <v>13</v>
      </c>
      <c r="S1172" t="s">
        <v>33</v>
      </c>
      <c r="T1172" t="s">
        <v>29</v>
      </c>
      <c r="U1172">
        <v>0</v>
      </c>
      <c r="V1172" t="s">
        <v>49</v>
      </c>
      <c r="W1172" t="str">
        <f>IF(HR_Data[[#This Row],[age]]&lt;25,"Under 25",IF(HR_Data[[#This Row],[age]]&lt;35,"25-34",IF(HR_Data[[#This Row],[age]]&lt;45,"35-44",IF(HR_Data[[#This Row],[age]]&lt;55,"45-54","55+"))))</f>
        <v>25-34</v>
      </c>
      <c r="X1172" t="str">
        <f t="shared" si="18"/>
        <v>Below 3,000</v>
      </c>
    </row>
    <row r="1173" spans="1:24" x14ac:dyDescent="0.3">
      <c r="A1173">
        <v>1649</v>
      </c>
      <c r="B1173">
        <v>40</v>
      </c>
      <c r="C1173" t="s">
        <v>22</v>
      </c>
      <c r="D1173" t="s">
        <v>23</v>
      </c>
      <c r="E1173" t="s">
        <v>38</v>
      </c>
      <c r="F1173">
        <v>7</v>
      </c>
      <c r="G1173" t="s">
        <v>50</v>
      </c>
      <c r="H1173" t="s">
        <v>26</v>
      </c>
      <c r="I1173" t="s">
        <v>34</v>
      </c>
      <c r="J1173" t="s">
        <v>40</v>
      </c>
      <c r="K1173" t="s">
        <v>29</v>
      </c>
      <c r="L1173" t="s">
        <v>46</v>
      </c>
      <c r="M1173" t="s">
        <v>34</v>
      </c>
      <c r="N1173" t="s">
        <v>32</v>
      </c>
      <c r="O1173">
        <v>2166</v>
      </c>
      <c r="P1173">
        <v>3</v>
      </c>
      <c r="Q1173" t="s">
        <v>22</v>
      </c>
      <c r="R1173">
        <v>14</v>
      </c>
      <c r="S1173" t="s">
        <v>33</v>
      </c>
      <c r="T1173" t="s">
        <v>27</v>
      </c>
      <c r="U1173">
        <v>3</v>
      </c>
      <c r="V1173" t="s">
        <v>35</v>
      </c>
      <c r="W1173" t="str">
        <f>IF(HR_Data[[#This Row],[age]]&lt;25,"Under 25",IF(HR_Data[[#This Row],[age]]&lt;35,"25-34",IF(HR_Data[[#This Row],[age]]&lt;45,"35-44",IF(HR_Data[[#This Row],[age]]&lt;55,"45-54","55+"))))</f>
        <v>35-44</v>
      </c>
      <c r="X1173" t="str">
        <f t="shared" si="18"/>
        <v>Below 3,000</v>
      </c>
    </row>
    <row r="1174" spans="1:24" x14ac:dyDescent="0.3">
      <c r="A1174">
        <v>1650</v>
      </c>
      <c r="B1174">
        <v>29</v>
      </c>
      <c r="C1174" t="s">
        <v>36</v>
      </c>
      <c r="D1174" t="s">
        <v>23</v>
      </c>
      <c r="E1174" t="s">
        <v>24</v>
      </c>
      <c r="F1174">
        <v>10</v>
      </c>
      <c r="G1174" t="s">
        <v>50</v>
      </c>
      <c r="H1174" t="s">
        <v>48</v>
      </c>
      <c r="I1174" t="s">
        <v>29</v>
      </c>
      <c r="J1174" t="s">
        <v>40</v>
      </c>
      <c r="K1174" t="s">
        <v>27</v>
      </c>
      <c r="L1174" t="s">
        <v>30</v>
      </c>
      <c r="M1174" t="s">
        <v>29</v>
      </c>
      <c r="N1174" t="s">
        <v>32</v>
      </c>
      <c r="O1174">
        <v>5869</v>
      </c>
      <c r="P1174">
        <v>9</v>
      </c>
      <c r="Q1174" t="s">
        <v>36</v>
      </c>
      <c r="R1174">
        <v>11</v>
      </c>
      <c r="S1174" t="s">
        <v>33</v>
      </c>
      <c r="T1174" t="s">
        <v>29</v>
      </c>
      <c r="U1174">
        <v>2</v>
      </c>
      <c r="V1174" t="s">
        <v>44</v>
      </c>
      <c r="W1174" t="str">
        <f>IF(HR_Data[[#This Row],[age]]&lt;25,"Under 25",IF(HR_Data[[#This Row],[age]]&lt;35,"25-34",IF(HR_Data[[#This Row],[age]]&lt;45,"35-44",IF(HR_Data[[#This Row],[age]]&lt;55,"45-54","55+"))))</f>
        <v>25-34</v>
      </c>
      <c r="X1174" t="str">
        <f t="shared" si="18"/>
        <v>5,000-7,999</v>
      </c>
    </row>
    <row r="1175" spans="1:24" x14ac:dyDescent="0.3">
      <c r="A1175">
        <v>1651</v>
      </c>
      <c r="B1175">
        <v>36</v>
      </c>
      <c r="C1175" t="s">
        <v>36</v>
      </c>
      <c r="D1175" t="s">
        <v>23</v>
      </c>
      <c r="E1175" t="s">
        <v>38</v>
      </c>
      <c r="F1175">
        <v>5</v>
      </c>
      <c r="G1175" t="s">
        <v>47</v>
      </c>
      <c r="H1175" t="s">
        <v>26</v>
      </c>
      <c r="I1175" t="s">
        <v>27</v>
      </c>
      <c r="J1175" t="s">
        <v>28</v>
      </c>
      <c r="K1175" t="s">
        <v>29</v>
      </c>
      <c r="L1175" t="s">
        <v>53</v>
      </c>
      <c r="M1175" t="s">
        <v>34</v>
      </c>
      <c r="N1175" t="s">
        <v>42</v>
      </c>
      <c r="O1175">
        <v>8008</v>
      </c>
      <c r="P1175">
        <v>4</v>
      </c>
      <c r="Q1175" t="s">
        <v>36</v>
      </c>
      <c r="R1175">
        <v>12</v>
      </c>
      <c r="S1175" t="s">
        <v>33</v>
      </c>
      <c r="T1175" t="s">
        <v>29</v>
      </c>
      <c r="U1175">
        <v>6</v>
      </c>
      <c r="V1175" t="s">
        <v>44</v>
      </c>
      <c r="W1175" t="str">
        <f>IF(HR_Data[[#This Row],[age]]&lt;25,"Under 25",IF(HR_Data[[#This Row],[age]]&lt;35,"25-34",IF(HR_Data[[#This Row],[age]]&lt;45,"35-44",IF(HR_Data[[#This Row],[age]]&lt;55,"45-54","55+"))))</f>
        <v>35-44</v>
      </c>
      <c r="X1175" t="str">
        <f t="shared" si="18"/>
        <v>8,000+</v>
      </c>
    </row>
    <row r="1176" spans="1:24" x14ac:dyDescent="0.3">
      <c r="A1176">
        <v>1653</v>
      </c>
      <c r="B1176">
        <v>25</v>
      </c>
      <c r="C1176" t="s">
        <v>36</v>
      </c>
      <c r="D1176" t="s">
        <v>37</v>
      </c>
      <c r="E1176" t="s">
        <v>38</v>
      </c>
      <c r="F1176">
        <v>2</v>
      </c>
      <c r="G1176" t="s">
        <v>39</v>
      </c>
      <c r="H1176" t="s">
        <v>26</v>
      </c>
      <c r="I1176" t="s">
        <v>31</v>
      </c>
      <c r="J1176" t="s">
        <v>40</v>
      </c>
      <c r="K1176" t="s">
        <v>31</v>
      </c>
      <c r="L1176" t="s">
        <v>52</v>
      </c>
      <c r="M1176" t="s">
        <v>29</v>
      </c>
      <c r="N1176" t="s">
        <v>51</v>
      </c>
      <c r="O1176">
        <v>5206</v>
      </c>
      <c r="P1176">
        <v>1</v>
      </c>
      <c r="Q1176" t="s">
        <v>36</v>
      </c>
      <c r="R1176">
        <v>17</v>
      </c>
      <c r="S1176" t="s">
        <v>33</v>
      </c>
      <c r="T1176" t="s">
        <v>29</v>
      </c>
      <c r="U1176">
        <v>6</v>
      </c>
      <c r="V1176" t="s">
        <v>44</v>
      </c>
      <c r="W1176" t="str">
        <f>IF(HR_Data[[#This Row],[age]]&lt;25,"Under 25",IF(HR_Data[[#This Row],[age]]&lt;35,"25-34",IF(HR_Data[[#This Row],[age]]&lt;45,"35-44",IF(HR_Data[[#This Row],[age]]&lt;55,"45-54","55+"))))</f>
        <v>25-34</v>
      </c>
      <c r="X1176" t="str">
        <f t="shared" si="18"/>
        <v>5,000-7,999</v>
      </c>
    </row>
    <row r="1177" spans="1:24" x14ac:dyDescent="0.3">
      <c r="A1177">
        <v>1654</v>
      </c>
      <c r="B1177">
        <v>39</v>
      </c>
      <c r="C1177" t="s">
        <v>36</v>
      </c>
      <c r="D1177" t="s">
        <v>23</v>
      </c>
      <c r="E1177" t="s">
        <v>38</v>
      </c>
      <c r="F1177">
        <v>12</v>
      </c>
      <c r="G1177" t="s">
        <v>50</v>
      </c>
      <c r="H1177" t="s">
        <v>48</v>
      </c>
      <c r="I1177" t="s">
        <v>31</v>
      </c>
      <c r="J1177" t="s">
        <v>40</v>
      </c>
      <c r="K1177" t="s">
        <v>29</v>
      </c>
      <c r="L1177" t="s">
        <v>52</v>
      </c>
      <c r="M1177" t="s">
        <v>27</v>
      </c>
      <c r="N1177" t="s">
        <v>42</v>
      </c>
      <c r="O1177">
        <v>5295</v>
      </c>
      <c r="P1177">
        <v>4</v>
      </c>
      <c r="Q1177" t="s">
        <v>36</v>
      </c>
      <c r="R1177">
        <v>21</v>
      </c>
      <c r="S1177" t="s">
        <v>43</v>
      </c>
      <c r="T1177" t="s">
        <v>29</v>
      </c>
      <c r="U1177">
        <v>3</v>
      </c>
      <c r="V1177" t="s">
        <v>44</v>
      </c>
      <c r="W1177" t="str">
        <f>IF(HR_Data[[#This Row],[age]]&lt;25,"Under 25",IF(HR_Data[[#This Row],[age]]&lt;35,"25-34",IF(HR_Data[[#This Row],[age]]&lt;45,"35-44",IF(HR_Data[[#This Row],[age]]&lt;55,"45-54","55+"))))</f>
        <v>35-44</v>
      </c>
      <c r="X1177" t="str">
        <f t="shared" si="18"/>
        <v>5,000-7,999</v>
      </c>
    </row>
    <row r="1178" spans="1:24" x14ac:dyDescent="0.3">
      <c r="A1178">
        <v>1655</v>
      </c>
      <c r="B1178">
        <v>49</v>
      </c>
      <c r="C1178" t="s">
        <v>36</v>
      </c>
      <c r="D1178" t="s">
        <v>23</v>
      </c>
      <c r="E1178" t="s">
        <v>38</v>
      </c>
      <c r="F1178">
        <v>22</v>
      </c>
      <c r="G1178" t="s">
        <v>47</v>
      </c>
      <c r="H1178" t="s">
        <v>45</v>
      </c>
      <c r="I1178" t="s">
        <v>34</v>
      </c>
      <c r="J1178" t="s">
        <v>28</v>
      </c>
      <c r="K1178" t="s">
        <v>29</v>
      </c>
      <c r="L1178" t="s">
        <v>57</v>
      </c>
      <c r="M1178" t="s">
        <v>27</v>
      </c>
      <c r="N1178" t="s">
        <v>42</v>
      </c>
      <c r="O1178">
        <v>16413</v>
      </c>
      <c r="P1178">
        <v>3</v>
      </c>
      <c r="Q1178" t="s">
        <v>36</v>
      </c>
      <c r="R1178">
        <v>16</v>
      </c>
      <c r="S1178" t="s">
        <v>33</v>
      </c>
      <c r="T1178" t="s">
        <v>27</v>
      </c>
      <c r="U1178">
        <v>2</v>
      </c>
      <c r="V1178" t="s">
        <v>44</v>
      </c>
      <c r="W1178" t="str">
        <f>IF(HR_Data[[#This Row],[age]]&lt;25,"Under 25",IF(HR_Data[[#This Row],[age]]&lt;35,"25-34",IF(HR_Data[[#This Row],[age]]&lt;45,"35-44",IF(HR_Data[[#This Row],[age]]&lt;55,"45-54","55+"))))</f>
        <v>45-54</v>
      </c>
      <c r="X1178" t="str">
        <f t="shared" si="18"/>
        <v>8,000+</v>
      </c>
    </row>
    <row r="1179" spans="1:24" x14ac:dyDescent="0.3">
      <c r="A1179">
        <v>1656</v>
      </c>
      <c r="B1179">
        <v>50</v>
      </c>
      <c r="C1179" t="s">
        <v>36</v>
      </c>
      <c r="D1179" t="s">
        <v>23</v>
      </c>
      <c r="E1179" t="s">
        <v>38</v>
      </c>
      <c r="F1179">
        <v>17</v>
      </c>
      <c r="G1179" t="s">
        <v>61</v>
      </c>
      <c r="H1179" t="s">
        <v>26</v>
      </c>
      <c r="I1179" t="s">
        <v>31</v>
      </c>
      <c r="J1179" t="s">
        <v>28</v>
      </c>
      <c r="K1179" t="s">
        <v>27</v>
      </c>
      <c r="L1179" t="s">
        <v>57</v>
      </c>
      <c r="M1179" t="s">
        <v>34</v>
      </c>
      <c r="N1179" t="s">
        <v>51</v>
      </c>
      <c r="O1179">
        <v>13269</v>
      </c>
      <c r="P1179">
        <v>5</v>
      </c>
      <c r="Q1179" t="s">
        <v>36</v>
      </c>
      <c r="R1179">
        <v>15</v>
      </c>
      <c r="S1179" t="s">
        <v>33</v>
      </c>
      <c r="T1179" t="s">
        <v>29</v>
      </c>
      <c r="U1179">
        <v>3</v>
      </c>
      <c r="V1179" t="s">
        <v>44</v>
      </c>
      <c r="W1179" t="str">
        <f>IF(HR_Data[[#This Row],[age]]&lt;25,"Under 25",IF(HR_Data[[#This Row],[age]]&lt;35,"25-34",IF(HR_Data[[#This Row],[age]]&lt;45,"35-44",IF(HR_Data[[#This Row],[age]]&lt;55,"45-54","55+"))))</f>
        <v>45-54</v>
      </c>
      <c r="X1179" t="str">
        <f t="shared" si="18"/>
        <v>8,000+</v>
      </c>
    </row>
    <row r="1180" spans="1:24" x14ac:dyDescent="0.3">
      <c r="A1180">
        <v>1657</v>
      </c>
      <c r="B1180">
        <v>20</v>
      </c>
      <c r="C1180" t="s">
        <v>36</v>
      </c>
      <c r="D1180" t="s">
        <v>23</v>
      </c>
      <c r="E1180" t="s">
        <v>24</v>
      </c>
      <c r="F1180">
        <v>2</v>
      </c>
      <c r="G1180" t="s">
        <v>50</v>
      </c>
      <c r="H1180" t="s">
        <v>48</v>
      </c>
      <c r="I1180" t="s">
        <v>29</v>
      </c>
      <c r="J1180" t="s">
        <v>28</v>
      </c>
      <c r="K1180" t="s">
        <v>29</v>
      </c>
      <c r="L1180" t="s">
        <v>56</v>
      </c>
      <c r="M1180" t="s">
        <v>29</v>
      </c>
      <c r="N1180" t="s">
        <v>32</v>
      </c>
      <c r="O1180">
        <v>2783</v>
      </c>
      <c r="P1180">
        <v>1</v>
      </c>
      <c r="Q1180" t="s">
        <v>36</v>
      </c>
      <c r="R1180">
        <v>19</v>
      </c>
      <c r="S1180" t="s">
        <v>33</v>
      </c>
      <c r="T1180" t="s">
        <v>34</v>
      </c>
      <c r="U1180">
        <v>3</v>
      </c>
      <c r="V1180" t="s">
        <v>44</v>
      </c>
      <c r="W1180" t="str">
        <f>IF(HR_Data[[#This Row],[age]]&lt;25,"Under 25",IF(HR_Data[[#This Row],[age]]&lt;35,"25-34",IF(HR_Data[[#This Row],[age]]&lt;45,"35-44",IF(HR_Data[[#This Row],[age]]&lt;55,"45-54","55+"))))</f>
        <v>Under 25</v>
      </c>
      <c r="X1180" t="str">
        <f t="shared" si="18"/>
        <v>Below 3,000</v>
      </c>
    </row>
    <row r="1181" spans="1:24" x14ac:dyDescent="0.3">
      <c r="A1181">
        <v>1658</v>
      </c>
      <c r="B1181">
        <v>34</v>
      </c>
      <c r="C1181" t="s">
        <v>36</v>
      </c>
      <c r="D1181" t="s">
        <v>23</v>
      </c>
      <c r="E1181" t="s">
        <v>38</v>
      </c>
      <c r="F1181">
        <v>3</v>
      </c>
      <c r="G1181" t="s">
        <v>50</v>
      </c>
      <c r="H1181" t="s">
        <v>26</v>
      </c>
      <c r="I1181" t="s">
        <v>31</v>
      </c>
      <c r="J1181" t="s">
        <v>28</v>
      </c>
      <c r="K1181" t="s">
        <v>29</v>
      </c>
      <c r="L1181" t="s">
        <v>41</v>
      </c>
      <c r="M1181" t="s">
        <v>27</v>
      </c>
      <c r="N1181" t="s">
        <v>51</v>
      </c>
      <c r="O1181">
        <v>5433</v>
      </c>
      <c r="P1181">
        <v>1</v>
      </c>
      <c r="Q1181" t="s">
        <v>36</v>
      </c>
      <c r="R1181">
        <v>12</v>
      </c>
      <c r="S1181" t="s">
        <v>33</v>
      </c>
      <c r="T1181" t="s">
        <v>29</v>
      </c>
      <c r="U1181">
        <v>2</v>
      </c>
      <c r="V1181" t="s">
        <v>44</v>
      </c>
      <c r="W1181" t="str">
        <f>IF(HR_Data[[#This Row],[age]]&lt;25,"Under 25",IF(HR_Data[[#This Row],[age]]&lt;35,"25-34",IF(HR_Data[[#This Row],[age]]&lt;45,"35-44",IF(HR_Data[[#This Row],[age]]&lt;55,"45-54","55+"))))</f>
        <v>25-34</v>
      </c>
      <c r="X1181" t="str">
        <f t="shared" si="18"/>
        <v>5,000-7,999</v>
      </c>
    </row>
    <row r="1182" spans="1:24" x14ac:dyDescent="0.3">
      <c r="A1182">
        <v>1659</v>
      </c>
      <c r="B1182">
        <v>36</v>
      </c>
      <c r="C1182" t="s">
        <v>36</v>
      </c>
      <c r="D1182" t="s">
        <v>23</v>
      </c>
      <c r="E1182" t="s">
        <v>38</v>
      </c>
      <c r="F1182">
        <v>7</v>
      </c>
      <c r="G1182" t="s">
        <v>50</v>
      </c>
      <c r="H1182" t="s">
        <v>26</v>
      </c>
      <c r="I1182" t="s">
        <v>34</v>
      </c>
      <c r="J1182" t="s">
        <v>40</v>
      </c>
      <c r="K1182" t="s">
        <v>29</v>
      </c>
      <c r="L1182" t="s">
        <v>46</v>
      </c>
      <c r="M1182" t="s">
        <v>27</v>
      </c>
      <c r="N1182" t="s">
        <v>32</v>
      </c>
      <c r="O1182">
        <v>2013</v>
      </c>
      <c r="P1182">
        <v>2</v>
      </c>
      <c r="Q1182" t="s">
        <v>36</v>
      </c>
      <c r="R1182">
        <v>11</v>
      </c>
      <c r="S1182" t="s">
        <v>33</v>
      </c>
      <c r="T1182" t="s">
        <v>29</v>
      </c>
      <c r="U1182">
        <v>4</v>
      </c>
      <c r="V1182" t="s">
        <v>44</v>
      </c>
      <c r="W1182" t="str">
        <f>IF(HR_Data[[#This Row],[age]]&lt;25,"Under 25",IF(HR_Data[[#This Row],[age]]&lt;35,"25-34",IF(HR_Data[[#This Row],[age]]&lt;45,"35-44",IF(HR_Data[[#This Row],[age]]&lt;55,"45-54","55+"))))</f>
        <v>35-44</v>
      </c>
      <c r="X1182" t="str">
        <f t="shared" si="18"/>
        <v>Below 3,000</v>
      </c>
    </row>
    <row r="1183" spans="1:24" x14ac:dyDescent="0.3">
      <c r="A1183">
        <v>1661</v>
      </c>
      <c r="B1183">
        <v>49</v>
      </c>
      <c r="C1183" t="s">
        <v>36</v>
      </c>
      <c r="D1183" t="s">
        <v>23</v>
      </c>
      <c r="E1183" t="s">
        <v>38</v>
      </c>
      <c r="F1183">
        <v>6</v>
      </c>
      <c r="G1183" t="s">
        <v>39</v>
      </c>
      <c r="H1183" t="s">
        <v>26</v>
      </c>
      <c r="I1183" t="s">
        <v>29</v>
      </c>
      <c r="J1183" t="s">
        <v>28</v>
      </c>
      <c r="K1183" t="s">
        <v>27</v>
      </c>
      <c r="L1183" t="s">
        <v>53</v>
      </c>
      <c r="M1183" t="s">
        <v>29</v>
      </c>
      <c r="N1183" t="s">
        <v>42</v>
      </c>
      <c r="O1183">
        <v>13966</v>
      </c>
      <c r="P1183">
        <v>2</v>
      </c>
      <c r="Q1183" t="s">
        <v>22</v>
      </c>
      <c r="R1183">
        <v>19</v>
      </c>
      <c r="S1183" t="s">
        <v>33</v>
      </c>
      <c r="T1183" t="s">
        <v>27</v>
      </c>
      <c r="U1183">
        <v>3</v>
      </c>
      <c r="V1183" t="s">
        <v>44</v>
      </c>
      <c r="W1183" t="str">
        <f>IF(HR_Data[[#This Row],[age]]&lt;25,"Under 25",IF(HR_Data[[#This Row],[age]]&lt;35,"25-34",IF(HR_Data[[#This Row],[age]]&lt;45,"35-44",IF(HR_Data[[#This Row],[age]]&lt;55,"45-54","55+"))))</f>
        <v>45-54</v>
      </c>
      <c r="X1183" t="str">
        <f t="shared" si="18"/>
        <v>8,000+</v>
      </c>
    </row>
    <row r="1184" spans="1:24" x14ac:dyDescent="0.3">
      <c r="A1184">
        <v>1662</v>
      </c>
      <c r="B1184">
        <v>36</v>
      </c>
      <c r="C1184" t="s">
        <v>36</v>
      </c>
      <c r="D1184" t="s">
        <v>54</v>
      </c>
      <c r="E1184" t="s">
        <v>38</v>
      </c>
      <c r="F1184">
        <v>1</v>
      </c>
      <c r="G1184" t="s">
        <v>47</v>
      </c>
      <c r="H1184" t="s">
        <v>48</v>
      </c>
      <c r="I1184" t="s">
        <v>31</v>
      </c>
      <c r="J1184" t="s">
        <v>28</v>
      </c>
      <c r="K1184" t="s">
        <v>27</v>
      </c>
      <c r="L1184" t="s">
        <v>52</v>
      </c>
      <c r="M1184" t="s">
        <v>29</v>
      </c>
      <c r="N1184" t="s">
        <v>42</v>
      </c>
      <c r="O1184">
        <v>4374</v>
      </c>
      <c r="P1184">
        <v>0</v>
      </c>
      <c r="Q1184" t="s">
        <v>36</v>
      </c>
      <c r="R1184">
        <v>15</v>
      </c>
      <c r="S1184" t="s">
        <v>33</v>
      </c>
      <c r="T1184" t="s">
        <v>29</v>
      </c>
      <c r="U1184">
        <v>6</v>
      </c>
      <c r="V1184" t="s">
        <v>44</v>
      </c>
      <c r="W1184" t="str">
        <f>IF(HR_Data[[#This Row],[age]]&lt;25,"Under 25",IF(HR_Data[[#This Row],[age]]&lt;35,"25-34",IF(HR_Data[[#This Row],[age]]&lt;45,"35-44",IF(HR_Data[[#This Row],[age]]&lt;55,"45-54","55+"))))</f>
        <v>35-44</v>
      </c>
      <c r="X1184" t="str">
        <f t="shared" si="18"/>
        <v>3,000-4,999</v>
      </c>
    </row>
    <row r="1185" spans="1:24" x14ac:dyDescent="0.3">
      <c r="A1185">
        <v>1664</v>
      </c>
      <c r="B1185">
        <v>36</v>
      </c>
      <c r="C1185" t="s">
        <v>36</v>
      </c>
      <c r="D1185" t="s">
        <v>23</v>
      </c>
      <c r="E1185" t="s">
        <v>38</v>
      </c>
      <c r="F1185">
        <v>3</v>
      </c>
      <c r="G1185" t="s">
        <v>25</v>
      </c>
      <c r="H1185" t="s">
        <v>26</v>
      </c>
      <c r="I1185" t="s">
        <v>31</v>
      </c>
      <c r="J1185" t="s">
        <v>40</v>
      </c>
      <c r="K1185" t="s">
        <v>31</v>
      </c>
      <c r="L1185" t="s">
        <v>53</v>
      </c>
      <c r="M1185" t="s">
        <v>34</v>
      </c>
      <c r="N1185" t="s">
        <v>51</v>
      </c>
      <c r="O1185">
        <v>6842</v>
      </c>
      <c r="P1185">
        <v>6</v>
      </c>
      <c r="Q1185" t="s">
        <v>36</v>
      </c>
      <c r="R1185">
        <v>20</v>
      </c>
      <c r="S1185" t="s">
        <v>43</v>
      </c>
      <c r="T1185" t="s">
        <v>34</v>
      </c>
      <c r="U1185">
        <v>3</v>
      </c>
      <c r="V1185" t="s">
        <v>44</v>
      </c>
      <c r="W1185" t="str">
        <f>IF(HR_Data[[#This Row],[age]]&lt;25,"Under 25",IF(HR_Data[[#This Row],[age]]&lt;35,"25-34",IF(HR_Data[[#This Row],[age]]&lt;45,"35-44",IF(HR_Data[[#This Row],[age]]&lt;55,"45-54","55+"))))</f>
        <v>35-44</v>
      </c>
      <c r="X1185" t="str">
        <f t="shared" si="18"/>
        <v>5,000-7,999</v>
      </c>
    </row>
    <row r="1186" spans="1:24" x14ac:dyDescent="0.3">
      <c r="A1186">
        <v>1665</v>
      </c>
      <c r="B1186">
        <v>54</v>
      </c>
      <c r="C1186" t="s">
        <v>36</v>
      </c>
      <c r="D1186" t="s">
        <v>23</v>
      </c>
      <c r="E1186" t="s">
        <v>38</v>
      </c>
      <c r="F1186">
        <v>22</v>
      </c>
      <c r="G1186" t="s">
        <v>61</v>
      </c>
      <c r="H1186" t="s">
        <v>48</v>
      </c>
      <c r="I1186" t="s">
        <v>27</v>
      </c>
      <c r="J1186" t="s">
        <v>28</v>
      </c>
      <c r="K1186" t="s">
        <v>29</v>
      </c>
      <c r="L1186" t="s">
        <v>55</v>
      </c>
      <c r="M1186" t="s">
        <v>29</v>
      </c>
      <c r="N1186" t="s">
        <v>42</v>
      </c>
      <c r="O1186">
        <v>17426</v>
      </c>
      <c r="P1186">
        <v>3</v>
      </c>
      <c r="Q1186" t="s">
        <v>36</v>
      </c>
      <c r="R1186">
        <v>25</v>
      </c>
      <c r="S1186" t="s">
        <v>43</v>
      </c>
      <c r="T1186" t="s">
        <v>29</v>
      </c>
      <c r="U1186">
        <v>6</v>
      </c>
      <c r="V1186" t="s">
        <v>44</v>
      </c>
      <c r="W1186" t="str">
        <f>IF(HR_Data[[#This Row],[age]]&lt;25,"Under 25",IF(HR_Data[[#This Row],[age]]&lt;35,"25-34",IF(HR_Data[[#This Row],[age]]&lt;45,"35-44",IF(HR_Data[[#This Row],[age]]&lt;55,"45-54","55+"))))</f>
        <v>45-54</v>
      </c>
      <c r="X1186" t="str">
        <f t="shared" si="18"/>
        <v>8,000+</v>
      </c>
    </row>
    <row r="1187" spans="1:24" x14ac:dyDescent="0.3">
      <c r="A1187">
        <v>1666</v>
      </c>
      <c r="B1187">
        <v>43</v>
      </c>
      <c r="C1187" t="s">
        <v>36</v>
      </c>
      <c r="D1187" t="s">
        <v>23</v>
      </c>
      <c r="E1187" t="s">
        <v>38</v>
      </c>
      <c r="F1187">
        <v>15</v>
      </c>
      <c r="G1187" t="s">
        <v>25</v>
      </c>
      <c r="H1187" t="s">
        <v>26</v>
      </c>
      <c r="I1187" t="s">
        <v>29</v>
      </c>
      <c r="J1187" t="s">
        <v>40</v>
      </c>
      <c r="K1187" t="s">
        <v>27</v>
      </c>
      <c r="L1187" t="s">
        <v>57</v>
      </c>
      <c r="M1187" t="s">
        <v>29</v>
      </c>
      <c r="N1187" t="s">
        <v>42</v>
      </c>
      <c r="O1187">
        <v>17603</v>
      </c>
      <c r="P1187">
        <v>1</v>
      </c>
      <c r="Q1187" t="s">
        <v>36</v>
      </c>
      <c r="R1187">
        <v>24</v>
      </c>
      <c r="S1187" t="s">
        <v>43</v>
      </c>
      <c r="T1187" t="s">
        <v>34</v>
      </c>
      <c r="U1187">
        <v>3</v>
      </c>
      <c r="V1187" t="s">
        <v>44</v>
      </c>
      <c r="W1187" t="str">
        <f>IF(HR_Data[[#This Row],[age]]&lt;25,"Under 25",IF(HR_Data[[#This Row],[age]]&lt;35,"25-34",IF(HR_Data[[#This Row],[age]]&lt;45,"35-44",IF(HR_Data[[#This Row],[age]]&lt;55,"45-54","55+"))))</f>
        <v>35-44</v>
      </c>
      <c r="X1187" t="str">
        <f t="shared" si="18"/>
        <v>8,000+</v>
      </c>
    </row>
    <row r="1188" spans="1:24" x14ac:dyDescent="0.3">
      <c r="A1188">
        <v>1667</v>
      </c>
      <c r="B1188">
        <v>35</v>
      </c>
      <c r="C1188" t="s">
        <v>22</v>
      </c>
      <c r="D1188" t="s">
        <v>37</v>
      </c>
      <c r="E1188" t="s">
        <v>24</v>
      </c>
      <c r="F1188">
        <v>12</v>
      </c>
      <c r="G1188" t="s">
        <v>47</v>
      </c>
      <c r="H1188" t="s">
        <v>45</v>
      </c>
      <c r="I1188" t="s">
        <v>31</v>
      </c>
      <c r="J1188" t="s">
        <v>40</v>
      </c>
      <c r="K1188" t="s">
        <v>29</v>
      </c>
      <c r="L1188" t="s">
        <v>30</v>
      </c>
      <c r="M1188" t="s">
        <v>31</v>
      </c>
      <c r="N1188" t="s">
        <v>32</v>
      </c>
      <c r="O1188">
        <v>4581</v>
      </c>
      <c r="P1188">
        <v>3</v>
      </c>
      <c r="Q1188" t="s">
        <v>22</v>
      </c>
      <c r="R1188">
        <v>24</v>
      </c>
      <c r="S1188" t="s">
        <v>43</v>
      </c>
      <c r="T1188" t="s">
        <v>34</v>
      </c>
      <c r="U1188">
        <v>2</v>
      </c>
      <c r="V1188" t="s">
        <v>59</v>
      </c>
      <c r="W1188" t="str">
        <f>IF(HR_Data[[#This Row],[age]]&lt;25,"Under 25",IF(HR_Data[[#This Row],[age]]&lt;35,"25-34",IF(HR_Data[[#This Row],[age]]&lt;45,"35-44",IF(HR_Data[[#This Row],[age]]&lt;55,"45-54","55+"))))</f>
        <v>35-44</v>
      </c>
      <c r="X1188" t="str">
        <f t="shared" si="18"/>
        <v>3,000-4,999</v>
      </c>
    </row>
    <row r="1189" spans="1:24" x14ac:dyDescent="0.3">
      <c r="A1189">
        <v>1668</v>
      </c>
      <c r="B1189">
        <v>38</v>
      </c>
      <c r="C1189" t="s">
        <v>36</v>
      </c>
      <c r="D1189" t="s">
        <v>37</v>
      </c>
      <c r="E1189" t="s">
        <v>38</v>
      </c>
      <c r="F1189">
        <v>1</v>
      </c>
      <c r="G1189" t="s">
        <v>50</v>
      </c>
      <c r="H1189" t="s">
        <v>26</v>
      </c>
      <c r="I1189" t="s">
        <v>31</v>
      </c>
      <c r="J1189" t="s">
        <v>40</v>
      </c>
      <c r="K1189" t="s">
        <v>29</v>
      </c>
      <c r="L1189" t="s">
        <v>41</v>
      </c>
      <c r="M1189" t="s">
        <v>31</v>
      </c>
      <c r="N1189" t="s">
        <v>42</v>
      </c>
      <c r="O1189">
        <v>4735</v>
      </c>
      <c r="P1189">
        <v>7</v>
      </c>
      <c r="Q1189" t="s">
        <v>36</v>
      </c>
      <c r="R1189">
        <v>15</v>
      </c>
      <c r="S1189" t="s">
        <v>33</v>
      </c>
      <c r="T1189" t="s">
        <v>31</v>
      </c>
      <c r="U1189">
        <v>4</v>
      </c>
      <c r="V1189" t="s">
        <v>59</v>
      </c>
      <c r="W1189" t="str">
        <f>IF(HR_Data[[#This Row],[age]]&lt;25,"Under 25",IF(HR_Data[[#This Row],[age]]&lt;35,"25-34",IF(HR_Data[[#This Row],[age]]&lt;45,"35-44",IF(HR_Data[[#This Row],[age]]&lt;55,"45-54","55+"))))</f>
        <v>35-44</v>
      </c>
      <c r="X1189" t="str">
        <f t="shared" si="18"/>
        <v>3,000-4,999</v>
      </c>
    </row>
    <row r="1190" spans="1:24" x14ac:dyDescent="0.3">
      <c r="A1190">
        <v>1669</v>
      </c>
      <c r="B1190">
        <v>29</v>
      </c>
      <c r="C1190" t="s">
        <v>36</v>
      </c>
      <c r="D1190" t="s">
        <v>23</v>
      </c>
      <c r="E1190" t="s">
        <v>24</v>
      </c>
      <c r="F1190">
        <v>5</v>
      </c>
      <c r="G1190" t="s">
        <v>50</v>
      </c>
      <c r="H1190" t="s">
        <v>48</v>
      </c>
      <c r="I1190" t="s">
        <v>34</v>
      </c>
      <c r="J1190" t="s">
        <v>40</v>
      </c>
      <c r="K1190" t="s">
        <v>27</v>
      </c>
      <c r="L1190" t="s">
        <v>30</v>
      </c>
      <c r="M1190" t="s">
        <v>27</v>
      </c>
      <c r="N1190" t="s">
        <v>51</v>
      </c>
      <c r="O1190">
        <v>4187</v>
      </c>
      <c r="P1190">
        <v>1</v>
      </c>
      <c r="Q1190" t="s">
        <v>22</v>
      </c>
      <c r="R1190">
        <v>13</v>
      </c>
      <c r="S1190" t="s">
        <v>33</v>
      </c>
      <c r="T1190" t="s">
        <v>27</v>
      </c>
      <c r="U1190">
        <v>3</v>
      </c>
      <c r="V1190" t="s">
        <v>49</v>
      </c>
      <c r="W1190" t="str">
        <f>IF(HR_Data[[#This Row],[age]]&lt;25,"Under 25",IF(HR_Data[[#This Row],[age]]&lt;35,"25-34",IF(HR_Data[[#This Row],[age]]&lt;45,"35-44",IF(HR_Data[[#This Row],[age]]&lt;55,"45-54","55+"))))</f>
        <v>25-34</v>
      </c>
      <c r="X1190" t="str">
        <f t="shared" si="18"/>
        <v>3,000-4,999</v>
      </c>
    </row>
    <row r="1191" spans="1:24" x14ac:dyDescent="0.3">
      <c r="A1191">
        <v>1670</v>
      </c>
      <c r="B1191">
        <v>33</v>
      </c>
      <c r="C1191" t="s">
        <v>36</v>
      </c>
      <c r="D1191" t="s">
        <v>23</v>
      </c>
      <c r="E1191" t="s">
        <v>24</v>
      </c>
      <c r="F1191">
        <v>2</v>
      </c>
      <c r="G1191" t="s">
        <v>47</v>
      </c>
      <c r="H1191" t="s">
        <v>48</v>
      </c>
      <c r="I1191" t="s">
        <v>31</v>
      </c>
      <c r="J1191" t="s">
        <v>40</v>
      </c>
      <c r="K1191" t="s">
        <v>29</v>
      </c>
      <c r="L1191" t="s">
        <v>30</v>
      </c>
      <c r="M1191" t="s">
        <v>31</v>
      </c>
      <c r="N1191" t="s">
        <v>51</v>
      </c>
      <c r="O1191">
        <v>5505</v>
      </c>
      <c r="P1191">
        <v>1</v>
      </c>
      <c r="Q1191" t="s">
        <v>36</v>
      </c>
      <c r="R1191">
        <v>14</v>
      </c>
      <c r="S1191" t="s">
        <v>33</v>
      </c>
      <c r="T1191" t="s">
        <v>29</v>
      </c>
      <c r="U1191">
        <v>5</v>
      </c>
      <c r="V1191" t="s">
        <v>44</v>
      </c>
      <c r="W1191" t="str">
        <f>IF(HR_Data[[#This Row],[age]]&lt;25,"Under 25",IF(HR_Data[[#This Row],[age]]&lt;35,"25-34",IF(HR_Data[[#This Row],[age]]&lt;45,"35-44",IF(HR_Data[[#This Row],[age]]&lt;55,"45-54","55+"))))</f>
        <v>25-34</v>
      </c>
      <c r="X1191" t="str">
        <f t="shared" si="18"/>
        <v>5,000-7,999</v>
      </c>
    </row>
    <row r="1192" spans="1:24" x14ac:dyDescent="0.3">
      <c r="A1192">
        <v>1671</v>
      </c>
      <c r="B1192">
        <v>32</v>
      </c>
      <c r="C1192" t="s">
        <v>36</v>
      </c>
      <c r="D1192" t="s">
        <v>23</v>
      </c>
      <c r="E1192" t="s">
        <v>38</v>
      </c>
      <c r="F1192">
        <v>2</v>
      </c>
      <c r="G1192" t="s">
        <v>50</v>
      </c>
      <c r="H1192" t="s">
        <v>48</v>
      </c>
      <c r="I1192" t="s">
        <v>31</v>
      </c>
      <c r="J1192" t="s">
        <v>40</v>
      </c>
      <c r="K1192" t="s">
        <v>29</v>
      </c>
      <c r="L1192" t="s">
        <v>41</v>
      </c>
      <c r="M1192" t="s">
        <v>27</v>
      </c>
      <c r="N1192" t="s">
        <v>51</v>
      </c>
      <c r="O1192">
        <v>5470</v>
      </c>
      <c r="P1192">
        <v>0</v>
      </c>
      <c r="Q1192" t="s">
        <v>36</v>
      </c>
      <c r="R1192">
        <v>13</v>
      </c>
      <c r="S1192" t="s">
        <v>33</v>
      </c>
      <c r="T1192" t="s">
        <v>29</v>
      </c>
      <c r="U1192">
        <v>4</v>
      </c>
      <c r="V1192" t="s">
        <v>49</v>
      </c>
      <c r="W1192" t="str">
        <f>IF(HR_Data[[#This Row],[age]]&lt;25,"Under 25",IF(HR_Data[[#This Row],[age]]&lt;35,"25-34",IF(HR_Data[[#This Row],[age]]&lt;45,"35-44",IF(HR_Data[[#This Row],[age]]&lt;55,"45-54","55+"))))</f>
        <v>25-34</v>
      </c>
      <c r="X1192" t="str">
        <f t="shared" si="18"/>
        <v>5,000-7,999</v>
      </c>
    </row>
    <row r="1193" spans="1:24" x14ac:dyDescent="0.3">
      <c r="A1193">
        <v>1673</v>
      </c>
      <c r="B1193">
        <v>31</v>
      </c>
      <c r="C1193" t="s">
        <v>36</v>
      </c>
      <c r="D1193" t="s">
        <v>23</v>
      </c>
      <c r="E1193" t="s">
        <v>24</v>
      </c>
      <c r="F1193">
        <v>5</v>
      </c>
      <c r="G1193" t="s">
        <v>47</v>
      </c>
      <c r="H1193" t="s">
        <v>26</v>
      </c>
      <c r="I1193" t="s">
        <v>34</v>
      </c>
      <c r="J1193" t="s">
        <v>28</v>
      </c>
      <c r="K1193" t="s">
        <v>29</v>
      </c>
      <c r="L1193" t="s">
        <v>30</v>
      </c>
      <c r="M1193" t="s">
        <v>31</v>
      </c>
      <c r="N1193" t="s">
        <v>42</v>
      </c>
      <c r="O1193">
        <v>5476</v>
      </c>
      <c r="P1193">
        <v>1</v>
      </c>
      <c r="Q1193" t="s">
        <v>36</v>
      </c>
      <c r="R1193">
        <v>11</v>
      </c>
      <c r="S1193" t="s">
        <v>33</v>
      </c>
      <c r="T1193" t="s">
        <v>34</v>
      </c>
      <c r="U1193">
        <v>2</v>
      </c>
      <c r="V1193" t="s">
        <v>44</v>
      </c>
      <c r="W1193" t="str">
        <f>IF(HR_Data[[#This Row],[age]]&lt;25,"Under 25",IF(HR_Data[[#This Row],[age]]&lt;35,"25-34",IF(HR_Data[[#This Row],[age]]&lt;45,"35-44",IF(HR_Data[[#This Row],[age]]&lt;55,"45-54","55+"))))</f>
        <v>25-34</v>
      </c>
      <c r="X1193" t="str">
        <f t="shared" si="18"/>
        <v>5,000-7,999</v>
      </c>
    </row>
    <row r="1194" spans="1:24" x14ac:dyDescent="0.3">
      <c r="A1194">
        <v>1674</v>
      </c>
      <c r="B1194">
        <v>49</v>
      </c>
      <c r="C1194" t="s">
        <v>36</v>
      </c>
      <c r="D1194" t="s">
        <v>23</v>
      </c>
      <c r="E1194" t="s">
        <v>38</v>
      </c>
      <c r="F1194">
        <v>16</v>
      </c>
      <c r="G1194" t="s">
        <v>50</v>
      </c>
      <c r="H1194" t="s">
        <v>48</v>
      </c>
      <c r="I1194" t="s">
        <v>31</v>
      </c>
      <c r="J1194" t="s">
        <v>28</v>
      </c>
      <c r="K1194" t="s">
        <v>29</v>
      </c>
      <c r="L1194" t="s">
        <v>46</v>
      </c>
      <c r="M1194" t="s">
        <v>34</v>
      </c>
      <c r="N1194" t="s">
        <v>51</v>
      </c>
      <c r="O1194">
        <v>2587</v>
      </c>
      <c r="P1194">
        <v>4</v>
      </c>
      <c r="Q1194" t="s">
        <v>22</v>
      </c>
      <c r="R1194">
        <v>16</v>
      </c>
      <c r="S1194" t="s">
        <v>33</v>
      </c>
      <c r="T1194" t="s">
        <v>27</v>
      </c>
      <c r="U1194">
        <v>2</v>
      </c>
      <c r="V1194" t="s">
        <v>49</v>
      </c>
      <c r="W1194" t="str">
        <f>IF(HR_Data[[#This Row],[age]]&lt;25,"Under 25",IF(HR_Data[[#This Row],[age]]&lt;35,"25-34",IF(HR_Data[[#This Row],[age]]&lt;45,"35-44",IF(HR_Data[[#This Row],[age]]&lt;55,"45-54","55+"))))</f>
        <v>45-54</v>
      </c>
      <c r="X1194" t="str">
        <f t="shared" si="18"/>
        <v>Below 3,000</v>
      </c>
    </row>
    <row r="1195" spans="1:24" x14ac:dyDescent="0.3">
      <c r="A1195">
        <v>1675</v>
      </c>
      <c r="B1195">
        <v>38</v>
      </c>
      <c r="C1195" t="s">
        <v>36</v>
      </c>
      <c r="D1195" t="s">
        <v>37</v>
      </c>
      <c r="E1195" t="s">
        <v>38</v>
      </c>
      <c r="F1195">
        <v>2</v>
      </c>
      <c r="G1195" t="s">
        <v>50</v>
      </c>
      <c r="H1195" t="s">
        <v>48</v>
      </c>
      <c r="I1195" t="s">
        <v>31</v>
      </c>
      <c r="J1195" t="s">
        <v>28</v>
      </c>
      <c r="K1195" t="s">
        <v>27</v>
      </c>
      <c r="L1195" t="s">
        <v>46</v>
      </c>
      <c r="M1195" t="s">
        <v>27</v>
      </c>
      <c r="N1195" t="s">
        <v>32</v>
      </c>
      <c r="O1195">
        <v>2440</v>
      </c>
      <c r="P1195">
        <v>1</v>
      </c>
      <c r="Q1195" t="s">
        <v>36</v>
      </c>
      <c r="R1195">
        <v>22</v>
      </c>
      <c r="S1195" t="s">
        <v>43</v>
      </c>
      <c r="T1195" t="s">
        <v>27</v>
      </c>
      <c r="U1195">
        <v>3</v>
      </c>
      <c r="V1195" t="s">
        <v>44</v>
      </c>
      <c r="W1195" t="str">
        <f>IF(HR_Data[[#This Row],[age]]&lt;25,"Under 25",IF(HR_Data[[#This Row],[age]]&lt;35,"25-34",IF(HR_Data[[#This Row],[age]]&lt;45,"35-44",IF(HR_Data[[#This Row],[age]]&lt;55,"45-54","55+"))))</f>
        <v>35-44</v>
      </c>
      <c r="X1195" t="str">
        <f t="shared" si="18"/>
        <v>Below 3,000</v>
      </c>
    </row>
    <row r="1196" spans="1:24" x14ac:dyDescent="0.3">
      <c r="A1196">
        <v>1676</v>
      </c>
      <c r="B1196">
        <v>47</v>
      </c>
      <c r="C1196" t="s">
        <v>36</v>
      </c>
      <c r="D1196" t="s">
        <v>23</v>
      </c>
      <c r="E1196" t="s">
        <v>24</v>
      </c>
      <c r="F1196">
        <v>2</v>
      </c>
      <c r="G1196" t="s">
        <v>47</v>
      </c>
      <c r="H1196" t="s">
        <v>26</v>
      </c>
      <c r="I1196" t="s">
        <v>27</v>
      </c>
      <c r="J1196" t="s">
        <v>28</v>
      </c>
      <c r="K1196" t="s">
        <v>31</v>
      </c>
      <c r="L1196" t="s">
        <v>55</v>
      </c>
      <c r="M1196" t="s">
        <v>27</v>
      </c>
      <c r="N1196" t="s">
        <v>51</v>
      </c>
      <c r="O1196">
        <v>15972</v>
      </c>
      <c r="P1196">
        <v>6</v>
      </c>
      <c r="Q1196" t="s">
        <v>36</v>
      </c>
      <c r="R1196">
        <v>14</v>
      </c>
      <c r="S1196" t="s">
        <v>33</v>
      </c>
      <c r="T1196" t="s">
        <v>29</v>
      </c>
      <c r="U1196">
        <v>2</v>
      </c>
      <c r="V1196" t="s">
        <v>44</v>
      </c>
      <c r="W1196" t="str">
        <f>IF(HR_Data[[#This Row],[age]]&lt;25,"Under 25",IF(HR_Data[[#This Row],[age]]&lt;35,"25-34",IF(HR_Data[[#This Row],[age]]&lt;45,"35-44",IF(HR_Data[[#This Row],[age]]&lt;55,"45-54","55+"))))</f>
        <v>45-54</v>
      </c>
      <c r="X1196" t="str">
        <f t="shared" si="18"/>
        <v>8,000+</v>
      </c>
    </row>
    <row r="1197" spans="1:24" x14ac:dyDescent="0.3">
      <c r="A1197">
        <v>1677</v>
      </c>
      <c r="B1197">
        <v>49</v>
      </c>
      <c r="C1197" t="s">
        <v>36</v>
      </c>
      <c r="D1197" t="s">
        <v>23</v>
      </c>
      <c r="E1197" t="s">
        <v>38</v>
      </c>
      <c r="F1197">
        <v>1</v>
      </c>
      <c r="G1197" t="s">
        <v>50</v>
      </c>
      <c r="H1197" t="s">
        <v>26</v>
      </c>
      <c r="I1197" t="s">
        <v>29</v>
      </c>
      <c r="J1197" t="s">
        <v>40</v>
      </c>
      <c r="K1197" t="s">
        <v>29</v>
      </c>
      <c r="L1197" t="s">
        <v>55</v>
      </c>
      <c r="M1197" t="s">
        <v>29</v>
      </c>
      <c r="N1197" t="s">
        <v>32</v>
      </c>
      <c r="O1197">
        <v>15379</v>
      </c>
      <c r="P1197">
        <v>4</v>
      </c>
      <c r="Q1197" t="s">
        <v>36</v>
      </c>
      <c r="R1197">
        <v>14</v>
      </c>
      <c r="S1197" t="s">
        <v>33</v>
      </c>
      <c r="T1197" t="s">
        <v>34</v>
      </c>
      <c r="U1197">
        <v>2</v>
      </c>
      <c r="V1197" t="s">
        <v>44</v>
      </c>
      <c r="W1197" t="str">
        <f>IF(HR_Data[[#This Row],[age]]&lt;25,"Under 25",IF(HR_Data[[#This Row],[age]]&lt;35,"25-34",IF(HR_Data[[#This Row],[age]]&lt;45,"35-44",IF(HR_Data[[#This Row],[age]]&lt;55,"45-54","55+"))))</f>
        <v>45-54</v>
      </c>
      <c r="X1197" t="str">
        <f t="shared" si="18"/>
        <v>8,000+</v>
      </c>
    </row>
    <row r="1198" spans="1:24" x14ac:dyDescent="0.3">
      <c r="A1198">
        <v>1678</v>
      </c>
      <c r="B1198">
        <v>41</v>
      </c>
      <c r="C1198" t="s">
        <v>36</v>
      </c>
      <c r="D1198" t="s">
        <v>23</v>
      </c>
      <c r="E1198" t="s">
        <v>24</v>
      </c>
      <c r="F1198">
        <v>23</v>
      </c>
      <c r="G1198" t="s">
        <v>25</v>
      </c>
      <c r="H1198" t="s">
        <v>26</v>
      </c>
      <c r="I1198" t="s">
        <v>31</v>
      </c>
      <c r="J1198" t="s">
        <v>40</v>
      </c>
      <c r="K1198" t="s">
        <v>29</v>
      </c>
      <c r="L1198" t="s">
        <v>30</v>
      </c>
      <c r="M1198" t="s">
        <v>29</v>
      </c>
      <c r="N1198" t="s">
        <v>32</v>
      </c>
      <c r="O1198">
        <v>7082</v>
      </c>
      <c r="P1198">
        <v>3</v>
      </c>
      <c r="Q1198" t="s">
        <v>22</v>
      </c>
      <c r="R1198">
        <v>16</v>
      </c>
      <c r="S1198" t="s">
        <v>33</v>
      </c>
      <c r="T1198" t="s">
        <v>31</v>
      </c>
      <c r="U1198">
        <v>2</v>
      </c>
      <c r="V1198" t="s">
        <v>44</v>
      </c>
      <c r="W1198" t="str">
        <f>IF(HR_Data[[#This Row],[age]]&lt;25,"Under 25",IF(HR_Data[[#This Row],[age]]&lt;35,"25-34",IF(HR_Data[[#This Row],[age]]&lt;45,"35-44",IF(HR_Data[[#This Row],[age]]&lt;55,"45-54","55+"))))</f>
        <v>35-44</v>
      </c>
      <c r="X1198" t="str">
        <f t="shared" si="18"/>
        <v>5,000-7,999</v>
      </c>
    </row>
    <row r="1199" spans="1:24" x14ac:dyDescent="0.3">
      <c r="A1199">
        <v>1680</v>
      </c>
      <c r="B1199">
        <v>20</v>
      </c>
      <c r="C1199" t="s">
        <v>36</v>
      </c>
      <c r="D1199" t="s">
        <v>23</v>
      </c>
      <c r="E1199" t="s">
        <v>24</v>
      </c>
      <c r="F1199">
        <v>9</v>
      </c>
      <c r="G1199" t="s">
        <v>39</v>
      </c>
      <c r="H1199" t="s">
        <v>26</v>
      </c>
      <c r="I1199" t="s">
        <v>31</v>
      </c>
      <c r="J1199" t="s">
        <v>40</v>
      </c>
      <c r="K1199" t="s">
        <v>29</v>
      </c>
      <c r="L1199" t="s">
        <v>56</v>
      </c>
      <c r="M1199" t="s">
        <v>34</v>
      </c>
      <c r="N1199" t="s">
        <v>32</v>
      </c>
      <c r="O1199">
        <v>2728</v>
      </c>
      <c r="P1199">
        <v>1</v>
      </c>
      <c r="Q1199" t="s">
        <v>36</v>
      </c>
      <c r="R1199">
        <v>11</v>
      </c>
      <c r="S1199" t="s">
        <v>33</v>
      </c>
      <c r="T1199" t="s">
        <v>34</v>
      </c>
      <c r="U1199">
        <v>3</v>
      </c>
      <c r="V1199" t="s">
        <v>44</v>
      </c>
      <c r="W1199" t="str">
        <f>IF(HR_Data[[#This Row],[age]]&lt;25,"Under 25",IF(HR_Data[[#This Row],[age]]&lt;35,"25-34",IF(HR_Data[[#This Row],[age]]&lt;45,"35-44",IF(HR_Data[[#This Row],[age]]&lt;55,"45-54","55+"))))</f>
        <v>Under 25</v>
      </c>
      <c r="X1199" t="str">
        <f t="shared" si="18"/>
        <v>Below 3,000</v>
      </c>
    </row>
    <row r="1200" spans="1:24" x14ac:dyDescent="0.3">
      <c r="A1200">
        <v>1681</v>
      </c>
      <c r="B1200">
        <v>33</v>
      </c>
      <c r="C1200" t="s">
        <v>36</v>
      </c>
      <c r="D1200" t="s">
        <v>54</v>
      </c>
      <c r="E1200" t="s">
        <v>24</v>
      </c>
      <c r="F1200">
        <v>16</v>
      </c>
      <c r="G1200" t="s">
        <v>50</v>
      </c>
      <c r="H1200" t="s">
        <v>26</v>
      </c>
      <c r="I1200" t="s">
        <v>29</v>
      </c>
      <c r="J1200" t="s">
        <v>28</v>
      </c>
      <c r="K1200" t="s">
        <v>29</v>
      </c>
      <c r="L1200" t="s">
        <v>30</v>
      </c>
      <c r="M1200" t="s">
        <v>31</v>
      </c>
      <c r="N1200" t="s">
        <v>51</v>
      </c>
      <c r="O1200">
        <v>5368</v>
      </c>
      <c r="P1200">
        <v>1</v>
      </c>
      <c r="Q1200" t="s">
        <v>22</v>
      </c>
      <c r="R1200">
        <v>25</v>
      </c>
      <c r="S1200" t="s">
        <v>43</v>
      </c>
      <c r="T1200" t="s">
        <v>29</v>
      </c>
      <c r="U1200">
        <v>2</v>
      </c>
      <c r="V1200" t="s">
        <v>44</v>
      </c>
      <c r="W1200" t="str">
        <f>IF(HR_Data[[#This Row],[age]]&lt;25,"Under 25",IF(HR_Data[[#This Row],[age]]&lt;35,"25-34",IF(HR_Data[[#This Row],[age]]&lt;45,"35-44",IF(HR_Data[[#This Row],[age]]&lt;55,"45-54","55+"))))</f>
        <v>25-34</v>
      </c>
      <c r="X1200" t="str">
        <f t="shared" si="18"/>
        <v>5,000-7,999</v>
      </c>
    </row>
    <row r="1201" spans="1:24" x14ac:dyDescent="0.3">
      <c r="A1201">
        <v>1682</v>
      </c>
      <c r="B1201">
        <v>36</v>
      </c>
      <c r="C1201" t="s">
        <v>36</v>
      </c>
      <c r="D1201" t="s">
        <v>23</v>
      </c>
      <c r="E1201" t="s">
        <v>38</v>
      </c>
      <c r="F1201">
        <v>26</v>
      </c>
      <c r="G1201" t="s">
        <v>47</v>
      </c>
      <c r="H1201" t="s">
        <v>26</v>
      </c>
      <c r="I1201" t="s">
        <v>34</v>
      </c>
      <c r="J1201" t="s">
        <v>40</v>
      </c>
      <c r="K1201" t="s">
        <v>29</v>
      </c>
      <c r="L1201" t="s">
        <v>53</v>
      </c>
      <c r="M1201" t="s">
        <v>29</v>
      </c>
      <c r="N1201" t="s">
        <v>42</v>
      </c>
      <c r="O1201">
        <v>5347</v>
      </c>
      <c r="P1201">
        <v>6</v>
      </c>
      <c r="Q1201" t="s">
        <v>36</v>
      </c>
      <c r="R1201">
        <v>14</v>
      </c>
      <c r="S1201" t="s">
        <v>33</v>
      </c>
      <c r="T1201" t="s">
        <v>27</v>
      </c>
      <c r="U1201">
        <v>2</v>
      </c>
      <c r="V1201" t="s">
        <v>49</v>
      </c>
      <c r="W1201" t="str">
        <f>IF(HR_Data[[#This Row],[age]]&lt;25,"Under 25",IF(HR_Data[[#This Row],[age]]&lt;35,"25-34",IF(HR_Data[[#This Row],[age]]&lt;45,"35-44",IF(HR_Data[[#This Row],[age]]&lt;55,"45-54","55+"))))</f>
        <v>35-44</v>
      </c>
      <c r="X1201" t="str">
        <f t="shared" si="18"/>
        <v>5,000-7,999</v>
      </c>
    </row>
    <row r="1202" spans="1:24" x14ac:dyDescent="0.3">
      <c r="A1202">
        <v>1683</v>
      </c>
      <c r="B1202">
        <v>44</v>
      </c>
      <c r="C1202" t="s">
        <v>36</v>
      </c>
      <c r="D1202" t="s">
        <v>23</v>
      </c>
      <c r="E1202" t="s">
        <v>62</v>
      </c>
      <c r="F1202">
        <v>1</v>
      </c>
      <c r="G1202" t="s">
        <v>50</v>
      </c>
      <c r="H1202" t="s">
        <v>26</v>
      </c>
      <c r="I1202" t="s">
        <v>29</v>
      </c>
      <c r="J1202" t="s">
        <v>28</v>
      </c>
      <c r="K1202" t="s">
        <v>29</v>
      </c>
      <c r="L1202" t="s">
        <v>62</v>
      </c>
      <c r="M1202" t="s">
        <v>31</v>
      </c>
      <c r="N1202" t="s">
        <v>51</v>
      </c>
      <c r="O1202">
        <v>3195</v>
      </c>
      <c r="P1202">
        <v>4</v>
      </c>
      <c r="Q1202" t="s">
        <v>22</v>
      </c>
      <c r="R1202">
        <v>18</v>
      </c>
      <c r="S1202" t="s">
        <v>33</v>
      </c>
      <c r="T1202" t="s">
        <v>34</v>
      </c>
      <c r="U1202">
        <v>2</v>
      </c>
      <c r="V1202" t="s">
        <v>44</v>
      </c>
      <c r="W1202" t="str">
        <f>IF(HR_Data[[#This Row],[age]]&lt;25,"Under 25",IF(HR_Data[[#This Row],[age]]&lt;35,"25-34",IF(HR_Data[[#This Row],[age]]&lt;45,"35-44",IF(HR_Data[[#This Row],[age]]&lt;55,"45-54","55+"))))</f>
        <v>35-44</v>
      </c>
      <c r="X1202" t="str">
        <f t="shared" si="18"/>
        <v>3,000-4,999</v>
      </c>
    </row>
    <row r="1203" spans="1:24" x14ac:dyDescent="0.3">
      <c r="A1203">
        <v>1684</v>
      </c>
      <c r="B1203">
        <v>23</v>
      </c>
      <c r="C1203" t="s">
        <v>22</v>
      </c>
      <c r="D1203" t="s">
        <v>23</v>
      </c>
      <c r="E1203" t="s">
        <v>38</v>
      </c>
      <c r="F1203">
        <v>8</v>
      </c>
      <c r="G1203" t="s">
        <v>39</v>
      </c>
      <c r="H1203" t="s">
        <v>48</v>
      </c>
      <c r="I1203" t="s">
        <v>31</v>
      </c>
      <c r="J1203" t="s">
        <v>40</v>
      </c>
      <c r="K1203" t="s">
        <v>27</v>
      </c>
      <c r="L1203" t="s">
        <v>46</v>
      </c>
      <c r="M1203" t="s">
        <v>29</v>
      </c>
      <c r="N1203" t="s">
        <v>32</v>
      </c>
      <c r="O1203">
        <v>3989</v>
      </c>
      <c r="P1203">
        <v>1</v>
      </c>
      <c r="Q1203" t="s">
        <v>22</v>
      </c>
      <c r="R1203">
        <v>11</v>
      </c>
      <c r="S1203" t="s">
        <v>33</v>
      </c>
      <c r="T1203" t="s">
        <v>34</v>
      </c>
      <c r="U1203">
        <v>2</v>
      </c>
      <c r="V1203" t="s">
        <v>44</v>
      </c>
      <c r="W1203" t="str">
        <f>IF(HR_Data[[#This Row],[age]]&lt;25,"Under 25",IF(HR_Data[[#This Row],[age]]&lt;35,"25-34",IF(HR_Data[[#This Row],[age]]&lt;45,"35-44",IF(HR_Data[[#This Row],[age]]&lt;55,"45-54","55+"))))</f>
        <v>Under 25</v>
      </c>
      <c r="X1203" t="str">
        <f t="shared" si="18"/>
        <v>3,000-4,999</v>
      </c>
    </row>
    <row r="1204" spans="1:24" x14ac:dyDescent="0.3">
      <c r="A1204">
        <v>1687</v>
      </c>
      <c r="B1204">
        <v>38</v>
      </c>
      <c r="C1204" t="s">
        <v>36</v>
      </c>
      <c r="D1204" t="s">
        <v>23</v>
      </c>
      <c r="E1204" t="s">
        <v>38</v>
      </c>
      <c r="F1204">
        <v>4</v>
      </c>
      <c r="G1204" t="s">
        <v>25</v>
      </c>
      <c r="H1204" t="s">
        <v>48</v>
      </c>
      <c r="I1204" t="s">
        <v>31</v>
      </c>
      <c r="J1204" t="s">
        <v>28</v>
      </c>
      <c r="K1204" t="s">
        <v>29</v>
      </c>
      <c r="L1204" t="s">
        <v>46</v>
      </c>
      <c r="M1204" t="s">
        <v>29</v>
      </c>
      <c r="N1204" t="s">
        <v>42</v>
      </c>
      <c r="O1204">
        <v>3306</v>
      </c>
      <c r="P1204">
        <v>7</v>
      </c>
      <c r="Q1204" t="s">
        <v>36</v>
      </c>
      <c r="R1204">
        <v>19</v>
      </c>
      <c r="S1204" t="s">
        <v>33</v>
      </c>
      <c r="T1204" t="s">
        <v>31</v>
      </c>
      <c r="U1204">
        <v>5</v>
      </c>
      <c r="V1204" t="s">
        <v>49</v>
      </c>
      <c r="W1204" t="str">
        <f>IF(HR_Data[[#This Row],[age]]&lt;25,"Under 25",IF(HR_Data[[#This Row],[age]]&lt;35,"25-34",IF(HR_Data[[#This Row],[age]]&lt;45,"35-44",IF(HR_Data[[#This Row],[age]]&lt;55,"45-54","55+"))))</f>
        <v>35-44</v>
      </c>
      <c r="X1204" t="str">
        <f t="shared" si="18"/>
        <v>3,000-4,999</v>
      </c>
    </row>
    <row r="1205" spans="1:24" x14ac:dyDescent="0.3">
      <c r="A1205">
        <v>1689</v>
      </c>
      <c r="B1205">
        <v>53</v>
      </c>
      <c r="C1205" t="s">
        <v>36</v>
      </c>
      <c r="D1205" t="s">
        <v>23</v>
      </c>
      <c r="E1205" t="s">
        <v>38</v>
      </c>
      <c r="F1205">
        <v>24</v>
      </c>
      <c r="G1205" t="s">
        <v>47</v>
      </c>
      <c r="H1205" t="s">
        <v>48</v>
      </c>
      <c r="I1205" t="s">
        <v>27</v>
      </c>
      <c r="J1205" t="s">
        <v>40</v>
      </c>
      <c r="K1205" t="s">
        <v>31</v>
      </c>
      <c r="L1205" t="s">
        <v>53</v>
      </c>
      <c r="M1205" t="s">
        <v>31</v>
      </c>
      <c r="N1205" t="s">
        <v>42</v>
      </c>
      <c r="O1205">
        <v>7005</v>
      </c>
      <c r="P1205">
        <v>3</v>
      </c>
      <c r="Q1205" t="s">
        <v>36</v>
      </c>
      <c r="R1205">
        <v>15</v>
      </c>
      <c r="S1205" t="s">
        <v>33</v>
      </c>
      <c r="T1205" t="s">
        <v>29</v>
      </c>
      <c r="U1205">
        <v>2</v>
      </c>
      <c r="V1205" t="s">
        <v>44</v>
      </c>
      <c r="W1205" t="str">
        <f>IF(HR_Data[[#This Row],[age]]&lt;25,"Under 25",IF(HR_Data[[#This Row],[age]]&lt;35,"25-34",IF(HR_Data[[#This Row],[age]]&lt;45,"35-44",IF(HR_Data[[#This Row],[age]]&lt;55,"45-54","55+"))))</f>
        <v>45-54</v>
      </c>
      <c r="X1205" t="str">
        <f t="shared" si="18"/>
        <v>5,000-7,999</v>
      </c>
    </row>
    <row r="1206" spans="1:24" x14ac:dyDescent="0.3">
      <c r="A1206">
        <v>1691</v>
      </c>
      <c r="B1206">
        <v>48</v>
      </c>
      <c r="C1206" t="s">
        <v>22</v>
      </c>
      <c r="D1206" t="s">
        <v>37</v>
      </c>
      <c r="E1206" t="s">
        <v>24</v>
      </c>
      <c r="F1206">
        <v>7</v>
      </c>
      <c r="G1206" t="s">
        <v>25</v>
      </c>
      <c r="H1206" t="s">
        <v>48</v>
      </c>
      <c r="I1206" t="s">
        <v>31</v>
      </c>
      <c r="J1206" t="s">
        <v>28</v>
      </c>
      <c r="K1206" t="s">
        <v>29</v>
      </c>
      <c r="L1206" t="s">
        <v>56</v>
      </c>
      <c r="M1206" t="s">
        <v>29</v>
      </c>
      <c r="N1206" t="s">
        <v>42</v>
      </c>
      <c r="O1206">
        <v>2655</v>
      </c>
      <c r="P1206">
        <v>2</v>
      </c>
      <c r="Q1206" t="s">
        <v>22</v>
      </c>
      <c r="R1206">
        <v>11</v>
      </c>
      <c r="S1206" t="s">
        <v>33</v>
      </c>
      <c r="T1206" t="s">
        <v>29</v>
      </c>
      <c r="U1206">
        <v>3</v>
      </c>
      <c r="V1206" t="s">
        <v>44</v>
      </c>
      <c r="W1206" t="str">
        <f>IF(HR_Data[[#This Row],[age]]&lt;25,"Under 25",IF(HR_Data[[#This Row],[age]]&lt;35,"25-34",IF(HR_Data[[#This Row],[age]]&lt;45,"35-44",IF(HR_Data[[#This Row],[age]]&lt;55,"45-54","55+"))))</f>
        <v>45-54</v>
      </c>
      <c r="X1206" t="str">
        <f t="shared" si="18"/>
        <v>Below 3,000</v>
      </c>
    </row>
    <row r="1207" spans="1:24" x14ac:dyDescent="0.3">
      <c r="A1207">
        <v>1692</v>
      </c>
      <c r="B1207">
        <v>32</v>
      </c>
      <c r="C1207" t="s">
        <v>22</v>
      </c>
      <c r="D1207" t="s">
        <v>23</v>
      </c>
      <c r="E1207" t="s">
        <v>38</v>
      </c>
      <c r="F1207">
        <v>2</v>
      </c>
      <c r="G1207" t="s">
        <v>47</v>
      </c>
      <c r="H1207" t="s">
        <v>26</v>
      </c>
      <c r="I1207" t="s">
        <v>31</v>
      </c>
      <c r="J1207" t="s">
        <v>40</v>
      </c>
      <c r="K1207" t="s">
        <v>29</v>
      </c>
      <c r="L1207" t="s">
        <v>46</v>
      </c>
      <c r="M1207" t="s">
        <v>27</v>
      </c>
      <c r="N1207" t="s">
        <v>32</v>
      </c>
      <c r="O1207">
        <v>1393</v>
      </c>
      <c r="P1207">
        <v>1</v>
      </c>
      <c r="Q1207" t="s">
        <v>36</v>
      </c>
      <c r="R1207">
        <v>12</v>
      </c>
      <c r="S1207" t="s">
        <v>33</v>
      </c>
      <c r="T1207" t="s">
        <v>34</v>
      </c>
      <c r="U1207">
        <v>2</v>
      </c>
      <c r="V1207" t="s">
        <v>44</v>
      </c>
      <c r="W1207" t="str">
        <f>IF(HR_Data[[#This Row],[age]]&lt;25,"Under 25",IF(HR_Data[[#This Row],[age]]&lt;35,"25-34",IF(HR_Data[[#This Row],[age]]&lt;45,"35-44",IF(HR_Data[[#This Row],[age]]&lt;55,"45-54","55+"))))</f>
        <v>25-34</v>
      </c>
      <c r="X1207" t="str">
        <f t="shared" si="18"/>
        <v>Below 3,000</v>
      </c>
    </row>
    <row r="1208" spans="1:24" x14ac:dyDescent="0.3">
      <c r="A1208">
        <v>1693</v>
      </c>
      <c r="B1208">
        <v>26</v>
      </c>
      <c r="C1208" t="s">
        <v>36</v>
      </c>
      <c r="D1208" t="s">
        <v>54</v>
      </c>
      <c r="E1208" t="s">
        <v>38</v>
      </c>
      <c r="F1208">
        <v>7</v>
      </c>
      <c r="G1208" t="s">
        <v>50</v>
      </c>
      <c r="H1208" t="s">
        <v>48</v>
      </c>
      <c r="I1208" t="s">
        <v>31</v>
      </c>
      <c r="J1208" t="s">
        <v>40</v>
      </c>
      <c r="K1208" t="s">
        <v>29</v>
      </c>
      <c r="L1208" t="s">
        <v>46</v>
      </c>
      <c r="M1208" t="s">
        <v>31</v>
      </c>
      <c r="N1208" t="s">
        <v>32</v>
      </c>
      <c r="O1208">
        <v>2570</v>
      </c>
      <c r="P1208">
        <v>1</v>
      </c>
      <c r="Q1208" t="s">
        <v>36</v>
      </c>
      <c r="R1208">
        <v>20</v>
      </c>
      <c r="S1208" t="s">
        <v>43</v>
      </c>
      <c r="T1208" t="s">
        <v>29</v>
      </c>
      <c r="U1208">
        <v>5</v>
      </c>
      <c r="V1208" t="s">
        <v>44</v>
      </c>
      <c r="W1208" t="str">
        <f>IF(HR_Data[[#This Row],[age]]&lt;25,"Under 25",IF(HR_Data[[#This Row],[age]]&lt;35,"25-34",IF(HR_Data[[#This Row],[age]]&lt;45,"35-44",IF(HR_Data[[#This Row],[age]]&lt;55,"45-54","55+"))))</f>
        <v>25-34</v>
      </c>
      <c r="X1208" t="str">
        <f t="shared" si="18"/>
        <v>Below 3,000</v>
      </c>
    </row>
    <row r="1209" spans="1:24" x14ac:dyDescent="0.3">
      <c r="A1209">
        <v>1694</v>
      </c>
      <c r="B1209">
        <v>55</v>
      </c>
      <c r="C1209" t="s">
        <v>36</v>
      </c>
      <c r="D1209" t="s">
        <v>23</v>
      </c>
      <c r="E1209" t="s">
        <v>38</v>
      </c>
      <c r="F1209">
        <v>22</v>
      </c>
      <c r="G1209" t="s">
        <v>50</v>
      </c>
      <c r="H1209" t="s">
        <v>60</v>
      </c>
      <c r="I1209" t="s">
        <v>34</v>
      </c>
      <c r="J1209" t="s">
        <v>40</v>
      </c>
      <c r="K1209" t="s">
        <v>27</v>
      </c>
      <c r="L1209" t="s">
        <v>41</v>
      </c>
      <c r="M1209" t="s">
        <v>27</v>
      </c>
      <c r="N1209" t="s">
        <v>51</v>
      </c>
      <c r="O1209">
        <v>3537</v>
      </c>
      <c r="P1209">
        <v>5</v>
      </c>
      <c r="Q1209" t="s">
        <v>36</v>
      </c>
      <c r="R1209">
        <v>12</v>
      </c>
      <c r="S1209" t="s">
        <v>33</v>
      </c>
      <c r="T1209" t="s">
        <v>31</v>
      </c>
      <c r="U1209">
        <v>1</v>
      </c>
      <c r="V1209" t="s">
        <v>44</v>
      </c>
      <c r="W1209" t="str">
        <f>IF(HR_Data[[#This Row],[age]]&lt;25,"Under 25",IF(HR_Data[[#This Row],[age]]&lt;35,"25-34",IF(HR_Data[[#This Row],[age]]&lt;45,"35-44",IF(HR_Data[[#This Row],[age]]&lt;55,"45-54","55+"))))</f>
        <v>55+</v>
      </c>
      <c r="X1209" t="str">
        <f t="shared" si="18"/>
        <v>3,000-4,999</v>
      </c>
    </row>
    <row r="1210" spans="1:24" x14ac:dyDescent="0.3">
      <c r="A1210">
        <v>1696</v>
      </c>
      <c r="B1210">
        <v>34</v>
      </c>
      <c r="C1210" t="s">
        <v>36</v>
      </c>
      <c r="D1210" t="s">
        <v>23</v>
      </c>
      <c r="E1210" t="s">
        <v>38</v>
      </c>
      <c r="F1210">
        <v>5</v>
      </c>
      <c r="G1210" t="s">
        <v>25</v>
      </c>
      <c r="H1210" t="s">
        <v>48</v>
      </c>
      <c r="I1210" t="s">
        <v>27</v>
      </c>
      <c r="J1210" t="s">
        <v>40</v>
      </c>
      <c r="K1210" t="s">
        <v>27</v>
      </c>
      <c r="L1210" t="s">
        <v>46</v>
      </c>
      <c r="M1210" t="s">
        <v>31</v>
      </c>
      <c r="N1210" t="s">
        <v>42</v>
      </c>
      <c r="O1210">
        <v>3986</v>
      </c>
      <c r="P1210">
        <v>1</v>
      </c>
      <c r="Q1210" t="s">
        <v>36</v>
      </c>
      <c r="R1210">
        <v>14</v>
      </c>
      <c r="S1210" t="s">
        <v>33</v>
      </c>
      <c r="T1210" t="s">
        <v>29</v>
      </c>
      <c r="U1210">
        <v>3</v>
      </c>
      <c r="V1210" t="s">
        <v>59</v>
      </c>
      <c r="W1210" t="str">
        <f>IF(HR_Data[[#This Row],[age]]&lt;25,"Under 25",IF(HR_Data[[#This Row],[age]]&lt;35,"25-34",IF(HR_Data[[#This Row],[age]]&lt;45,"35-44",IF(HR_Data[[#This Row],[age]]&lt;55,"45-54","55+"))))</f>
        <v>25-34</v>
      </c>
      <c r="X1210" t="str">
        <f t="shared" si="18"/>
        <v>3,000-4,999</v>
      </c>
    </row>
    <row r="1211" spans="1:24" x14ac:dyDescent="0.3">
      <c r="A1211">
        <v>1697</v>
      </c>
      <c r="B1211">
        <v>60</v>
      </c>
      <c r="C1211" t="s">
        <v>36</v>
      </c>
      <c r="D1211" t="s">
        <v>23</v>
      </c>
      <c r="E1211" t="s">
        <v>38</v>
      </c>
      <c r="F1211">
        <v>1</v>
      </c>
      <c r="G1211" t="s">
        <v>47</v>
      </c>
      <c r="H1211" t="s">
        <v>48</v>
      </c>
      <c r="I1211" t="s">
        <v>29</v>
      </c>
      <c r="J1211" t="s">
        <v>40</v>
      </c>
      <c r="K1211" t="s">
        <v>34</v>
      </c>
      <c r="L1211" t="s">
        <v>53</v>
      </c>
      <c r="M1211" t="s">
        <v>31</v>
      </c>
      <c r="N1211" t="s">
        <v>51</v>
      </c>
      <c r="O1211">
        <v>10883</v>
      </c>
      <c r="P1211">
        <v>3</v>
      </c>
      <c r="Q1211" t="s">
        <v>36</v>
      </c>
      <c r="R1211">
        <v>20</v>
      </c>
      <c r="S1211" t="s">
        <v>43</v>
      </c>
      <c r="T1211" t="s">
        <v>29</v>
      </c>
      <c r="U1211">
        <v>2</v>
      </c>
      <c r="V1211" t="s">
        <v>59</v>
      </c>
      <c r="W1211" t="str">
        <f>IF(HR_Data[[#This Row],[age]]&lt;25,"Under 25",IF(HR_Data[[#This Row],[age]]&lt;35,"25-34",IF(HR_Data[[#This Row],[age]]&lt;45,"35-44",IF(HR_Data[[#This Row],[age]]&lt;55,"45-54","55+"))))</f>
        <v>55+</v>
      </c>
      <c r="X1211" t="str">
        <f t="shared" si="18"/>
        <v>8,000+</v>
      </c>
    </row>
    <row r="1212" spans="1:24" x14ac:dyDescent="0.3">
      <c r="A1212">
        <v>1698</v>
      </c>
      <c r="B1212">
        <v>33</v>
      </c>
      <c r="C1212" t="s">
        <v>36</v>
      </c>
      <c r="D1212" t="s">
        <v>23</v>
      </c>
      <c r="E1212" t="s">
        <v>38</v>
      </c>
      <c r="F1212">
        <v>21</v>
      </c>
      <c r="G1212" t="s">
        <v>50</v>
      </c>
      <c r="H1212" t="s">
        <v>48</v>
      </c>
      <c r="I1212" t="s">
        <v>27</v>
      </c>
      <c r="J1212" t="s">
        <v>40</v>
      </c>
      <c r="K1212" t="s">
        <v>31</v>
      </c>
      <c r="L1212" t="s">
        <v>46</v>
      </c>
      <c r="M1212" t="s">
        <v>27</v>
      </c>
      <c r="N1212" t="s">
        <v>42</v>
      </c>
      <c r="O1212">
        <v>2028</v>
      </c>
      <c r="P1212">
        <v>1</v>
      </c>
      <c r="Q1212" t="s">
        <v>36</v>
      </c>
      <c r="R1212">
        <v>18</v>
      </c>
      <c r="S1212" t="s">
        <v>33</v>
      </c>
      <c r="T1212" t="s">
        <v>31</v>
      </c>
      <c r="U1212">
        <v>6</v>
      </c>
      <c r="V1212" t="s">
        <v>44</v>
      </c>
      <c r="W1212" t="str">
        <f>IF(HR_Data[[#This Row],[age]]&lt;25,"Under 25",IF(HR_Data[[#This Row],[age]]&lt;35,"25-34",IF(HR_Data[[#This Row],[age]]&lt;45,"35-44",IF(HR_Data[[#This Row],[age]]&lt;55,"45-54","55+"))))</f>
        <v>25-34</v>
      </c>
      <c r="X1212" t="str">
        <f t="shared" si="18"/>
        <v>Below 3,000</v>
      </c>
    </row>
    <row r="1213" spans="1:24" x14ac:dyDescent="0.3">
      <c r="A1213">
        <v>1700</v>
      </c>
      <c r="B1213">
        <v>37</v>
      </c>
      <c r="C1213" t="s">
        <v>36</v>
      </c>
      <c r="D1213" t="s">
        <v>37</v>
      </c>
      <c r="E1213" t="s">
        <v>24</v>
      </c>
      <c r="F1213">
        <v>1</v>
      </c>
      <c r="G1213" t="s">
        <v>47</v>
      </c>
      <c r="H1213" t="s">
        <v>48</v>
      </c>
      <c r="I1213" t="s">
        <v>29</v>
      </c>
      <c r="J1213" t="s">
        <v>40</v>
      </c>
      <c r="K1213" t="s">
        <v>34</v>
      </c>
      <c r="L1213" t="s">
        <v>30</v>
      </c>
      <c r="M1213" t="s">
        <v>31</v>
      </c>
      <c r="N1213" t="s">
        <v>51</v>
      </c>
      <c r="O1213">
        <v>9525</v>
      </c>
      <c r="P1213">
        <v>1</v>
      </c>
      <c r="Q1213" t="s">
        <v>36</v>
      </c>
      <c r="R1213">
        <v>14</v>
      </c>
      <c r="S1213" t="s">
        <v>33</v>
      </c>
      <c r="T1213" t="s">
        <v>29</v>
      </c>
      <c r="U1213">
        <v>2</v>
      </c>
      <c r="V1213" t="s">
        <v>49</v>
      </c>
      <c r="W1213" t="str">
        <f>IF(HR_Data[[#This Row],[age]]&lt;25,"Under 25",IF(HR_Data[[#This Row],[age]]&lt;35,"25-34",IF(HR_Data[[#This Row],[age]]&lt;45,"35-44",IF(HR_Data[[#This Row],[age]]&lt;55,"45-54","55+"))))</f>
        <v>35-44</v>
      </c>
      <c r="X1213" t="str">
        <f t="shared" si="18"/>
        <v>8,000+</v>
      </c>
    </row>
    <row r="1214" spans="1:24" x14ac:dyDescent="0.3">
      <c r="A1214">
        <v>1701</v>
      </c>
      <c r="B1214">
        <v>34</v>
      </c>
      <c r="C1214" t="s">
        <v>36</v>
      </c>
      <c r="D1214" t="s">
        <v>23</v>
      </c>
      <c r="E1214" t="s">
        <v>38</v>
      </c>
      <c r="F1214">
        <v>19</v>
      </c>
      <c r="G1214" t="s">
        <v>50</v>
      </c>
      <c r="H1214" t="s">
        <v>26</v>
      </c>
      <c r="I1214" t="s">
        <v>27</v>
      </c>
      <c r="J1214" t="s">
        <v>28</v>
      </c>
      <c r="K1214" t="s">
        <v>27</v>
      </c>
      <c r="L1214" t="s">
        <v>41</v>
      </c>
      <c r="M1214" t="s">
        <v>31</v>
      </c>
      <c r="N1214" t="s">
        <v>42</v>
      </c>
      <c r="O1214">
        <v>2929</v>
      </c>
      <c r="P1214">
        <v>1</v>
      </c>
      <c r="Q1214" t="s">
        <v>36</v>
      </c>
      <c r="R1214">
        <v>12</v>
      </c>
      <c r="S1214" t="s">
        <v>33</v>
      </c>
      <c r="T1214" t="s">
        <v>27</v>
      </c>
      <c r="U1214">
        <v>3</v>
      </c>
      <c r="V1214" t="s">
        <v>44</v>
      </c>
      <c r="W1214" t="str">
        <f>IF(HR_Data[[#This Row],[age]]&lt;25,"Under 25",IF(HR_Data[[#This Row],[age]]&lt;35,"25-34",IF(HR_Data[[#This Row],[age]]&lt;45,"35-44",IF(HR_Data[[#This Row],[age]]&lt;55,"45-54","55+"))))</f>
        <v>25-34</v>
      </c>
      <c r="X1214" t="str">
        <f t="shared" si="18"/>
        <v>Below 3,000</v>
      </c>
    </row>
    <row r="1215" spans="1:24" x14ac:dyDescent="0.3">
      <c r="A1215">
        <v>1702</v>
      </c>
      <c r="B1215">
        <v>23</v>
      </c>
      <c r="C1215" t="s">
        <v>22</v>
      </c>
      <c r="D1215" t="s">
        <v>23</v>
      </c>
      <c r="E1215" t="s">
        <v>24</v>
      </c>
      <c r="F1215">
        <v>7</v>
      </c>
      <c r="G1215" t="s">
        <v>50</v>
      </c>
      <c r="H1215" t="s">
        <v>26</v>
      </c>
      <c r="I1215" t="s">
        <v>29</v>
      </c>
      <c r="J1215" t="s">
        <v>40</v>
      </c>
      <c r="K1215" t="s">
        <v>29</v>
      </c>
      <c r="L1215" t="s">
        <v>56</v>
      </c>
      <c r="M1215" t="s">
        <v>31</v>
      </c>
      <c r="N1215" t="s">
        <v>51</v>
      </c>
      <c r="O1215">
        <v>2275</v>
      </c>
      <c r="P1215">
        <v>1</v>
      </c>
      <c r="Q1215" t="s">
        <v>22</v>
      </c>
      <c r="R1215">
        <v>21</v>
      </c>
      <c r="S1215" t="s">
        <v>43</v>
      </c>
      <c r="T1215" t="s">
        <v>27</v>
      </c>
      <c r="U1215">
        <v>2</v>
      </c>
      <c r="V1215" t="s">
        <v>44</v>
      </c>
      <c r="W1215" t="str">
        <f>IF(HR_Data[[#This Row],[age]]&lt;25,"Under 25",IF(HR_Data[[#This Row],[age]]&lt;35,"25-34",IF(HR_Data[[#This Row],[age]]&lt;45,"35-44",IF(HR_Data[[#This Row],[age]]&lt;55,"45-54","55+"))))</f>
        <v>Under 25</v>
      </c>
      <c r="X1215" t="str">
        <f t="shared" si="18"/>
        <v>Below 3,000</v>
      </c>
    </row>
    <row r="1216" spans="1:24" x14ac:dyDescent="0.3">
      <c r="A1216">
        <v>1703</v>
      </c>
      <c r="B1216">
        <v>44</v>
      </c>
      <c r="C1216" t="s">
        <v>36</v>
      </c>
      <c r="D1216" t="s">
        <v>23</v>
      </c>
      <c r="E1216" t="s">
        <v>38</v>
      </c>
      <c r="F1216">
        <v>2</v>
      </c>
      <c r="G1216" t="s">
        <v>50</v>
      </c>
      <c r="H1216" t="s">
        <v>26</v>
      </c>
      <c r="I1216" t="s">
        <v>29</v>
      </c>
      <c r="J1216" t="s">
        <v>28</v>
      </c>
      <c r="K1216" t="s">
        <v>31</v>
      </c>
      <c r="L1216" t="s">
        <v>53</v>
      </c>
      <c r="M1216" t="s">
        <v>31</v>
      </c>
      <c r="N1216" t="s">
        <v>42</v>
      </c>
      <c r="O1216">
        <v>7879</v>
      </c>
      <c r="P1216">
        <v>1</v>
      </c>
      <c r="Q1216" t="s">
        <v>22</v>
      </c>
      <c r="R1216">
        <v>19</v>
      </c>
      <c r="S1216" t="s">
        <v>33</v>
      </c>
      <c r="T1216" t="s">
        <v>27</v>
      </c>
      <c r="U1216">
        <v>2</v>
      </c>
      <c r="V1216" t="s">
        <v>44</v>
      </c>
      <c r="W1216" t="str">
        <f>IF(HR_Data[[#This Row],[age]]&lt;25,"Under 25",IF(HR_Data[[#This Row],[age]]&lt;35,"25-34",IF(HR_Data[[#This Row],[age]]&lt;45,"35-44",IF(HR_Data[[#This Row],[age]]&lt;55,"45-54","55+"))))</f>
        <v>35-44</v>
      </c>
      <c r="X1216" t="str">
        <f t="shared" si="18"/>
        <v>5,000-7,999</v>
      </c>
    </row>
    <row r="1217" spans="1:24" x14ac:dyDescent="0.3">
      <c r="A1217">
        <v>1704</v>
      </c>
      <c r="B1217">
        <v>35</v>
      </c>
      <c r="C1217" t="s">
        <v>36</v>
      </c>
      <c r="D1217" t="s">
        <v>37</v>
      </c>
      <c r="E1217" t="s">
        <v>38</v>
      </c>
      <c r="F1217">
        <v>2</v>
      </c>
      <c r="G1217" t="s">
        <v>47</v>
      </c>
      <c r="H1217" t="s">
        <v>48</v>
      </c>
      <c r="I1217" t="s">
        <v>34</v>
      </c>
      <c r="J1217" t="s">
        <v>40</v>
      </c>
      <c r="K1217" t="s">
        <v>27</v>
      </c>
      <c r="L1217" t="s">
        <v>41</v>
      </c>
      <c r="M1217" t="s">
        <v>31</v>
      </c>
      <c r="N1217" t="s">
        <v>32</v>
      </c>
      <c r="O1217">
        <v>4930</v>
      </c>
      <c r="P1217">
        <v>0</v>
      </c>
      <c r="Q1217" t="s">
        <v>22</v>
      </c>
      <c r="R1217">
        <v>14</v>
      </c>
      <c r="S1217" t="s">
        <v>33</v>
      </c>
      <c r="T1217" t="s">
        <v>29</v>
      </c>
      <c r="U1217">
        <v>2</v>
      </c>
      <c r="V1217" t="s">
        <v>59</v>
      </c>
      <c r="W1217" t="str">
        <f>IF(HR_Data[[#This Row],[age]]&lt;25,"Under 25",IF(HR_Data[[#This Row],[age]]&lt;35,"25-34",IF(HR_Data[[#This Row],[age]]&lt;45,"35-44",IF(HR_Data[[#This Row],[age]]&lt;55,"45-54","55+"))))</f>
        <v>35-44</v>
      </c>
      <c r="X1217" t="str">
        <f t="shared" si="18"/>
        <v>3,000-4,999</v>
      </c>
    </row>
    <row r="1218" spans="1:24" x14ac:dyDescent="0.3">
      <c r="A1218">
        <v>1706</v>
      </c>
      <c r="B1218">
        <v>43</v>
      </c>
      <c r="C1218" t="s">
        <v>36</v>
      </c>
      <c r="D1218" t="s">
        <v>23</v>
      </c>
      <c r="E1218" t="s">
        <v>24</v>
      </c>
      <c r="F1218">
        <v>2</v>
      </c>
      <c r="G1218" t="s">
        <v>50</v>
      </c>
      <c r="H1218" t="s">
        <v>48</v>
      </c>
      <c r="I1218" t="s">
        <v>31</v>
      </c>
      <c r="J1218" t="s">
        <v>40</v>
      </c>
      <c r="K1218" t="s">
        <v>29</v>
      </c>
      <c r="L1218" t="s">
        <v>30</v>
      </c>
      <c r="M1218" t="s">
        <v>31</v>
      </c>
      <c r="N1218" t="s">
        <v>42</v>
      </c>
      <c r="O1218">
        <v>7847</v>
      </c>
      <c r="P1218">
        <v>1</v>
      </c>
      <c r="Q1218" t="s">
        <v>22</v>
      </c>
      <c r="R1218">
        <v>17</v>
      </c>
      <c r="S1218" t="s">
        <v>33</v>
      </c>
      <c r="T1218" t="s">
        <v>34</v>
      </c>
      <c r="U1218">
        <v>3</v>
      </c>
      <c r="V1218" t="s">
        <v>44</v>
      </c>
      <c r="W1218" t="str">
        <f>IF(HR_Data[[#This Row],[age]]&lt;25,"Under 25",IF(HR_Data[[#This Row],[age]]&lt;35,"25-34",IF(HR_Data[[#This Row],[age]]&lt;45,"35-44",IF(HR_Data[[#This Row],[age]]&lt;55,"45-54","55+"))))</f>
        <v>35-44</v>
      </c>
      <c r="X1218" t="str">
        <f t="shared" si="18"/>
        <v>5,000-7,999</v>
      </c>
    </row>
    <row r="1219" spans="1:24" x14ac:dyDescent="0.3">
      <c r="A1219">
        <v>1707</v>
      </c>
      <c r="B1219">
        <v>24</v>
      </c>
      <c r="C1219" t="s">
        <v>36</v>
      </c>
      <c r="D1219" t="s">
        <v>23</v>
      </c>
      <c r="E1219" t="s">
        <v>38</v>
      </c>
      <c r="F1219">
        <v>9</v>
      </c>
      <c r="G1219" t="s">
        <v>50</v>
      </c>
      <c r="H1219" t="s">
        <v>48</v>
      </c>
      <c r="I1219" t="s">
        <v>29</v>
      </c>
      <c r="J1219" t="s">
        <v>40</v>
      </c>
      <c r="K1219" t="s">
        <v>31</v>
      </c>
      <c r="L1219" t="s">
        <v>41</v>
      </c>
      <c r="M1219" t="s">
        <v>29</v>
      </c>
      <c r="N1219" t="s">
        <v>42</v>
      </c>
      <c r="O1219">
        <v>4401</v>
      </c>
      <c r="P1219">
        <v>1</v>
      </c>
      <c r="Q1219" t="s">
        <v>36</v>
      </c>
      <c r="R1219">
        <v>16</v>
      </c>
      <c r="S1219" t="s">
        <v>33</v>
      </c>
      <c r="T1219" t="s">
        <v>31</v>
      </c>
      <c r="U1219">
        <v>1</v>
      </c>
      <c r="V1219" t="s">
        <v>44</v>
      </c>
      <c r="W1219" t="str">
        <f>IF(HR_Data[[#This Row],[age]]&lt;25,"Under 25",IF(HR_Data[[#This Row],[age]]&lt;35,"25-34",IF(HR_Data[[#This Row],[age]]&lt;45,"35-44",IF(HR_Data[[#This Row],[age]]&lt;55,"45-54","55+"))))</f>
        <v>Under 25</v>
      </c>
      <c r="X1219" t="str">
        <f t="shared" ref="X1219:X1282" si="19">IF(O1219&lt;3000,"Below 3,000",IF(O1219&lt;5000,"3,000-4,999",IF(O1219&lt;8000,"5,000-7,999","8,000+")))</f>
        <v>3,000-4,999</v>
      </c>
    </row>
    <row r="1220" spans="1:24" x14ac:dyDescent="0.3">
      <c r="A1220">
        <v>1708</v>
      </c>
      <c r="B1220">
        <v>41</v>
      </c>
      <c r="C1220" t="s">
        <v>36</v>
      </c>
      <c r="D1220" t="s">
        <v>23</v>
      </c>
      <c r="E1220" t="s">
        <v>24</v>
      </c>
      <c r="F1220">
        <v>6</v>
      </c>
      <c r="G1220" t="s">
        <v>50</v>
      </c>
      <c r="H1220" t="s">
        <v>58</v>
      </c>
      <c r="I1220" t="s">
        <v>31</v>
      </c>
      <c r="J1220" t="s">
        <v>40</v>
      </c>
      <c r="K1220" t="s">
        <v>29</v>
      </c>
      <c r="L1220" t="s">
        <v>30</v>
      </c>
      <c r="M1220" t="s">
        <v>29</v>
      </c>
      <c r="N1220" t="s">
        <v>32</v>
      </c>
      <c r="O1220">
        <v>9241</v>
      </c>
      <c r="P1220">
        <v>1</v>
      </c>
      <c r="Q1220" t="s">
        <v>36</v>
      </c>
      <c r="R1220">
        <v>12</v>
      </c>
      <c r="S1220" t="s">
        <v>33</v>
      </c>
      <c r="T1220" t="s">
        <v>27</v>
      </c>
      <c r="U1220">
        <v>3</v>
      </c>
      <c r="V1220" t="s">
        <v>44</v>
      </c>
      <c r="W1220" t="str">
        <f>IF(HR_Data[[#This Row],[age]]&lt;25,"Under 25",IF(HR_Data[[#This Row],[age]]&lt;35,"25-34",IF(HR_Data[[#This Row],[age]]&lt;45,"35-44",IF(HR_Data[[#This Row],[age]]&lt;55,"45-54","55+"))))</f>
        <v>35-44</v>
      </c>
      <c r="X1220" t="str">
        <f t="shared" si="19"/>
        <v>8,000+</v>
      </c>
    </row>
    <row r="1221" spans="1:24" x14ac:dyDescent="0.3">
      <c r="A1221">
        <v>1709</v>
      </c>
      <c r="B1221">
        <v>29</v>
      </c>
      <c r="C1221" t="s">
        <v>36</v>
      </c>
      <c r="D1221" t="s">
        <v>23</v>
      </c>
      <c r="E1221" t="s">
        <v>38</v>
      </c>
      <c r="F1221">
        <v>9</v>
      </c>
      <c r="G1221" t="s">
        <v>47</v>
      </c>
      <c r="H1221" t="s">
        <v>48</v>
      </c>
      <c r="I1221" t="s">
        <v>31</v>
      </c>
      <c r="J1221" t="s">
        <v>28</v>
      </c>
      <c r="K1221" t="s">
        <v>29</v>
      </c>
      <c r="L1221" t="s">
        <v>46</v>
      </c>
      <c r="M1221" t="s">
        <v>29</v>
      </c>
      <c r="N1221" t="s">
        <v>42</v>
      </c>
      <c r="O1221">
        <v>2974</v>
      </c>
      <c r="P1221">
        <v>9</v>
      </c>
      <c r="Q1221" t="s">
        <v>36</v>
      </c>
      <c r="R1221">
        <v>17</v>
      </c>
      <c r="S1221" t="s">
        <v>33</v>
      </c>
      <c r="T1221" t="s">
        <v>29</v>
      </c>
      <c r="U1221">
        <v>2</v>
      </c>
      <c r="V1221" t="s">
        <v>44</v>
      </c>
      <c r="W1221" t="str">
        <f>IF(HR_Data[[#This Row],[age]]&lt;25,"Under 25",IF(HR_Data[[#This Row],[age]]&lt;35,"25-34",IF(HR_Data[[#This Row],[age]]&lt;45,"35-44",IF(HR_Data[[#This Row],[age]]&lt;55,"45-54","55+"))))</f>
        <v>25-34</v>
      </c>
      <c r="X1221" t="str">
        <f t="shared" si="19"/>
        <v>Below 3,000</v>
      </c>
    </row>
    <row r="1222" spans="1:24" x14ac:dyDescent="0.3">
      <c r="A1222">
        <v>1710</v>
      </c>
      <c r="B1222">
        <v>36</v>
      </c>
      <c r="C1222" t="s">
        <v>36</v>
      </c>
      <c r="D1222" t="s">
        <v>23</v>
      </c>
      <c r="E1222" t="s">
        <v>24</v>
      </c>
      <c r="F1222">
        <v>2</v>
      </c>
      <c r="G1222" t="s">
        <v>47</v>
      </c>
      <c r="H1222" t="s">
        <v>26</v>
      </c>
      <c r="I1222" t="s">
        <v>29</v>
      </c>
      <c r="J1222" t="s">
        <v>28</v>
      </c>
      <c r="K1222" t="s">
        <v>29</v>
      </c>
      <c r="L1222" t="s">
        <v>56</v>
      </c>
      <c r="M1222" t="s">
        <v>31</v>
      </c>
      <c r="N1222" t="s">
        <v>32</v>
      </c>
      <c r="O1222">
        <v>4502</v>
      </c>
      <c r="P1222">
        <v>3</v>
      </c>
      <c r="Q1222" t="s">
        <v>36</v>
      </c>
      <c r="R1222">
        <v>15</v>
      </c>
      <c r="S1222" t="s">
        <v>33</v>
      </c>
      <c r="T1222" t="s">
        <v>29</v>
      </c>
      <c r="U1222">
        <v>2</v>
      </c>
      <c r="V1222" t="s">
        <v>49</v>
      </c>
      <c r="W1222" t="str">
        <f>IF(HR_Data[[#This Row],[age]]&lt;25,"Under 25",IF(HR_Data[[#This Row],[age]]&lt;35,"25-34",IF(HR_Data[[#This Row],[age]]&lt;45,"35-44",IF(HR_Data[[#This Row],[age]]&lt;55,"45-54","55+"))))</f>
        <v>35-44</v>
      </c>
      <c r="X1222" t="str">
        <f t="shared" si="19"/>
        <v>3,000-4,999</v>
      </c>
    </row>
    <row r="1223" spans="1:24" x14ac:dyDescent="0.3">
      <c r="A1223">
        <v>1712</v>
      </c>
      <c r="B1223">
        <v>45</v>
      </c>
      <c r="C1223" t="s">
        <v>36</v>
      </c>
      <c r="D1223" t="s">
        <v>54</v>
      </c>
      <c r="E1223" t="s">
        <v>38</v>
      </c>
      <c r="F1223">
        <v>1</v>
      </c>
      <c r="G1223" t="s">
        <v>39</v>
      </c>
      <c r="H1223" t="s">
        <v>26</v>
      </c>
      <c r="I1223" t="s">
        <v>29</v>
      </c>
      <c r="J1223" t="s">
        <v>40</v>
      </c>
      <c r="K1223" t="s">
        <v>27</v>
      </c>
      <c r="L1223" t="s">
        <v>53</v>
      </c>
      <c r="M1223" t="s">
        <v>29</v>
      </c>
      <c r="N1223" t="s">
        <v>42</v>
      </c>
      <c r="O1223">
        <v>10748</v>
      </c>
      <c r="P1223">
        <v>3</v>
      </c>
      <c r="Q1223" t="s">
        <v>36</v>
      </c>
      <c r="R1223">
        <v>23</v>
      </c>
      <c r="S1223" t="s">
        <v>43</v>
      </c>
      <c r="T1223" t="s">
        <v>31</v>
      </c>
      <c r="U1223">
        <v>3</v>
      </c>
      <c r="V1223" t="s">
        <v>49</v>
      </c>
      <c r="W1223" t="str">
        <f>IF(HR_Data[[#This Row],[age]]&lt;25,"Under 25",IF(HR_Data[[#This Row],[age]]&lt;35,"25-34",IF(HR_Data[[#This Row],[age]]&lt;45,"35-44",IF(HR_Data[[#This Row],[age]]&lt;55,"45-54","55+"))))</f>
        <v>45-54</v>
      </c>
      <c r="X1223" t="str">
        <f t="shared" si="19"/>
        <v>8,000+</v>
      </c>
    </row>
    <row r="1224" spans="1:24" x14ac:dyDescent="0.3">
      <c r="A1224">
        <v>1714</v>
      </c>
      <c r="B1224">
        <v>24</v>
      </c>
      <c r="C1224" t="s">
        <v>22</v>
      </c>
      <c r="D1224" t="s">
        <v>23</v>
      </c>
      <c r="E1224" t="s">
        <v>62</v>
      </c>
      <c r="F1224">
        <v>22</v>
      </c>
      <c r="G1224" t="s">
        <v>39</v>
      </c>
      <c r="H1224" t="s">
        <v>62</v>
      </c>
      <c r="I1224" t="s">
        <v>31</v>
      </c>
      <c r="J1224" t="s">
        <v>40</v>
      </c>
      <c r="K1224" t="s">
        <v>34</v>
      </c>
      <c r="L1224" t="s">
        <v>62</v>
      </c>
      <c r="M1224" t="s">
        <v>29</v>
      </c>
      <c r="N1224" t="s">
        <v>42</v>
      </c>
      <c r="O1224">
        <v>1555</v>
      </c>
      <c r="P1224">
        <v>1</v>
      </c>
      <c r="Q1224" t="s">
        <v>36</v>
      </c>
      <c r="R1224">
        <v>11</v>
      </c>
      <c r="S1224" t="s">
        <v>33</v>
      </c>
      <c r="T1224" t="s">
        <v>29</v>
      </c>
      <c r="U1224">
        <v>2</v>
      </c>
      <c r="V1224" t="s">
        <v>44</v>
      </c>
      <c r="W1224" t="str">
        <f>IF(HR_Data[[#This Row],[age]]&lt;25,"Under 25",IF(HR_Data[[#This Row],[age]]&lt;35,"25-34",IF(HR_Data[[#This Row],[age]]&lt;45,"35-44",IF(HR_Data[[#This Row],[age]]&lt;55,"45-54","55+"))))</f>
        <v>Under 25</v>
      </c>
      <c r="X1224" t="str">
        <f t="shared" si="19"/>
        <v>Below 3,000</v>
      </c>
    </row>
    <row r="1225" spans="1:24" x14ac:dyDescent="0.3">
      <c r="A1225">
        <v>1716</v>
      </c>
      <c r="B1225">
        <v>47</v>
      </c>
      <c r="C1225" t="s">
        <v>22</v>
      </c>
      <c r="D1225" t="s">
        <v>37</v>
      </c>
      <c r="E1225" t="s">
        <v>24</v>
      </c>
      <c r="F1225">
        <v>9</v>
      </c>
      <c r="G1225" t="s">
        <v>50</v>
      </c>
      <c r="H1225" t="s">
        <v>26</v>
      </c>
      <c r="I1225" t="s">
        <v>29</v>
      </c>
      <c r="J1225" t="s">
        <v>40</v>
      </c>
      <c r="K1225" t="s">
        <v>34</v>
      </c>
      <c r="L1225" t="s">
        <v>30</v>
      </c>
      <c r="M1225" t="s">
        <v>29</v>
      </c>
      <c r="N1225" t="s">
        <v>42</v>
      </c>
      <c r="O1225">
        <v>12936</v>
      </c>
      <c r="P1225">
        <v>7</v>
      </c>
      <c r="Q1225" t="s">
        <v>36</v>
      </c>
      <c r="R1225">
        <v>11</v>
      </c>
      <c r="S1225" t="s">
        <v>33</v>
      </c>
      <c r="T1225" t="s">
        <v>29</v>
      </c>
      <c r="U1225">
        <v>3</v>
      </c>
      <c r="V1225" t="s">
        <v>35</v>
      </c>
      <c r="W1225" t="str">
        <f>IF(HR_Data[[#This Row],[age]]&lt;25,"Under 25",IF(HR_Data[[#This Row],[age]]&lt;35,"25-34",IF(HR_Data[[#This Row],[age]]&lt;45,"35-44",IF(HR_Data[[#This Row],[age]]&lt;55,"45-54","55+"))))</f>
        <v>45-54</v>
      </c>
      <c r="X1225" t="str">
        <f t="shared" si="19"/>
        <v>8,000+</v>
      </c>
    </row>
    <row r="1226" spans="1:24" x14ac:dyDescent="0.3">
      <c r="A1226">
        <v>1718</v>
      </c>
      <c r="B1226">
        <v>26</v>
      </c>
      <c r="C1226" t="s">
        <v>36</v>
      </c>
      <c r="D1226" t="s">
        <v>23</v>
      </c>
      <c r="E1226" t="s">
        <v>38</v>
      </c>
      <c r="F1226">
        <v>17</v>
      </c>
      <c r="G1226" t="s">
        <v>47</v>
      </c>
      <c r="H1226" t="s">
        <v>48</v>
      </c>
      <c r="I1226" t="s">
        <v>31</v>
      </c>
      <c r="J1226" t="s">
        <v>40</v>
      </c>
      <c r="K1226" t="s">
        <v>34</v>
      </c>
      <c r="L1226" t="s">
        <v>46</v>
      </c>
      <c r="M1226" t="s">
        <v>29</v>
      </c>
      <c r="N1226" t="s">
        <v>42</v>
      </c>
      <c r="O1226">
        <v>2305</v>
      </c>
      <c r="P1226">
        <v>1</v>
      </c>
      <c r="Q1226" t="s">
        <v>36</v>
      </c>
      <c r="R1226">
        <v>15</v>
      </c>
      <c r="S1226" t="s">
        <v>33</v>
      </c>
      <c r="T1226" t="s">
        <v>29</v>
      </c>
      <c r="U1226">
        <v>3</v>
      </c>
      <c r="V1226" t="s">
        <v>59</v>
      </c>
      <c r="W1226" t="str">
        <f>IF(HR_Data[[#This Row],[age]]&lt;25,"Under 25",IF(HR_Data[[#This Row],[age]]&lt;35,"25-34",IF(HR_Data[[#This Row],[age]]&lt;45,"35-44",IF(HR_Data[[#This Row],[age]]&lt;55,"45-54","55+"))))</f>
        <v>25-34</v>
      </c>
      <c r="X1226" t="str">
        <f t="shared" si="19"/>
        <v>Below 3,000</v>
      </c>
    </row>
    <row r="1227" spans="1:24" x14ac:dyDescent="0.3">
      <c r="A1227">
        <v>1719</v>
      </c>
      <c r="B1227">
        <v>45</v>
      </c>
      <c r="C1227" t="s">
        <v>36</v>
      </c>
      <c r="D1227" t="s">
        <v>23</v>
      </c>
      <c r="E1227" t="s">
        <v>38</v>
      </c>
      <c r="F1227">
        <v>28</v>
      </c>
      <c r="G1227" t="s">
        <v>25</v>
      </c>
      <c r="H1227" t="s">
        <v>60</v>
      </c>
      <c r="I1227" t="s">
        <v>31</v>
      </c>
      <c r="J1227" t="s">
        <v>28</v>
      </c>
      <c r="K1227" t="s">
        <v>27</v>
      </c>
      <c r="L1227" t="s">
        <v>57</v>
      </c>
      <c r="M1227" t="s">
        <v>27</v>
      </c>
      <c r="N1227" t="s">
        <v>32</v>
      </c>
      <c r="O1227">
        <v>16704</v>
      </c>
      <c r="P1227">
        <v>1</v>
      </c>
      <c r="Q1227" t="s">
        <v>36</v>
      </c>
      <c r="R1227">
        <v>11</v>
      </c>
      <c r="S1227" t="s">
        <v>33</v>
      </c>
      <c r="T1227" t="s">
        <v>29</v>
      </c>
      <c r="U1227">
        <v>2</v>
      </c>
      <c r="V1227" t="s">
        <v>44</v>
      </c>
      <c r="W1227" t="str">
        <f>IF(HR_Data[[#This Row],[age]]&lt;25,"Under 25",IF(HR_Data[[#This Row],[age]]&lt;35,"25-34",IF(HR_Data[[#This Row],[age]]&lt;45,"35-44",IF(HR_Data[[#This Row],[age]]&lt;55,"45-54","55+"))))</f>
        <v>45-54</v>
      </c>
      <c r="X1227" t="str">
        <f t="shared" si="19"/>
        <v>8,000+</v>
      </c>
    </row>
    <row r="1228" spans="1:24" x14ac:dyDescent="0.3">
      <c r="A1228">
        <v>1720</v>
      </c>
      <c r="B1228">
        <v>32</v>
      </c>
      <c r="C1228" t="s">
        <v>36</v>
      </c>
      <c r="D1228" t="s">
        <v>37</v>
      </c>
      <c r="E1228" t="s">
        <v>38</v>
      </c>
      <c r="F1228">
        <v>10</v>
      </c>
      <c r="G1228" t="s">
        <v>50</v>
      </c>
      <c r="H1228" t="s">
        <v>26</v>
      </c>
      <c r="I1228" t="s">
        <v>34</v>
      </c>
      <c r="J1228" t="s">
        <v>40</v>
      </c>
      <c r="K1228" t="s">
        <v>29</v>
      </c>
      <c r="L1228" t="s">
        <v>41</v>
      </c>
      <c r="M1228" t="s">
        <v>29</v>
      </c>
      <c r="N1228" t="s">
        <v>42</v>
      </c>
      <c r="O1228">
        <v>3433</v>
      </c>
      <c r="P1228">
        <v>6</v>
      </c>
      <c r="Q1228" t="s">
        <v>36</v>
      </c>
      <c r="R1228">
        <v>13</v>
      </c>
      <c r="S1228" t="s">
        <v>33</v>
      </c>
      <c r="T1228" t="s">
        <v>34</v>
      </c>
      <c r="U1228">
        <v>3</v>
      </c>
      <c r="V1228" t="s">
        <v>49</v>
      </c>
      <c r="W1228" t="str">
        <f>IF(HR_Data[[#This Row],[age]]&lt;25,"Under 25",IF(HR_Data[[#This Row],[age]]&lt;35,"25-34",IF(HR_Data[[#This Row],[age]]&lt;45,"35-44",IF(HR_Data[[#This Row],[age]]&lt;55,"45-54","55+"))))</f>
        <v>25-34</v>
      </c>
      <c r="X1228" t="str">
        <f t="shared" si="19"/>
        <v>3,000-4,999</v>
      </c>
    </row>
    <row r="1229" spans="1:24" x14ac:dyDescent="0.3">
      <c r="A1229">
        <v>1721</v>
      </c>
      <c r="B1229">
        <v>31</v>
      </c>
      <c r="C1229" t="s">
        <v>36</v>
      </c>
      <c r="D1229" t="s">
        <v>23</v>
      </c>
      <c r="E1229" t="s">
        <v>38</v>
      </c>
      <c r="F1229">
        <v>2</v>
      </c>
      <c r="G1229" t="s">
        <v>47</v>
      </c>
      <c r="H1229" t="s">
        <v>26</v>
      </c>
      <c r="I1229" t="s">
        <v>27</v>
      </c>
      <c r="J1229" t="s">
        <v>40</v>
      </c>
      <c r="K1229" t="s">
        <v>29</v>
      </c>
      <c r="L1229" t="s">
        <v>46</v>
      </c>
      <c r="M1229" t="s">
        <v>29</v>
      </c>
      <c r="N1229" t="s">
        <v>42</v>
      </c>
      <c r="O1229">
        <v>3477</v>
      </c>
      <c r="P1229">
        <v>1</v>
      </c>
      <c r="Q1229" t="s">
        <v>36</v>
      </c>
      <c r="R1229">
        <v>14</v>
      </c>
      <c r="S1229" t="s">
        <v>33</v>
      </c>
      <c r="T1229" t="s">
        <v>31</v>
      </c>
      <c r="U1229">
        <v>2</v>
      </c>
      <c r="V1229" t="s">
        <v>59</v>
      </c>
      <c r="W1229" t="str">
        <f>IF(HR_Data[[#This Row],[age]]&lt;25,"Under 25",IF(HR_Data[[#This Row],[age]]&lt;35,"25-34",IF(HR_Data[[#This Row],[age]]&lt;45,"35-44",IF(HR_Data[[#This Row],[age]]&lt;55,"45-54","55+"))))</f>
        <v>25-34</v>
      </c>
      <c r="X1229" t="str">
        <f t="shared" si="19"/>
        <v>3,000-4,999</v>
      </c>
    </row>
    <row r="1230" spans="1:24" x14ac:dyDescent="0.3">
      <c r="A1230">
        <v>1722</v>
      </c>
      <c r="B1230">
        <v>41</v>
      </c>
      <c r="C1230" t="s">
        <v>36</v>
      </c>
      <c r="D1230" t="s">
        <v>54</v>
      </c>
      <c r="E1230" t="s">
        <v>62</v>
      </c>
      <c r="F1230">
        <v>4</v>
      </c>
      <c r="G1230" t="s">
        <v>50</v>
      </c>
      <c r="H1230" t="s">
        <v>62</v>
      </c>
      <c r="I1230" t="s">
        <v>29</v>
      </c>
      <c r="J1230" t="s">
        <v>40</v>
      </c>
      <c r="K1230" t="s">
        <v>34</v>
      </c>
      <c r="L1230" t="s">
        <v>62</v>
      </c>
      <c r="M1230" t="s">
        <v>27</v>
      </c>
      <c r="N1230" t="s">
        <v>42</v>
      </c>
      <c r="O1230">
        <v>6430</v>
      </c>
      <c r="P1230">
        <v>6</v>
      </c>
      <c r="Q1230" t="s">
        <v>36</v>
      </c>
      <c r="R1230">
        <v>19</v>
      </c>
      <c r="S1230" t="s">
        <v>33</v>
      </c>
      <c r="T1230" t="s">
        <v>27</v>
      </c>
      <c r="U1230">
        <v>4</v>
      </c>
      <c r="V1230" t="s">
        <v>44</v>
      </c>
      <c r="W1230" t="str">
        <f>IF(HR_Data[[#This Row],[age]]&lt;25,"Under 25",IF(HR_Data[[#This Row],[age]]&lt;35,"25-34",IF(HR_Data[[#This Row],[age]]&lt;45,"35-44",IF(HR_Data[[#This Row],[age]]&lt;55,"45-54","55+"))))</f>
        <v>35-44</v>
      </c>
      <c r="X1230" t="str">
        <f t="shared" si="19"/>
        <v>5,000-7,999</v>
      </c>
    </row>
    <row r="1231" spans="1:24" x14ac:dyDescent="0.3">
      <c r="A1231">
        <v>1724</v>
      </c>
      <c r="B1231">
        <v>40</v>
      </c>
      <c r="C1231" t="s">
        <v>36</v>
      </c>
      <c r="D1231" t="s">
        <v>23</v>
      </c>
      <c r="E1231" t="s">
        <v>38</v>
      </c>
      <c r="F1231">
        <v>8</v>
      </c>
      <c r="G1231" t="s">
        <v>25</v>
      </c>
      <c r="H1231" t="s">
        <v>26</v>
      </c>
      <c r="I1231" t="s">
        <v>27</v>
      </c>
      <c r="J1231" t="s">
        <v>28</v>
      </c>
      <c r="K1231" t="s">
        <v>29</v>
      </c>
      <c r="L1231" t="s">
        <v>52</v>
      </c>
      <c r="M1231" t="s">
        <v>34</v>
      </c>
      <c r="N1231" t="s">
        <v>42</v>
      </c>
      <c r="O1231">
        <v>6516</v>
      </c>
      <c r="P1231">
        <v>2</v>
      </c>
      <c r="Q1231" t="s">
        <v>22</v>
      </c>
      <c r="R1231">
        <v>16</v>
      </c>
      <c r="S1231" t="s">
        <v>33</v>
      </c>
      <c r="T1231" t="s">
        <v>27</v>
      </c>
      <c r="U1231">
        <v>3</v>
      </c>
      <c r="V1231" t="s">
        <v>44</v>
      </c>
      <c r="W1231" t="str">
        <f>IF(HR_Data[[#This Row],[age]]&lt;25,"Under 25",IF(HR_Data[[#This Row],[age]]&lt;35,"25-34",IF(HR_Data[[#This Row],[age]]&lt;45,"35-44",IF(HR_Data[[#This Row],[age]]&lt;55,"45-54","55+"))))</f>
        <v>35-44</v>
      </c>
      <c r="X1231" t="str">
        <f t="shared" si="19"/>
        <v>5,000-7,999</v>
      </c>
    </row>
    <row r="1232" spans="1:24" x14ac:dyDescent="0.3">
      <c r="A1232">
        <v>1725</v>
      </c>
      <c r="B1232">
        <v>24</v>
      </c>
      <c r="C1232" t="s">
        <v>36</v>
      </c>
      <c r="D1232" t="s">
        <v>23</v>
      </c>
      <c r="E1232" t="s">
        <v>38</v>
      </c>
      <c r="F1232">
        <v>29</v>
      </c>
      <c r="G1232" t="s">
        <v>39</v>
      </c>
      <c r="H1232" t="s">
        <v>48</v>
      </c>
      <c r="I1232" t="s">
        <v>27</v>
      </c>
      <c r="J1232" t="s">
        <v>40</v>
      </c>
      <c r="K1232" t="s">
        <v>29</v>
      </c>
      <c r="L1232" t="s">
        <v>46</v>
      </c>
      <c r="M1232" t="s">
        <v>34</v>
      </c>
      <c r="N1232" t="s">
        <v>51</v>
      </c>
      <c r="O1232">
        <v>3907</v>
      </c>
      <c r="P1232">
        <v>1</v>
      </c>
      <c r="Q1232" t="s">
        <v>36</v>
      </c>
      <c r="R1232">
        <v>13</v>
      </c>
      <c r="S1232" t="s">
        <v>33</v>
      </c>
      <c r="T1232" t="s">
        <v>27</v>
      </c>
      <c r="U1232">
        <v>2</v>
      </c>
      <c r="V1232" t="s">
        <v>59</v>
      </c>
      <c r="W1232" t="str">
        <f>IF(HR_Data[[#This Row],[age]]&lt;25,"Under 25",IF(HR_Data[[#This Row],[age]]&lt;35,"25-34",IF(HR_Data[[#This Row],[age]]&lt;45,"35-44",IF(HR_Data[[#This Row],[age]]&lt;55,"45-54","55+"))))</f>
        <v>Under 25</v>
      </c>
      <c r="X1232" t="str">
        <f t="shared" si="19"/>
        <v>3,000-4,999</v>
      </c>
    </row>
    <row r="1233" spans="1:24" x14ac:dyDescent="0.3">
      <c r="A1233">
        <v>1727</v>
      </c>
      <c r="B1233">
        <v>46</v>
      </c>
      <c r="C1233" t="s">
        <v>36</v>
      </c>
      <c r="D1233" t="s">
        <v>23</v>
      </c>
      <c r="E1233" t="s">
        <v>38</v>
      </c>
      <c r="F1233">
        <v>13</v>
      </c>
      <c r="G1233" t="s">
        <v>47</v>
      </c>
      <c r="H1233" t="s">
        <v>26</v>
      </c>
      <c r="I1233" t="s">
        <v>29</v>
      </c>
      <c r="J1233" t="s">
        <v>40</v>
      </c>
      <c r="K1233" t="s">
        <v>29</v>
      </c>
      <c r="L1233" t="s">
        <v>53</v>
      </c>
      <c r="M1233" t="s">
        <v>27</v>
      </c>
      <c r="N1233" t="s">
        <v>32</v>
      </c>
      <c r="O1233">
        <v>5562</v>
      </c>
      <c r="P1233">
        <v>6</v>
      </c>
      <c r="Q1233" t="s">
        <v>36</v>
      </c>
      <c r="R1233">
        <v>14</v>
      </c>
      <c r="S1233" t="s">
        <v>33</v>
      </c>
      <c r="T1233" t="s">
        <v>31</v>
      </c>
      <c r="U1233">
        <v>3</v>
      </c>
      <c r="V1233" t="s">
        <v>44</v>
      </c>
      <c r="W1233" t="str">
        <f>IF(HR_Data[[#This Row],[age]]&lt;25,"Under 25",IF(HR_Data[[#This Row],[age]]&lt;35,"25-34",IF(HR_Data[[#This Row],[age]]&lt;45,"35-44",IF(HR_Data[[#This Row],[age]]&lt;55,"45-54","55+"))))</f>
        <v>45-54</v>
      </c>
      <c r="X1233" t="str">
        <f t="shared" si="19"/>
        <v>5,000-7,999</v>
      </c>
    </row>
    <row r="1234" spans="1:24" x14ac:dyDescent="0.3">
      <c r="A1234">
        <v>1728</v>
      </c>
      <c r="B1234">
        <v>35</v>
      </c>
      <c r="C1234" t="s">
        <v>36</v>
      </c>
      <c r="D1234" t="s">
        <v>23</v>
      </c>
      <c r="E1234" t="s">
        <v>38</v>
      </c>
      <c r="F1234">
        <v>27</v>
      </c>
      <c r="G1234" t="s">
        <v>47</v>
      </c>
      <c r="H1234" t="s">
        <v>26</v>
      </c>
      <c r="I1234" t="s">
        <v>31</v>
      </c>
      <c r="J1234" t="s">
        <v>40</v>
      </c>
      <c r="K1234" t="s">
        <v>29</v>
      </c>
      <c r="L1234" t="s">
        <v>52</v>
      </c>
      <c r="M1234" t="s">
        <v>29</v>
      </c>
      <c r="N1234" t="s">
        <v>42</v>
      </c>
      <c r="O1234">
        <v>6883</v>
      </c>
      <c r="P1234">
        <v>2</v>
      </c>
      <c r="Q1234" t="s">
        <v>36</v>
      </c>
      <c r="R1234">
        <v>16</v>
      </c>
      <c r="S1234" t="s">
        <v>33</v>
      </c>
      <c r="T1234" t="s">
        <v>27</v>
      </c>
      <c r="U1234">
        <v>3</v>
      </c>
      <c r="V1234" t="s">
        <v>44</v>
      </c>
      <c r="W1234" t="str">
        <f>IF(HR_Data[[#This Row],[age]]&lt;25,"Under 25",IF(HR_Data[[#This Row],[age]]&lt;35,"25-34",IF(HR_Data[[#This Row],[age]]&lt;45,"35-44",IF(HR_Data[[#This Row],[age]]&lt;55,"45-54","55+"))))</f>
        <v>35-44</v>
      </c>
      <c r="X1234" t="str">
        <f t="shared" si="19"/>
        <v>5,000-7,999</v>
      </c>
    </row>
    <row r="1235" spans="1:24" x14ac:dyDescent="0.3">
      <c r="A1235">
        <v>1729</v>
      </c>
      <c r="B1235">
        <v>30</v>
      </c>
      <c r="C1235" t="s">
        <v>36</v>
      </c>
      <c r="D1235" t="s">
        <v>23</v>
      </c>
      <c r="E1235" t="s">
        <v>38</v>
      </c>
      <c r="F1235">
        <v>16</v>
      </c>
      <c r="G1235" t="s">
        <v>39</v>
      </c>
      <c r="H1235" t="s">
        <v>26</v>
      </c>
      <c r="I1235" t="s">
        <v>27</v>
      </c>
      <c r="J1235" t="s">
        <v>40</v>
      </c>
      <c r="K1235" t="s">
        <v>29</v>
      </c>
      <c r="L1235" t="s">
        <v>41</v>
      </c>
      <c r="M1235" t="s">
        <v>31</v>
      </c>
      <c r="N1235" t="s">
        <v>42</v>
      </c>
      <c r="O1235">
        <v>2862</v>
      </c>
      <c r="P1235">
        <v>1</v>
      </c>
      <c r="Q1235" t="s">
        <v>36</v>
      </c>
      <c r="R1235">
        <v>12</v>
      </c>
      <c r="S1235" t="s">
        <v>33</v>
      </c>
      <c r="T1235" t="s">
        <v>27</v>
      </c>
      <c r="U1235">
        <v>2</v>
      </c>
      <c r="V1235" t="s">
        <v>49</v>
      </c>
      <c r="W1235" t="str">
        <f>IF(HR_Data[[#This Row],[age]]&lt;25,"Under 25",IF(HR_Data[[#This Row],[age]]&lt;35,"25-34",IF(HR_Data[[#This Row],[age]]&lt;45,"35-44",IF(HR_Data[[#This Row],[age]]&lt;55,"45-54","55+"))))</f>
        <v>25-34</v>
      </c>
      <c r="X1235" t="str">
        <f t="shared" si="19"/>
        <v>Below 3,000</v>
      </c>
    </row>
    <row r="1236" spans="1:24" x14ac:dyDescent="0.3">
      <c r="A1236">
        <v>1731</v>
      </c>
      <c r="B1236">
        <v>47</v>
      </c>
      <c r="C1236" t="s">
        <v>36</v>
      </c>
      <c r="D1236" t="s">
        <v>54</v>
      </c>
      <c r="E1236" t="s">
        <v>24</v>
      </c>
      <c r="F1236">
        <v>2</v>
      </c>
      <c r="G1236" t="s">
        <v>47</v>
      </c>
      <c r="H1236" t="s">
        <v>58</v>
      </c>
      <c r="I1236" t="s">
        <v>29</v>
      </c>
      <c r="J1236" t="s">
        <v>40</v>
      </c>
      <c r="K1236" t="s">
        <v>29</v>
      </c>
      <c r="L1236" t="s">
        <v>30</v>
      </c>
      <c r="M1236" t="s">
        <v>27</v>
      </c>
      <c r="N1236" t="s">
        <v>42</v>
      </c>
      <c r="O1236">
        <v>4978</v>
      </c>
      <c r="P1236">
        <v>7</v>
      </c>
      <c r="Q1236" t="s">
        <v>36</v>
      </c>
      <c r="R1236">
        <v>11</v>
      </c>
      <c r="S1236" t="s">
        <v>33</v>
      </c>
      <c r="T1236" t="s">
        <v>31</v>
      </c>
      <c r="U1236">
        <v>3</v>
      </c>
      <c r="V1236" t="s">
        <v>35</v>
      </c>
      <c r="W1236" t="str">
        <f>IF(HR_Data[[#This Row],[age]]&lt;25,"Under 25",IF(HR_Data[[#This Row],[age]]&lt;35,"25-34",IF(HR_Data[[#This Row],[age]]&lt;45,"35-44",IF(HR_Data[[#This Row],[age]]&lt;55,"45-54","55+"))))</f>
        <v>45-54</v>
      </c>
      <c r="X1236" t="str">
        <f t="shared" si="19"/>
        <v>3,000-4,999</v>
      </c>
    </row>
    <row r="1237" spans="1:24" x14ac:dyDescent="0.3">
      <c r="A1237">
        <v>1732</v>
      </c>
      <c r="B1237">
        <v>46</v>
      </c>
      <c r="C1237" t="s">
        <v>36</v>
      </c>
      <c r="D1237" t="s">
        <v>23</v>
      </c>
      <c r="E1237" t="s">
        <v>24</v>
      </c>
      <c r="F1237">
        <v>2</v>
      </c>
      <c r="G1237" t="s">
        <v>50</v>
      </c>
      <c r="H1237" t="s">
        <v>26</v>
      </c>
      <c r="I1237" t="s">
        <v>29</v>
      </c>
      <c r="J1237" t="s">
        <v>40</v>
      </c>
      <c r="K1237" t="s">
        <v>29</v>
      </c>
      <c r="L1237" t="s">
        <v>30</v>
      </c>
      <c r="M1237" t="s">
        <v>31</v>
      </c>
      <c r="N1237" t="s">
        <v>51</v>
      </c>
      <c r="O1237">
        <v>10368</v>
      </c>
      <c r="P1237">
        <v>4</v>
      </c>
      <c r="Q1237" t="s">
        <v>22</v>
      </c>
      <c r="R1237">
        <v>12</v>
      </c>
      <c r="S1237" t="s">
        <v>33</v>
      </c>
      <c r="T1237" t="s">
        <v>27</v>
      </c>
      <c r="U1237">
        <v>5</v>
      </c>
      <c r="V1237" t="s">
        <v>49</v>
      </c>
      <c r="W1237" t="str">
        <f>IF(HR_Data[[#This Row],[age]]&lt;25,"Under 25",IF(HR_Data[[#This Row],[age]]&lt;35,"25-34",IF(HR_Data[[#This Row],[age]]&lt;45,"35-44",IF(HR_Data[[#This Row],[age]]&lt;55,"45-54","55+"))))</f>
        <v>45-54</v>
      </c>
      <c r="X1237" t="str">
        <f t="shared" si="19"/>
        <v>8,000+</v>
      </c>
    </row>
    <row r="1238" spans="1:24" x14ac:dyDescent="0.3">
      <c r="A1238">
        <v>1733</v>
      </c>
      <c r="B1238">
        <v>36</v>
      </c>
      <c r="C1238" t="s">
        <v>22</v>
      </c>
      <c r="D1238" t="s">
        <v>23</v>
      </c>
      <c r="E1238" t="s">
        <v>24</v>
      </c>
      <c r="F1238">
        <v>13</v>
      </c>
      <c r="G1238" t="s">
        <v>61</v>
      </c>
      <c r="H1238" t="s">
        <v>58</v>
      </c>
      <c r="I1238" t="s">
        <v>27</v>
      </c>
      <c r="J1238" t="s">
        <v>40</v>
      </c>
      <c r="K1238" t="s">
        <v>27</v>
      </c>
      <c r="L1238" t="s">
        <v>30</v>
      </c>
      <c r="M1238" t="s">
        <v>34</v>
      </c>
      <c r="N1238" t="s">
        <v>51</v>
      </c>
      <c r="O1238">
        <v>6134</v>
      </c>
      <c r="P1238">
        <v>5</v>
      </c>
      <c r="Q1238" t="s">
        <v>22</v>
      </c>
      <c r="R1238">
        <v>13</v>
      </c>
      <c r="S1238" t="s">
        <v>33</v>
      </c>
      <c r="T1238" t="s">
        <v>27</v>
      </c>
      <c r="U1238">
        <v>3</v>
      </c>
      <c r="V1238" t="s">
        <v>44</v>
      </c>
      <c r="W1238" t="str">
        <f>IF(HR_Data[[#This Row],[age]]&lt;25,"Under 25",IF(HR_Data[[#This Row],[age]]&lt;35,"25-34",IF(HR_Data[[#This Row],[age]]&lt;45,"35-44",IF(HR_Data[[#This Row],[age]]&lt;55,"45-54","55+"))))</f>
        <v>35-44</v>
      </c>
      <c r="X1238" t="str">
        <f t="shared" si="19"/>
        <v>5,000-7,999</v>
      </c>
    </row>
    <row r="1239" spans="1:24" x14ac:dyDescent="0.3">
      <c r="A1239">
        <v>1734</v>
      </c>
      <c r="B1239">
        <v>32</v>
      </c>
      <c r="C1239" t="s">
        <v>22</v>
      </c>
      <c r="D1239" t="s">
        <v>23</v>
      </c>
      <c r="E1239" t="s">
        <v>24</v>
      </c>
      <c r="F1239">
        <v>1</v>
      </c>
      <c r="G1239" t="s">
        <v>25</v>
      </c>
      <c r="H1239" t="s">
        <v>26</v>
      </c>
      <c r="I1239" t="s">
        <v>34</v>
      </c>
      <c r="J1239" t="s">
        <v>40</v>
      </c>
      <c r="K1239" t="s">
        <v>34</v>
      </c>
      <c r="L1239" t="s">
        <v>30</v>
      </c>
      <c r="M1239" t="s">
        <v>27</v>
      </c>
      <c r="N1239" t="s">
        <v>32</v>
      </c>
      <c r="O1239">
        <v>6735</v>
      </c>
      <c r="P1239">
        <v>6</v>
      </c>
      <c r="Q1239" t="s">
        <v>36</v>
      </c>
      <c r="R1239">
        <v>15</v>
      </c>
      <c r="S1239" t="s">
        <v>33</v>
      </c>
      <c r="T1239" t="s">
        <v>27</v>
      </c>
      <c r="U1239">
        <v>2</v>
      </c>
      <c r="V1239" t="s">
        <v>44</v>
      </c>
      <c r="W1239" t="str">
        <f>IF(HR_Data[[#This Row],[age]]&lt;25,"Under 25",IF(HR_Data[[#This Row],[age]]&lt;35,"25-34",IF(HR_Data[[#This Row],[age]]&lt;45,"35-44",IF(HR_Data[[#This Row],[age]]&lt;55,"45-54","55+"))))</f>
        <v>25-34</v>
      </c>
      <c r="X1239" t="str">
        <f t="shared" si="19"/>
        <v>5,000-7,999</v>
      </c>
    </row>
    <row r="1240" spans="1:24" x14ac:dyDescent="0.3">
      <c r="A1240">
        <v>1735</v>
      </c>
      <c r="B1240">
        <v>23</v>
      </c>
      <c r="C1240" t="s">
        <v>36</v>
      </c>
      <c r="D1240" t="s">
        <v>23</v>
      </c>
      <c r="E1240" t="s">
        <v>38</v>
      </c>
      <c r="F1240">
        <v>4</v>
      </c>
      <c r="G1240" t="s">
        <v>39</v>
      </c>
      <c r="H1240" t="s">
        <v>48</v>
      </c>
      <c r="I1240" t="s">
        <v>29</v>
      </c>
      <c r="J1240" t="s">
        <v>28</v>
      </c>
      <c r="K1240" t="s">
        <v>29</v>
      </c>
      <c r="L1240" t="s">
        <v>46</v>
      </c>
      <c r="M1240" t="s">
        <v>27</v>
      </c>
      <c r="N1240" t="s">
        <v>32</v>
      </c>
      <c r="O1240">
        <v>3295</v>
      </c>
      <c r="P1240">
        <v>1</v>
      </c>
      <c r="Q1240" t="s">
        <v>36</v>
      </c>
      <c r="R1240">
        <v>13</v>
      </c>
      <c r="S1240" t="s">
        <v>33</v>
      </c>
      <c r="T1240" t="s">
        <v>29</v>
      </c>
      <c r="U1240">
        <v>3</v>
      </c>
      <c r="V1240" t="s">
        <v>35</v>
      </c>
      <c r="W1240" t="str">
        <f>IF(HR_Data[[#This Row],[age]]&lt;25,"Under 25",IF(HR_Data[[#This Row],[age]]&lt;35,"25-34",IF(HR_Data[[#This Row],[age]]&lt;45,"35-44",IF(HR_Data[[#This Row],[age]]&lt;55,"45-54","55+"))))</f>
        <v>Under 25</v>
      </c>
      <c r="X1240" t="str">
        <f t="shared" si="19"/>
        <v>3,000-4,999</v>
      </c>
    </row>
    <row r="1241" spans="1:24" x14ac:dyDescent="0.3">
      <c r="A1241">
        <v>1736</v>
      </c>
      <c r="B1241">
        <v>31</v>
      </c>
      <c r="C1241" t="s">
        <v>36</v>
      </c>
      <c r="D1241" t="s">
        <v>37</v>
      </c>
      <c r="E1241" t="s">
        <v>38</v>
      </c>
      <c r="F1241">
        <v>24</v>
      </c>
      <c r="G1241" t="s">
        <v>39</v>
      </c>
      <c r="H1241" t="s">
        <v>60</v>
      </c>
      <c r="I1241" t="s">
        <v>31</v>
      </c>
      <c r="J1241" t="s">
        <v>28</v>
      </c>
      <c r="K1241" t="s">
        <v>29</v>
      </c>
      <c r="L1241" t="s">
        <v>52</v>
      </c>
      <c r="M1241" t="s">
        <v>31</v>
      </c>
      <c r="N1241" t="s">
        <v>32</v>
      </c>
      <c r="O1241">
        <v>5238</v>
      </c>
      <c r="P1241">
        <v>2</v>
      </c>
      <c r="Q1241" t="s">
        <v>36</v>
      </c>
      <c r="R1241">
        <v>20</v>
      </c>
      <c r="S1241" t="s">
        <v>43</v>
      </c>
      <c r="T1241" t="s">
        <v>31</v>
      </c>
      <c r="U1241">
        <v>3</v>
      </c>
      <c r="V1241" t="s">
        <v>49</v>
      </c>
      <c r="W1241" t="str">
        <f>IF(HR_Data[[#This Row],[age]]&lt;25,"Under 25",IF(HR_Data[[#This Row],[age]]&lt;35,"25-34",IF(HR_Data[[#This Row],[age]]&lt;45,"35-44",IF(HR_Data[[#This Row],[age]]&lt;55,"45-54","55+"))))</f>
        <v>25-34</v>
      </c>
      <c r="X1241" t="str">
        <f t="shared" si="19"/>
        <v>5,000-7,999</v>
      </c>
    </row>
    <row r="1242" spans="1:24" x14ac:dyDescent="0.3">
      <c r="A1242">
        <v>1737</v>
      </c>
      <c r="B1242">
        <v>39</v>
      </c>
      <c r="C1242" t="s">
        <v>36</v>
      </c>
      <c r="D1242" t="s">
        <v>54</v>
      </c>
      <c r="E1242" t="s">
        <v>38</v>
      </c>
      <c r="F1242">
        <v>1</v>
      </c>
      <c r="G1242" t="s">
        <v>50</v>
      </c>
      <c r="H1242" t="s">
        <v>26</v>
      </c>
      <c r="I1242" t="s">
        <v>31</v>
      </c>
      <c r="J1242" t="s">
        <v>40</v>
      </c>
      <c r="K1242" t="s">
        <v>29</v>
      </c>
      <c r="L1242" t="s">
        <v>46</v>
      </c>
      <c r="M1242" t="s">
        <v>31</v>
      </c>
      <c r="N1242" t="s">
        <v>42</v>
      </c>
      <c r="O1242">
        <v>6472</v>
      </c>
      <c r="P1242">
        <v>1</v>
      </c>
      <c r="Q1242" t="s">
        <v>22</v>
      </c>
      <c r="R1242">
        <v>15</v>
      </c>
      <c r="S1242" t="s">
        <v>33</v>
      </c>
      <c r="T1242" t="s">
        <v>31</v>
      </c>
      <c r="U1242">
        <v>2</v>
      </c>
      <c r="V1242" t="s">
        <v>44</v>
      </c>
      <c r="W1242" t="str">
        <f>IF(HR_Data[[#This Row],[age]]&lt;25,"Under 25",IF(HR_Data[[#This Row],[age]]&lt;35,"25-34",IF(HR_Data[[#This Row],[age]]&lt;45,"35-44",IF(HR_Data[[#This Row],[age]]&lt;55,"45-54","55+"))))</f>
        <v>35-44</v>
      </c>
      <c r="X1242" t="str">
        <f t="shared" si="19"/>
        <v>5,000-7,999</v>
      </c>
    </row>
    <row r="1243" spans="1:24" x14ac:dyDescent="0.3">
      <c r="A1243">
        <v>1739</v>
      </c>
      <c r="B1243">
        <v>32</v>
      </c>
      <c r="C1243" t="s">
        <v>36</v>
      </c>
      <c r="D1243" t="s">
        <v>23</v>
      </c>
      <c r="E1243" t="s">
        <v>24</v>
      </c>
      <c r="F1243">
        <v>19</v>
      </c>
      <c r="G1243" t="s">
        <v>50</v>
      </c>
      <c r="H1243" t="s">
        <v>26</v>
      </c>
      <c r="I1243" t="s">
        <v>31</v>
      </c>
      <c r="J1243" t="s">
        <v>40</v>
      </c>
      <c r="K1243" t="s">
        <v>34</v>
      </c>
      <c r="L1243" t="s">
        <v>30</v>
      </c>
      <c r="M1243" t="s">
        <v>29</v>
      </c>
      <c r="N1243" t="s">
        <v>42</v>
      </c>
      <c r="O1243">
        <v>9610</v>
      </c>
      <c r="P1243">
        <v>3</v>
      </c>
      <c r="Q1243" t="s">
        <v>36</v>
      </c>
      <c r="R1243">
        <v>13</v>
      </c>
      <c r="S1243" t="s">
        <v>33</v>
      </c>
      <c r="T1243" t="s">
        <v>29</v>
      </c>
      <c r="U1243">
        <v>2</v>
      </c>
      <c r="V1243" t="s">
        <v>35</v>
      </c>
      <c r="W1243" t="str">
        <f>IF(HR_Data[[#This Row],[age]]&lt;25,"Under 25",IF(HR_Data[[#This Row],[age]]&lt;35,"25-34",IF(HR_Data[[#This Row],[age]]&lt;45,"35-44",IF(HR_Data[[#This Row],[age]]&lt;55,"45-54","55+"))))</f>
        <v>25-34</v>
      </c>
      <c r="X1243" t="str">
        <f t="shared" si="19"/>
        <v>8,000+</v>
      </c>
    </row>
    <row r="1244" spans="1:24" x14ac:dyDescent="0.3">
      <c r="A1244">
        <v>1740</v>
      </c>
      <c r="B1244">
        <v>40</v>
      </c>
      <c r="C1244" t="s">
        <v>36</v>
      </c>
      <c r="D1244" t="s">
        <v>23</v>
      </c>
      <c r="E1244" t="s">
        <v>24</v>
      </c>
      <c r="F1244">
        <v>7</v>
      </c>
      <c r="G1244" t="s">
        <v>47</v>
      </c>
      <c r="H1244" t="s">
        <v>48</v>
      </c>
      <c r="I1244" t="s">
        <v>27</v>
      </c>
      <c r="J1244" t="s">
        <v>40</v>
      </c>
      <c r="K1244" t="s">
        <v>29</v>
      </c>
      <c r="L1244" t="s">
        <v>55</v>
      </c>
      <c r="M1244" t="s">
        <v>27</v>
      </c>
      <c r="N1244" t="s">
        <v>32</v>
      </c>
      <c r="O1244">
        <v>19833</v>
      </c>
      <c r="P1244">
        <v>1</v>
      </c>
      <c r="Q1244" t="s">
        <v>36</v>
      </c>
      <c r="R1244">
        <v>14</v>
      </c>
      <c r="S1244" t="s">
        <v>33</v>
      </c>
      <c r="T1244" t="s">
        <v>27</v>
      </c>
      <c r="U1244">
        <v>3</v>
      </c>
      <c r="V1244" t="s">
        <v>49</v>
      </c>
      <c r="W1244" t="str">
        <f>IF(HR_Data[[#This Row],[age]]&lt;25,"Under 25",IF(HR_Data[[#This Row],[age]]&lt;35,"25-34",IF(HR_Data[[#This Row],[age]]&lt;45,"35-44",IF(HR_Data[[#This Row],[age]]&lt;55,"45-54","55+"))))</f>
        <v>35-44</v>
      </c>
      <c r="X1244" t="str">
        <f t="shared" si="19"/>
        <v>8,000+</v>
      </c>
    </row>
    <row r="1245" spans="1:24" x14ac:dyDescent="0.3">
      <c r="A1245">
        <v>1744</v>
      </c>
      <c r="B1245">
        <v>45</v>
      </c>
      <c r="C1245" t="s">
        <v>36</v>
      </c>
      <c r="D1245" t="s">
        <v>23</v>
      </c>
      <c r="E1245" t="s">
        <v>62</v>
      </c>
      <c r="F1245">
        <v>4</v>
      </c>
      <c r="G1245" t="s">
        <v>50</v>
      </c>
      <c r="H1245" t="s">
        <v>26</v>
      </c>
      <c r="I1245" t="s">
        <v>29</v>
      </c>
      <c r="J1245" t="s">
        <v>28</v>
      </c>
      <c r="K1245" t="s">
        <v>34</v>
      </c>
      <c r="L1245" t="s">
        <v>62</v>
      </c>
      <c r="M1245" t="s">
        <v>29</v>
      </c>
      <c r="N1245" t="s">
        <v>42</v>
      </c>
      <c r="O1245">
        <v>9756</v>
      </c>
      <c r="P1245">
        <v>4</v>
      </c>
      <c r="Q1245" t="s">
        <v>36</v>
      </c>
      <c r="R1245">
        <v>21</v>
      </c>
      <c r="S1245" t="s">
        <v>43</v>
      </c>
      <c r="T1245" t="s">
        <v>29</v>
      </c>
      <c r="U1245">
        <v>2</v>
      </c>
      <c r="V1245" t="s">
        <v>59</v>
      </c>
      <c r="W1245" t="str">
        <f>IF(HR_Data[[#This Row],[age]]&lt;25,"Under 25",IF(HR_Data[[#This Row],[age]]&lt;35,"25-34",IF(HR_Data[[#This Row],[age]]&lt;45,"35-44",IF(HR_Data[[#This Row],[age]]&lt;55,"45-54","55+"))))</f>
        <v>45-54</v>
      </c>
      <c r="X1245" t="str">
        <f t="shared" si="19"/>
        <v>8,000+</v>
      </c>
    </row>
    <row r="1246" spans="1:24" x14ac:dyDescent="0.3">
      <c r="A1246">
        <v>1745</v>
      </c>
      <c r="B1246">
        <v>30</v>
      </c>
      <c r="C1246" t="s">
        <v>36</v>
      </c>
      <c r="D1246" t="s">
        <v>37</v>
      </c>
      <c r="E1246" t="s">
        <v>38</v>
      </c>
      <c r="F1246">
        <v>2</v>
      </c>
      <c r="G1246" t="s">
        <v>47</v>
      </c>
      <c r="H1246" t="s">
        <v>60</v>
      </c>
      <c r="I1246" t="s">
        <v>31</v>
      </c>
      <c r="J1246" t="s">
        <v>28</v>
      </c>
      <c r="K1246" t="s">
        <v>27</v>
      </c>
      <c r="L1246" t="s">
        <v>41</v>
      </c>
      <c r="M1246" t="s">
        <v>34</v>
      </c>
      <c r="N1246" t="s">
        <v>32</v>
      </c>
      <c r="O1246">
        <v>4968</v>
      </c>
      <c r="P1246">
        <v>0</v>
      </c>
      <c r="Q1246" t="s">
        <v>36</v>
      </c>
      <c r="R1246">
        <v>16</v>
      </c>
      <c r="S1246" t="s">
        <v>33</v>
      </c>
      <c r="T1246" t="s">
        <v>31</v>
      </c>
      <c r="U1246">
        <v>2</v>
      </c>
      <c r="V1246" t="s">
        <v>44</v>
      </c>
      <c r="W1246" t="str">
        <f>IF(HR_Data[[#This Row],[age]]&lt;25,"Under 25",IF(HR_Data[[#This Row],[age]]&lt;35,"25-34",IF(HR_Data[[#This Row],[age]]&lt;45,"35-44",IF(HR_Data[[#This Row],[age]]&lt;55,"45-54","55+"))))</f>
        <v>25-34</v>
      </c>
      <c r="X1246" t="str">
        <f t="shared" si="19"/>
        <v>3,000-4,999</v>
      </c>
    </row>
    <row r="1247" spans="1:24" x14ac:dyDescent="0.3">
      <c r="A1247">
        <v>1746</v>
      </c>
      <c r="B1247">
        <v>24</v>
      </c>
      <c r="C1247" t="s">
        <v>36</v>
      </c>
      <c r="D1247" t="s">
        <v>37</v>
      </c>
      <c r="E1247" t="s">
        <v>62</v>
      </c>
      <c r="F1247">
        <v>10</v>
      </c>
      <c r="G1247" t="s">
        <v>50</v>
      </c>
      <c r="H1247" t="s">
        <v>48</v>
      </c>
      <c r="I1247" t="s">
        <v>34</v>
      </c>
      <c r="J1247" t="s">
        <v>40</v>
      </c>
      <c r="K1247" t="s">
        <v>29</v>
      </c>
      <c r="L1247" t="s">
        <v>62</v>
      </c>
      <c r="M1247" t="s">
        <v>31</v>
      </c>
      <c r="N1247" t="s">
        <v>42</v>
      </c>
      <c r="O1247">
        <v>2145</v>
      </c>
      <c r="P1247">
        <v>0</v>
      </c>
      <c r="Q1247" t="s">
        <v>36</v>
      </c>
      <c r="R1247">
        <v>14</v>
      </c>
      <c r="S1247" t="s">
        <v>33</v>
      </c>
      <c r="T1247" t="s">
        <v>31</v>
      </c>
      <c r="U1247">
        <v>2</v>
      </c>
      <c r="V1247" t="s">
        <v>44</v>
      </c>
      <c r="W1247" t="str">
        <f>IF(HR_Data[[#This Row],[age]]&lt;25,"Under 25",IF(HR_Data[[#This Row],[age]]&lt;35,"25-34",IF(HR_Data[[#This Row],[age]]&lt;45,"35-44",IF(HR_Data[[#This Row],[age]]&lt;55,"45-54","55+"))))</f>
        <v>Under 25</v>
      </c>
      <c r="X1247" t="str">
        <f t="shared" si="19"/>
        <v>Below 3,000</v>
      </c>
    </row>
    <row r="1248" spans="1:24" x14ac:dyDescent="0.3">
      <c r="A1248">
        <v>1747</v>
      </c>
      <c r="B1248">
        <v>30</v>
      </c>
      <c r="C1248" t="s">
        <v>22</v>
      </c>
      <c r="D1248" t="s">
        <v>37</v>
      </c>
      <c r="E1248" t="s">
        <v>62</v>
      </c>
      <c r="F1248">
        <v>8</v>
      </c>
      <c r="G1248" t="s">
        <v>50</v>
      </c>
      <c r="H1248" t="s">
        <v>62</v>
      </c>
      <c r="I1248" t="s">
        <v>29</v>
      </c>
      <c r="J1248" t="s">
        <v>28</v>
      </c>
      <c r="K1248" t="s">
        <v>27</v>
      </c>
      <c r="L1248" t="s">
        <v>62</v>
      </c>
      <c r="M1248" t="s">
        <v>31</v>
      </c>
      <c r="N1248" t="s">
        <v>51</v>
      </c>
      <c r="O1248">
        <v>2180</v>
      </c>
      <c r="P1248">
        <v>6</v>
      </c>
      <c r="Q1248" t="s">
        <v>36</v>
      </c>
      <c r="R1248">
        <v>11</v>
      </c>
      <c r="S1248" t="s">
        <v>33</v>
      </c>
      <c r="T1248" t="s">
        <v>29</v>
      </c>
      <c r="U1248">
        <v>0</v>
      </c>
      <c r="V1248" t="s">
        <v>49</v>
      </c>
      <c r="W1248" t="str">
        <f>IF(HR_Data[[#This Row],[age]]&lt;25,"Under 25",IF(HR_Data[[#This Row],[age]]&lt;35,"25-34",IF(HR_Data[[#This Row],[age]]&lt;45,"35-44",IF(HR_Data[[#This Row],[age]]&lt;55,"45-54","55+"))))</f>
        <v>25-34</v>
      </c>
      <c r="X1248" t="str">
        <f t="shared" si="19"/>
        <v>Below 3,000</v>
      </c>
    </row>
    <row r="1249" spans="1:24" x14ac:dyDescent="0.3">
      <c r="A1249">
        <v>1749</v>
      </c>
      <c r="B1249">
        <v>31</v>
      </c>
      <c r="C1249" t="s">
        <v>36</v>
      </c>
      <c r="D1249" t="s">
        <v>23</v>
      </c>
      <c r="E1249" t="s">
        <v>24</v>
      </c>
      <c r="F1249">
        <v>5</v>
      </c>
      <c r="G1249" t="s">
        <v>50</v>
      </c>
      <c r="H1249" t="s">
        <v>60</v>
      </c>
      <c r="I1249" t="s">
        <v>34</v>
      </c>
      <c r="J1249" t="s">
        <v>40</v>
      </c>
      <c r="K1249" t="s">
        <v>29</v>
      </c>
      <c r="L1249" t="s">
        <v>30</v>
      </c>
      <c r="M1249" t="s">
        <v>29</v>
      </c>
      <c r="N1249" t="s">
        <v>42</v>
      </c>
      <c r="O1249">
        <v>8346</v>
      </c>
      <c r="P1249">
        <v>1</v>
      </c>
      <c r="Q1249" t="s">
        <v>36</v>
      </c>
      <c r="R1249">
        <v>19</v>
      </c>
      <c r="S1249" t="s">
        <v>33</v>
      </c>
      <c r="T1249" t="s">
        <v>29</v>
      </c>
      <c r="U1249">
        <v>3</v>
      </c>
      <c r="V1249" t="s">
        <v>44</v>
      </c>
      <c r="W1249" t="str">
        <f>IF(HR_Data[[#This Row],[age]]&lt;25,"Under 25",IF(HR_Data[[#This Row],[age]]&lt;35,"25-34",IF(HR_Data[[#This Row],[age]]&lt;45,"35-44",IF(HR_Data[[#This Row],[age]]&lt;55,"45-54","55+"))))</f>
        <v>25-34</v>
      </c>
      <c r="X1249" t="str">
        <f t="shared" si="19"/>
        <v>8,000+</v>
      </c>
    </row>
    <row r="1250" spans="1:24" x14ac:dyDescent="0.3">
      <c r="A1250">
        <v>1751</v>
      </c>
      <c r="B1250">
        <v>27</v>
      </c>
      <c r="C1250" t="s">
        <v>36</v>
      </c>
      <c r="D1250" t="s">
        <v>23</v>
      </c>
      <c r="E1250" t="s">
        <v>38</v>
      </c>
      <c r="F1250">
        <v>8</v>
      </c>
      <c r="G1250" t="s">
        <v>50</v>
      </c>
      <c r="H1250" t="s">
        <v>48</v>
      </c>
      <c r="I1250" t="s">
        <v>29</v>
      </c>
      <c r="J1250" t="s">
        <v>28</v>
      </c>
      <c r="K1250" t="s">
        <v>29</v>
      </c>
      <c r="L1250" t="s">
        <v>41</v>
      </c>
      <c r="M1250" t="s">
        <v>31</v>
      </c>
      <c r="N1250" t="s">
        <v>32</v>
      </c>
      <c r="O1250">
        <v>3445</v>
      </c>
      <c r="P1250">
        <v>1</v>
      </c>
      <c r="Q1250" t="s">
        <v>36</v>
      </c>
      <c r="R1250">
        <v>11</v>
      </c>
      <c r="S1250" t="s">
        <v>33</v>
      </c>
      <c r="T1250" t="s">
        <v>29</v>
      </c>
      <c r="U1250">
        <v>5</v>
      </c>
      <c r="V1250" t="s">
        <v>49</v>
      </c>
      <c r="W1250" t="str">
        <f>IF(HR_Data[[#This Row],[age]]&lt;25,"Under 25",IF(HR_Data[[#This Row],[age]]&lt;35,"25-34",IF(HR_Data[[#This Row],[age]]&lt;45,"35-44",IF(HR_Data[[#This Row],[age]]&lt;55,"45-54","55+"))))</f>
        <v>25-34</v>
      </c>
      <c r="X1250" t="str">
        <f t="shared" si="19"/>
        <v>3,000-4,999</v>
      </c>
    </row>
    <row r="1251" spans="1:24" x14ac:dyDescent="0.3">
      <c r="A1251">
        <v>1752</v>
      </c>
      <c r="B1251">
        <v>29</v>
      </c>
      <c r="C1251" t="s">
        <v>22</v>
      </c>
      <c r="D1251" t="s">
        <v>23</v>
      </c>
      <c r="E1251" t="s">
        <v>24</v>
      </c>
      <c r="F1251">
        <v>9</v>
      </c>
      <c r="G1251" t="s">
        <v>50</v>
      </c>
      <c r="H1251" t="s">
        <v>58</v>
      </c>
      <c r="I1251" t="s">
        <v>27</v>
      </c>
      <c r="J1251" t="s">
        <v>28</v>
      </c>
      <c r="K1251" t="s">
        <v>34</v>
      </c>
      <c r="L1251" t="s">
        <v>56</v>
      </c>
      <c r="M1251" t="s">
        <v>27</v>
      </c>
      <c r="N1251" t="s">
        <v>32</v>
      </c>
      <c r="O1251">
        <v>2760</v>
      </c>
      <c r="P1251">
        <v>1</v>
      </c>
      <c r="Q1251" t="s">
        <v>36</v>
      </c>
      <c r="R1251">
        <v>13</v>
      </c>
      <c r="S1251" t="s">
        <v>33</v>
      </c>
      <c r="T1251" t="s">
        <v>29</v>
      </c>
      <c r="U1251">
        <v>3</v>
      </c>
      <c r="V1251" t="s">
        <v>44</v>
      </c>
      <c r="W1251" t="str">
        <f>IF(HR_Data[[#This Row],[age]]&lt;25,"Under 25",IF(HR_Data[[#This Row],[age]]&lt;35,"25-34",IF(HR_Data[[#This Row],[age]]&lt;45,"35-44",IF(HR_Data[[#This Row],[age]]&lt;55,"45-54","55+"))))</f>
        <v>25-34</v>
      </c>
      <c r="X1251" t="str">
        <f t="shared" si="19"/>
        <v>Below 3,000</v>
      </c>
    </row>
    <row r="1252" spans="1:24" x14ac:dyDescent="0.3">
      <c r="A1252">
        <v>1753</v>
      </c>
      <c r="B1252">
        <v>29</v>
      </c>
      <c r="C1252" t="s">
        <v>36</v>
      </c>
      <c r="D1252" t="s">
        <v>37</v>
      </c>
      <c r="E1252" t="s">
        <v>38</v>
      </c>
      <c r="F1252">
        <v>1</v>
      </c>
      <c r="G1252" t="s">
        <v>50</v>
      </c>
      <c r="H1252" t="s">
        <v>26</v>
      </c>
      <c r="I1252" t="s">
        <v>31</v>
      </c>
      <c r="J1252" t="s">
        <v>40</v>
      </c>
      <c r="K1252" t="s">
        <v>31</v>
      </c>
      <c r="L1252" t="s">
        <v>53</v>
      </c>
      <c r="M1252" t="s">
        <v>29</v>
      </c>
      <c r="N1252" t="s">
        <v>32</v>
      </c>
      <c r="O1252">
        <v>6294</v>
      </c>
      <c r="P1252">
        <v>8</v>
      </c>
      <c r="Q1252" t="s">
        <v>22</v>
      </c>
      <c r="R1252">
        <v>12</v>
      </c>
      <c r="S1252" t="s">
        <v>33</v>
      </c>
      <c r="T1252" t="s">
        <v>31</v>
      </c>
      <c r="U1252">
        <v>5</v>
      </c>
      <c r="V1252" t="s">
        <v>59</v>
      </c>
      <c r="W1252" t="str">
        <f>IF(HR_Data[[#This Row],[age]]&lt;25,"Under 25",IF(HR_Data[[#This Row],[age]]&lt;35,"25-34",IF(HR_Data[[#This Row],[age]]&lt;45,"35-44",IF(HR_Data[[#This Row],[age]]&lt;55,"45-54","55+"))))</f>
        <v>25-34</v>
      </c>
      <c r="X1252" t="str">
        <f t="shared" si="19"/>
        <v>5,000-7,999</v>
      </c>
    </row>
    <row r="1253" spans="1:24" x14ac:dyDescent="0.3">
      <c r="A1253">
        <v>1754</v>
      </c>
      <c r="B1253">
        <v>30</v>
      </c>
      <c r="C1253" t="s">
        <v>36</v>
      </c>
      <c r="D1253" t="s">
        <v>23</v>
      </c>
      <c r="E1253" t="s">
        <v>24</v>
      </c>
      <c r="F1253">
        <v>15</v>
      </c>
      <c r="G1253" t="s">
        <v>25</v>
      </c>
      <c r="H1253" t="s">
        <v>58</v>
      </c>
      <c r="I1253" t="s">
        <v>29</v>
      </c>
      <c r="J1253" t="s">
        <v>40</v>
      </c>
      <c r="K1253" t="s">
        <v>27</v>
      </c>
      <c r="L1253" t="s">
        <v>30</v>
      </c>
      <c r="M1253" t="s">
        <v>34</v>
      </c>
      <c r="N1253" t="s">
        <v>51</v>
      </c>
      <c r="O1253">
        <v>7140</v>
      </c>
      <c r="P1253">
        <v>2</v>
      </c>
      <c r="Q1253" t="s">
        <v>36</v>
      </c>
      <c r="R1253">
        <v>11</v>
      </c>
      <c r="S1253" t="s">
        <v>33</v>
      </c>
      <c r="T1253" t="s">
        <v>34</v>
      </c>
      <c r="U1253">
        <v>2</v>
      </c>
      <c r="V1253" t="s">
        <v>44</v>
      </c>
      <c r="W1253" t="str">
        <f>IF(HR_Data[[#This Row],[age]]&lt;25,"Under 25",IF(HR_Data[[#This Row],[age]]&lt;35,"25-34",IF(HR_Data[[#This Row],[age]]&lt;45,"35-44",IF(HR_Data[[#This Row],[age]]&lt;55,"45-54","55+"))))</f>
        <v>25-34</v>
      </c>
      <c r="X1253" t="str">
        <f t="shared" si="19"/>
        <v>5,000-7,999</v>
      </c>
    </row>
    <row r="1254" spans="1:24" x14ac:dyDescent="0.3">
      <c r="A1254">
        <v>1755</v>
      </c>
      <c r="B1254">
        <v>34</v>
      </c>
      <c r="C1254" t="s">
        <v>36</v>
      </c>
      <c r="D1254" t="s">
        <v>23</v>
      </c>
      <c r="E1254" t="s">
        <v>38</v>
      </c>
      <c r="F1254">
        <v>2</v>
      </c>
      <c r="G1254" t="s">
        <v>47</v>
      </c>
      <c r="H1254" t="s">
        <v>48</v>
      </c>
      <c r="I1254" t="s">
        <v>31</v>
      </c>
      <c r="J1254" t="s">
        <v>40</v>
      </c>
      <c r="K1254" t="s">
        <v>31</v>
      </c>
      <c r="L1254" t="s">
        <v>41</v>
      </c>
      <c r="M1254" t="s">
        <v>31</v>
      </c>
      <c r="N1254" t="s">
        <v>42</v>
      </c>
      <c r="O1254">
        <v>2932</v>
      </c>
      <c r="P1254">
        <v>0</v>
      </c>
      <c r="Q1254" t="s">
        <v>22</v>
      </c>
      <c r="R1254">
        <v>14</v>
      </c>
      <c r="S1254" t="s">
        <v>33</v>
      </c>
      <c r="T1254" t="s">
        <v>34</v>
      </c>
      <c r="U1254">
        <v>3</v>
      </c>
      <c r="V1254" t="s">
        <v>44</v>
      </c>
      <c r="W1254" t="str">
        <f>IF(HR_Data[[#This Row],[age]]&lt;25,"Under 25",IF(HR_Data[[#This Row],[age]]&lt;35,"25-34",IF(HR_Data[[#This Row],[age]]&lt;45,"35-44",IF(HR_Data[[#This Row],[age]]&lt;55,"45-54","55+"))))</f>
        <v>25-34</v>
      </c>
      <c r="X1254" t="str">
        <f t="shared" si="19"/>
        <v>Below 3,000</v>
      </c>
    </row>
    <row r="1255" spans="1:24" x14ac:dyDescent="0.3">
      <c r="A1255">
        <v>1756</v>
      </c>
      <c r="B1255">
        <v>33</v>
      </c>
      <c r="C1255" t="s">
        <v>36</v>
      </c>
      <c r="D1255" t="s">
        <v>54</v>
      </c>
      <c r="E1255" t="s">
        <v>24</v>
      </c>
      <c r="F1255">
        <v>2</v>
      </c>
      <c r="G1255" t="s">
        <v>50</v>
      </c>
      <c r="H1255" t="s">
        <v>58</v>
      </c>
      <c r="I1255" t="s">
        <v>31</v>
      </c>
      <c r="J1255" t="s">
        <v>28</v>
      </c>
      <c r="K1255" t="s">
        <v>29</v>
      </c>
      <c r="L1255" t="s">
        <v>30</v>
      </c>
      <c r="M1255" t="s">
        <v>27</v>
      </c>
      <c r="N1255" t="s">
        <v>32</v>
      </c>
      <c r="O1255">
        <v>5147</v>
      </c>
      <c r="P1255">
        <v>8</v>
      </c>
      <c r="Q1255" t="s">
        <v>36</v>
      </c>
      <c r="R1255">
        <v>15</v>
      </c>
      <c r="S1255" t="s">
        <v>33</v>
      </c>
      <c r="T1255" t="s">
        <v>31</v>
      </c>
      <c r="U1255">
        <v>2</v>
      </c>
      <c r="V1255" t="s">
        <v>49</v>
      </c>
      <c r="W1255" t="str">
        <f>IF(HR_Data[[#This Row],[age]]&lt;25,"Under 25",IF(HR_Data[[#This Row],[age]]&lt;35,"25-34",IF(HR_Data[[#This Row],[age]]&lt;45,"35-44",IF(HR_Data[[#This Row],[age]]&lt;55,"45-54","55+"))))</f>
        <v>25-34</v>
      </c>
      <c r="X1255" t="str">
        <f t="shared" si="19"/>
        <v>5,000-7,999</v>
      </c>
    </row>
    <row r="1256" spans="1:24" x14ac:dyDescent="0.3">
      <c r="A1256">
        <v>1757</v>
      </c>
      <c r="B1256">
        <v>49</v>
      </c>
      <c r="C1256" t="s">
        <v>36</v>
      </c>
      <c r="D1256" t="s">
        <v>23</v>
      </c>
      <c r="E1256" t="s">
        <v>24</v>
      </c>
      <c r="F1256">
        <v>11</v>
      </c>
      <c r="G1256" t="s">
        <v>47</v>
      </c>
      <c r="H1256" t="s">
        <v>58</v>
      </c>
      <c r="I1256" t="s">
        <v>31</v>
      </c>
      <c r="J1256" t="s">
        <v>28</v>
      </c>
      <c r="K1256" t="s">
        <v>29</v>
      </c>
      <c r="L1256" t="s">
        <v>30</v>
      </c>
      <c r="M1256" t="s">
        <v>31</v>
      </c>
      <c r="N1256" t="s">
        <v>32</v>
      </c>
      <c r="O1256">
        <v>4507</v>
      </c>
      <c r="P1256">
        <v>3</v>
      </c>
      <c r="Q1256" t="s">
        <v>36</v>
      </c>
      <c r="R1256">
        <v>12</v>
      </c>
      <c r="S1256" t="s">
        <v>33</v>
      </c>
      <c r="T1256" t="s">
        <v>29</v>
      </c>
      <c r="U1256">
        <v>1</v>
      </c>
      <c r="V1256" t="s">
        <v>59</v>
      </c>
      <c r="W1256" t="str">
        <f>IF(HR_Data[[#This Row],[age]]&lt;25,"Under 25",IF(HR_Data[[#This Row],[age]]&lt;35,"25-34",IF(HR_Data[[#This Row],[age]]&lt;45,"35-44",IF(HR_Data[[#This Row],[age]]&lt;55,"45-54","55+"))))</f>
        <v>45-54</v>
      </c>
      <c r="X1256" t="str">
        <f t="shared" si="19"/>
        <v>3,000-4,999</v>
      </c>
    </row>
    <row r="1257" spans="1:24" x14ac:dyDescent="0.3">
      <c r="A1257">
        <v>1758</v>
      </c>
      <c r="B1257">
        <v>33</v>
      </c>
      <c r="C1257" t="s">
        <v>22</v>
      </c>
      <c r="D1257" t="s">
        <v>23</v>
      </c>
      <c r="E1257" t="s">
        <v>24</v>
      </c>
      <c r="F1257">
        <v>16</v>
      </c>
      <c r="G1257" t="s">
        <v>50</v>
      </c>
      <c r="H1257" t="s">
        <v>26</v>
      </c>
      <c r="I1257" t="s">
        <v>34</v>
      </c>
      <c r="J1257" t="s">
        <v>28</v>
      </c>
      <c r="K1257" t="s">
        <v>29</v>
      </c>
      <c r="L1257" t="s">
        <v>30</v>
      </c>
      <c r="M1257" t="s">
        <v>34</v>
      </c>
      <c r="N1257" t="s">
        <v>32</v>
      </c>
      <c r="O1257">
        <v>8564</v>
      </c>
      <c r="P1257">
        <v>2</v>
      </c>
      <c r="Q1257" t="s">
        <v>22</v>
      </c>
      <c r="R1257">
        <v>20</v>
      </c>
      <c r="S1257" t="s">
        <v>43</v>
      </c>
      <c r="T1257" t="s">
        <v>29</v>
      </c>
      <c r="U1257">
        <v>2</v>
      </c>
      <c r="V1257" t="s">
        <v>49</v>
      </c>
      <c r="W1257" t="str">
        <f>IF(HR_Data[[#This Row],[age]]&lt;25,"Under 25",IF(HR_Data[[#This Row],[age]]&lt;35,"25-34",IF(HR_Data[[#This Row],[age]]&lt;45,"35-44",IF(HR_Data[[#This Row],[age]]&lt;55,"45-54","55+"))))</f>
        <v>25-34</v>
      </c>
      <c r="X1257" t="str">
        <f t="shared" si="19"/>
        <v>8,000+</v>
      </c>
    </row>
    <row r="1258" spans="1:24" x14ac:dyDescent="0.3">
      <c r="A1258">
        <v>1760</v>
      </c>
      <c r="B1258">
        <v>38</v>
      </c>
      <c r="C1258" t="s">
        <v>36</v>
      </c>
      <c r="D1258" t="s">
        <v>37</v>
      </c>
      <c r="E1258" t="s">
        <v>38</v>
      </c>
      <c r="F1258">
        <v>2</v>
      </c>
      <c r="G1258" t="s">
        <v>25</v>
      </c>
      <c r="H1258" t="s">
        <v>48</v>
      </c>
      <c r="I1258" t="s">
        <v>29</v>
      </c>
      <c r="J1258" t="s">
        <v>28</v>
      </c>
      <c r="K1258" t="s">
        <v>27</v>
      </c>
      <c r="L1258" t="s">
        <v>46</v>
      </c>
      <c r="M1258" t="s">
        <v>27</v>
      </c>
      <c r="N1258" t="s">
        <v>42</v>
      </c>
      <c r="O1258">
        <v>2468</v>
      </c>
      <c r="P1258">
        <v>4</v>
      </c>
      <c r="Q1258" t="s">
        <v>36</v>
      </c>
      <c r="R1258">
        <v>14</v>
      </c>
      <c r="S1258" t="s">
        <v>33</v>
      </c>
      <c r="T1258" t="s">
        <v>27</v>
      </c>
      <c r="U1258">
        <v>4</v>
      </c>
      <c r="V1258" t="s">
        <v>49</v>
      </c>
      <c r="W1258" t="str">
        <f>IF(HR_Data[[#This Row],[age]]&lt;25,"Under 25",IF(HR_Data[[#This Row],[age]]&lt;35,"25-34",IF(HR_Data[[#This Row],[age]]&lt;45,"35-44",IF(HR_Data[[#This Row],[age]]&lt;55,"45-54","55+"))))</f>
        <v>35-44</v>
      </c>
      <c r="X1258" t="str">
        <f t="shared" si="19"/>
        <v>Below 3,000</v>
      </c>
    </row>
    <row r="1259" spans="1:24" x14ac:dyDescent="0.3">
      <c r="A1259">
        <v>1761</v>
      </c>
      <c r="B1259">
        <v>31</v>
      </c>
      <c r="C1259" t="s">
        <v>22</v>
      </c>
      <c r="D1259" t="s">
        <v>23</v>
      </c>
      <c r="E1259" t="s">
        <v>24</v>
      </c>
      <c r="F1259">
        <v>16</v>
      </c>
      <c r="G1259" t="s">
        <v>47</v>
      </c>
      <c r="H1259" t="s">
        <v>58</v>
      </c>
      <c r="I1259" t="s">
        <v>34</v>
      </c>
      <c r="J1259" t="s">
        <v>40</v>
      </c>
      <c r="K1259" t="s">
        <v>29</v>
      </c>
      <c r="L1259" t="s">
        <v>30</v>
      </c>
      <c r="M1259" t="s">
        <v>29</v>
      </c>
      <c r="N1259" t="s">
        <v>42</v>
      </c>
      <c r="O1259">
        <v>8161</v>
      </c>
      <c r="P1259">
        <v>2</v>
      </c>
      <c r="Q1259" t="s">
        <v>36</v>
      </c>
      <c r="R1259">
        <v>13</v>
      </c>
      <c r="S1259" t="s">
        <v>33</v>
      </c>
      <c r="T1259" t="s">
        <v>34</v>
      </c>
      <c r="U1259">
        <v>2</v>
      </c>
      <c r="V1259" t="s">
        <v>44</v>
      </c>
      <c r="W1259" t="str">
        <f>IF(HR_Data[[#This Row],[age]]&lt;25,"Under 25",IF(HR_Data[[#This Row],[age]]&lt;35,"25-34",IF(HR_Data[[#This Row],[age]]&lt;45,"35-44",IF(HR_Data[[#This Row],[age]]&lt;55,"45-54","55+"))))</f>
        <v>25-34</v>
      </c>
      <c r="X1259" t="str">
        <f t="shared" si="19"/>
        <v>8,000+</v>
      </c>
    </row>
    <row r="1260" spans="1:24" x14ac:dyDescent="0.3">
      <c r="A1260">
        <v>1762</v>
      </c>
      <c r="B1260">
        <v>29</v>
      </c>
      <c r="C1260" t="s">
        <v>36</v>
      </c>
      <c r="D1260" t="s">
        <v>23</v>
      </c>
      <c r="E1260" t="s">
        <v>38</v>
      </c>
      <c r="F1260">
        <v>4</v>
      </c>
      <c r="G1260" t="s">
        <v>50</v>
      </c>
      <c r="H1260" t="s">
        <v>60</v>
      </c>
      <c r="I1260" t="s">
        <v>31</v>
      </c>
      <c r="J1260" t="s">
        <v>28</v>
      </c>
      <c r="K1260" t="s">
        <v>27</v>
      </c>
      <c r="L1260" t="s">
        <v>41</v>
      </c>
      <c r="M1260" t="s">
        <v>34</v>
      </c>
      <c r="N1260" t="s">
        <v>51</v>
      </c>
      <c r="O1260">
        <v>2109</v>
      </c>
      <c r="P1260">
        <v>1</v>
      </c>
      <c r="Q1260" t="s">
        <v>36</v>
      </c>
      <c r="R1260">
        <v>13</v>
      </c>
      <c r="S1260" t="s">
        <v>33</v>
      </c>
      <c r="T1260" t="s">
        <v>29</v>
      </c>
      <c r="U1260">
        <v>2</v>
      </c>
      <c r="V1260" t="s">
        <v>44</v>
      </c>
      <c r="W1260" t="str">
        <f>IF(HR_Data[[#This Row],[age]]&lt;25,"Under 25",IF(HR_Data[[#This Row],[age]]&lt;35,"25-34",IF(HR_Data[[#This Row],[age]]&lt;45,"35-44",IF(HR_Data[[#This Row],[age]]&lt;55,"45-54","55+"))))</f>
        <v>25-34</v>
      </c>
      <c r="X1260" t="str">
        <f t="shared" si="19"/>
        <v>Below 3,000</v>
      </c>
    </row>
    <row r="1261" spans="1:24" x14ac:dyDescent="0.3">
      <c r="A1261">
        <v>1763</v>
      </c>
      <c r="B1261">
        <v>30</v>
      </c>
      <c r="C1261" t="s">
        <v>36</v>
      </c>
      <c r="D1261" t="s">
        <v>23</v>
      </c>
      <c r="E1261" t="s">
        <v>38</v>
      </c>
      <c r="F1261">
        <v>16</v>
      </c>
      <c r="G1261" t="s">
        <v>50</v>
      </c>
      <c r="H1261" t="s">
        <v>26</v>
      </c>
      <c r="I1261" t="s">
        <v>29</v>
      </c>
      <c r="J1261" t="s">
        <v>40</v>
      </c>
      <c r="K1261" t="s">
        <v>31</v>
      </c>
      <c r="L1261" t="s">
        <v>53</v>
      </c>
      <c r="M1261" t="s">
        <v>29</v>
      </c>
      <c r="N1261" t="s">
        <v>42</v>
      </c>
      <c r="O1261">
        <v>5294</v>
      </c>
      <c r="P1261">
        <v>3</v>
      </c>
      <c r="Q1261" t="s">
        <v>36</v>
      </c>
      <c r="R1261">
        <v>16</v>
      </c>
      <c r="S1261" t="s">
        <v>33</v>
      </c>
      <c r="T1261" t="s">
        <v>29</v>
      </c>
      <c r="U1261">
        <v>3</v>
      </c>
      <c r="V1261" t="s">
        <v>44</v>
      </c>
      <c r="W1261" t="str">
        <f>IF(HR_Data[[#This Row],[age]]&lt;25,"Under 25",IF(HR_Data[[#This Row],[age]]&lt;35,"25-34",IF(HR_Data[[#This Row],[age]]&lt;45,"35-44",IF(HR_Data[[#This Row],[age]]&lt;55,"45-54","55+"))))</f>
        <v>25-34</v>
      </c>
      <c r="X1261" t="str">
        <f t="shared" si="19"/>
        <v>5,000-7,999</v>
      </c>
    </row>
    <row r="1262" spans="1:24" x14ac:dyDescent="0.3">
      <c r="A1262">
        <v>1764</v>
      </c>
      <c r="B1262">
        <v>32</v>
      </c>
      <c r="C1262" t="s">
        <v>36</v>
      </c>
      <c r="D1262" t="s">
        <v>54</v>
      </c>
      <c r="E1262" t="s">
        <v>38</v>
      </c>
      <c r="F1262">
        <v>5</v>
      </c>
      <c r="G1262" t="s">
        <v>47</v>
      </c>
      <c r="H1262" t="s">
        <v>60</v>
      </c>
      <c r="I1262" t="s">
        <v>27</v>
      </c>
      <c r="J1262" t="s">
        <v>40</v>
      </c>
      <c r="K1262" t="s">
        <v>29</v>
      </c>
      <c r="L1262" t="s">
        <v>41</v>
      </c>
      <c r="M1262" t="s">
        <v>27</v>
      </c>
      <c r="N1262" t="s">
        <v>32</v>
      </c>
      <c r="O1262">
        <v>2718</v>
      </c>
      <c r="P1262">
        <v>2</v>
      </c>
      <c r="Q1262" t="s">
        <v>36</v>
      </c>
      <c r="R1262">
        <v>14</v>
      </c>
      <c r="S1262" t="s">
        <v>33</v>
      </c>
      <c r="T1262" t="s">
        <v>27</v>
      </c>
      <c r="U1262">
        <v>3</v>
      </c>
      <c r="V1262" t="s">
        <v>44</v>
      </c>
      <c r="W1262" t="str">
        <f>IF(HR_Data[[#This Row],[age]]&lt;25,"Under 25",IF(HR_Data[[#This Row],[age]]&lt;35,"25-34",IF(HR_Data[[#This Row],[age]]&lt;45,"35-44",IF(HR_Data[[#This Row],[age]]&lt;55,"45-54","55+"))))</f>
        <v>25-34</v>
      </c>
      <c r="X1262" t="str">
        <f t="shared" si="19"/>
        <v>Below 3,000</v>
      </c>
    </row>
    <row r="1263" spans="1:24" x14ac:dyDescent="0.3">
      <c r="A1263">
        <v>1766</v>
      </c>
      <c r="B1263">
        <v>38</v>
      </c>
      <c r="C1263" t="s">
        <v>36</v>
      </c>
      <c r="D1263" t="s">
        <v>23</v>
      </c>
      <c r="E1263" t="s">
        <v>38</v>
      </c>
      <c r="F1263">
        <v>18</v>
      </c>
      <c r="G1263" t="s">
        <v>50</v>
      </c>
      <c r="H1263" t="s">
        <v>48</v>
      </c>
      <c r="I1263" t="s">
        <v>27</v>
      </c>
      <c r="J1263" t="s">
        <v>40</v>
      </c>
      <c r="K1263" t="s">
        <v>34</v>
      </c>
      <c r="L1263" t="s">
        <v>53</v>
      </c>
      <c r="M1263" t="s">
        <v>31</v>
      </c>
      <c r="N1263" t="s">
        <v>42</v>
      </c>
      <c r="O1263">
        <v>5811</v>
      </c>
      <c r="P1263">
        <v>3</v>
      </c>
      <c r="Q1263" t="s">
        <v>22</v>
      </c>
      <c r="R1263">
        <v>16</v>
      </c>
      <c r="S1263" t="s">
        <v>33</v>
      </c>
      <c r="T1263" t="s">
        <v>29</v>
      </c>
      <c r="U1263">
        <v>2</v>
      </c>
      <c r="V1263" t="s">
        <v>44</v>
      </c>
      <c r="W1263" t="str">
        <f>IF(HR_Data[[#This Row],[age]]&lt;25,"Under 25",IF(HR_Data[[#This Row],[age]]&lt;35,"25-34",IF(HR_Data[[#This Row],[age]]&lt;45,"35-44",IF(HR_Data[[#This Row],[age]]&lt;55,"45-54","55+"))))</f>
        <v>35-44</v>
      </c>
      <c r="X1263" t="str">
        <f t="shared" si="19"/>
        <v>5,000-7,999</v>
      </c>
    </row>
    <row r="1264" spans="1:24" x14ac:dyDescent="0.3">
      <c r="A1264">
        <v>1767</v>
      </c>
      <c r="B1264">
        <v>43</v>
      </c>
      <c r="C1264" t="s">
        <v>22</v>
      </c>
      <c r="D1264" t="s">
        <v>37</v>
      </c>
      <c r="E1264" t="s">
        <v>38</v>
      </c>
      <c r="F1264">
        <v>17</v>
      </c>
      <c r="G1264" t="s">
        <v>50</v>
      </c>
      <c r="H1264" t="s">
        <v>60</v>
      </c>
      <c r="I1264" t="s">
        <v>29</v>
      </c>
      <c r="J1264" t="s">
        <v>40</v>
      </c>
      <c r="K1264" t="s">
        <v>27</v>
      </c>
      <c r="L1264" t="s">
        <v>41</v>
      </c>
      <c r="M1264" t="s">
        <v>29</v>
      </c>
      <c r="N1264" t="s">
        <v>42</v>
      </c>
      <c r="O1264">
        <v>2437</v>
      </c>
      <c r="P1264">
        <v>9</v>
      </c>
      <c r="Q1264" t="s">
        <v>22</v>
      </c>
      <c r="R1264">
        <v>16</v>
      </c>
      <c r="S1264" t="s">
        <v>33</v>
      </c>
      <c r="T1264" t="s">
        <v>31</v>
      </c>
      <c r="U1264">
        <v>4</v>
      </c>
      <c r="V1264" t="s">
        <v>44</v>
      </c>
      <c r="W1264" t="str">
        <f>IF(HR_Data[[#This Row],[age]]&lt;25,"Under 25",IF(HR_Data[[#This Row],[age]]&lt;35,"25-34",IF(HR_Data[[#This Row],[age]]&lt;45,"35-44",IF(HR_Data[[#This Row],[age]]&lt;55,"45-54","55+"))))</f>
        <v>35-44</v>
      </c>
      <c r="X1264" t="str">
        <f t="shared" si="19"/>
        <v>Below 3,000</v>
      </c>
    </row>
    <row r="1265" spans="1:24" x14ac:dyDescent="0.3">
      <c r="A1265">
        <v>1768</v>
      </c>
      <c r="B1265">
        <v>42</v>
      </c>
      <c r="C1265" t="s">
        <v>36</v>
      </c>
      <c r="D1265" t="s">
        <v>23</v>
      </c>
      <c r="E1265" t="s">
        <v>38</v>
      </c>
      <c r="F1265">
        <v>12</v>
      </c>
      <c r="G1265" t="s">
        <v>50</v>
      </c>
      <c r="H1265" t="s">
        <v>48</v>
      </c>
      <c r="I1265" t="s">
        <v>27</v>
      </c>
      <c r="J1265" t="s">
        <v>40</v>
      </c>
      <c r="K1265" t="s">
        <v>29</v>
      </c>
      <c r="L1265" t="s">
        <v>46</v>
      </c>
      <c r="M1265" t="s">
        <v>27</v>
      </c>
      <c r="N1265" t="s">
        <v>51</v>
      </c>
      <c r="O1265">
        <v>2766</v>
      </c>
      <c r="P1265">
        <v>8</v>
      </c>
      <c r="Q1265" t="s">
        <v>36</v>
      </c>
      <c r="R1265">
        <v>22</v>
      </c>
      <c r="S1265" t="s">
        <v>43</v>
      </c>
      <c r="T1265" t="s">
        <v>27</v>
      </c>
      <c r="U1265">
        <v>6</v>
      </c>
      <c r="V1265" t="s">
        <v>49</v>
      </c>
      <c r="W1265" t="str">
        <f>IF(HR_Data[[#This Row],[age]]&lt;25,"Under 25",IF(HR_Data[[#This Row],[age]]&lt;35,"25-34",IF(HR_Data[[#This Row],[age]]&lt;45,"35-44",IF(HR_Data[[#This Row],[age]]&lt;55,"45-54","55+"))))</f>
        <v>35-44</v>
      </c>
      <c r="X1265" t="str">
        <f t="shared" si="19"/>
        <v>Below 3,000</v>
      </c>
    </row>
    <row r="1266" spans="1:24" x14ac:dyDescent="0.3">
      <c r="A1266">
        <v>1770</v>
      </c>
      <c r="B1266">
        <v>55</v>
      </c>
      <c r="C1266" t="s">
        <v>36</v>
      </c>
      <c r="D1266" t="s">
        <v>23</v>
      </c>
      <c r="E1266" t="s">
        <v>38</v>
      </c>
      <c r="F1266">
        <v>2</v>
      </c>
      <c r="G1266" t="s">
        <v>50</v>
      </c>
      <c r="H1266" t="s">
        <v>48</v>
      </c>
      <c r="I1266" t="s">
        <v>29</v>
      </c>
      <c r="J1266" t="s">
        <v>40</v>
      </c>
      <c r="K1266" t="s">
        <v>27</v>
      </c>
      <c r="L1266" t="s">
        <v>57</v>
      </c>
      <c r="M1266" t="s">
        <v>34</v>
      </c>
      <c r="N1266" t="s">
        <v>42</v>
      </c>
      <c r="O1266">
        <v>19038</v>
      </c>
      <c r="P1266">
        <v>8</v>
      </c>
      <c r="Q1266" t="s">
        <v>36</v>
      </c>
      <c r="R1266">
        <v>12</v>
      </c>
      <c r="S1266" t="s">
        <v>33</v>
      </c>
      <c r="T1266" t="s">
        <v>27</v>
      </c>
      <c r="U1266">
        <v>2</v>
      </c>
      <c r="V1266" t="s">
        <v>44</v>
      </c>
      <c r="W1266" t="str">
        <f>IF(HR_Data[[#This Row],[age]]&lt;25,"Under 25",IF(HR_Data[[#This Row],[age]]&lt;35,"25-34",IF(HR_Data[[#This Row],[age]]&lt;45,"35-44",IF(HR_Data[[#This Row],[age]]&lt;55,"45-54","55+"))))</f>
        <v>55+</v>
      </c>
      <c r="X1266" t="str">
        <f t="shared" si="19"/>
        <v>8,000+</v>
      </c>
    </row>
    <row r="1267" spans="1:24" x14ac:dyDescent="0.3">
      <c r="A1267">
        <v>1771</v>
      </c>
      <c r="B1267">
        <v>33</v>
      </c>
      <c r="C1267" t="s">
        <v>36</v>
      </c>
      <c r="D1267" t="s">
        <v>54</v>
      </c>
      <c r="E1267" t="s">
        <v>38</v>
      </c>
      <c r="F1267">
        <v>4</v>
      </c>
      <c r="G1267" t="s">
        <v>50</v>
      </c>
      <c r="H1267" t="s">
        <v>60</v>
      </c>
      <c r="I1267" t="s">
        <v>31</v>
      </c>
      <c r="J1267" t="s">
        <v>40</v>
      </c>
      <c r="K1267" t="s">
        <v>29</v>
      </c>
      <c r="L1267" t="s">
        <v>41</v>
      </c>
      <c r="M1267" t="s">
        <v>27</v>
      </c>
      <c r="N1267" t="s">
        <v>51</v>
      </c>
      <c r="O1267">
        <v>3055</v>
      </c>
      <c r="P1267">
        <v>5</v>
      </c>
      <c r="Q1267" t="s">
        <v>36</v>
      </c>
      <c r="R1267">
        <v>15</v>
      </c>
      <c r="S1267" t="s">
        <v>33</v>
      </c>
      <c r="T1267" t="s">
        <v>31</v>
      </c>
      <c r="U1267">
        <v>2</v>
      </c>
      <c r="V1267" t="s">
        <v>49</v>
      </c>
      <c r="W1267" t="str">
        <f>IF(HR_Data[[#This Row],[age]]&lt;25,"Under 25",IF(HR_Data[[#This Row],[age]]&lt;35,"25-34",IF(HR_Data[[#This Row],[age]]&lt;45,"35-44",IF(HR_Data[[#This Row],[age]]&lt;55,"45-54","55+"))))</f>
        <v>25-34</v>
      </c>
      <c r="X1267" t="str">
        <f t="shared" si="19"/>
        <v>3,000-4,999</v>
      </c>
    </row>
    <row r="1268" spans="1:24" x14ac:dyDescent="0.3">
      <c r="A1268">
        <v>1772</v>
      </c>
      <c r="B1268">
        <v>41</v>
      </c>
      <c r="C1268" t="s">
        <v>36</v>
      </c>
      <c r="D1268" t="s">
        <v>23</v>
      </c>
      <c r="E1268" t="s">
        <v>38</v>
      </c>
      <c r="F1268">
        <v>9</v>
      </c>
      <c r="G1268" t="s">
        <v>47</v>
      </c>
      <c r="H1268" t="s">
        <v>26</v>
      </c>
      <c r="I1268" t="s">
        <v>29</v>
      </c>
      <c r="J1268" t="s">
        <v>40</v>
      </c>
      <c r="K1268" t="s">
        <v>29</v>
      </c>
      <c r="L1268" t="s">
        <v>46</v>
      </c>
      <c r="M1268" t="s">
        <v>34</v>
      </c>
      <c r="N1268" t="s">
        <v>51</v>
      </c>
      <c r="O1268">
        <v>2289</v>
      </c>
      <c r="P1268">
        <v>1</v>
      </c>
      <c r="Q1268" t="s">
        <v>36</v>
      </c>
      <c r="R1268">
        <v>20</v>
      </c>
      <c r="S1268" t="s">
        <v>43</v>
      </c>
      <c r="T1268" t="s">
        <v>27</v>
      </c>
      <c r="U1268">
        <v>2</v>
      </c>
      <c r="V1268" t="s">
        <v>44</v>
      </c>
      <c r="W1268" t="str">
        <f>IF(HR_Data[[#This Row],[age]]&lt;25,"Under 25",IF(HR_Data[[#This Row],[age]]&lt;35,"25-34",IF(HR_Data[[#This Row],[age]]&lt;45,"35-44",IF(HR_Data[[#This Row],[age]]&lt;55,"45-54","55+"))))</f>
        <v>35-44</v>
      </c>
      <c r="X1268" t="str">
        <f t="shared" si="19"/>
        <v>Below 3,000</v>
      </c>
    </row>
    <row r="1269" spans="1:24" x14ac:dyDescent="0.3">
      <c r="A1269">
        <v>1774</v>
      </c>
      <c r="B1269">
        <v>34</v>
      </c>
      <c r="C1269" t="s">
        <v>36</v>
      </c>
      <c r="D1269" t="s">
        <v>54</v>
      </c>
      <c r="E1269" t="s">
        <v>24</v>
      </c>
      <c r="F1269">
        <v>10</v>
      </c>
      <c r="G1269" t="s">
        <v>50</v>
      </c>
      <c r="H1269" t="s">
        <v>26</v>
      </c>
      <c r="I1269" t="s">
        <v>31</v>
      </c>
      <c r="J1269" t="s">
        <v>40</v>
      </c>
      <c r="K1269" t="s">
        <v>29</v>
      </c>
      <c r="L1269" t="s">
        <v>30</v>
      </c>
      <c r="M1269" t="s">
        <v>29</v>
      </c>
      <c r="N1269" t="s">
        <v>51</v>
      </c>
      <c r="O1269">
        <v>4001</v>
      </c>
      <c r="P1269">
        <v>1</v>
      </c>
      <c r="Q1269" t="s">
        <v>22</v>
      </c>
      <c r="R1269">
        <v>14</v>
      </c>
      <c r="S1269" t="s">
        <v>33</v>
      </c>
      <c r="T1269" t="s">
        <v>29</v>
      </c>
      <c r="U1269">
        <v>3</v>
      </c>
      <c r="V1269" t="s">
        <v>44</v>
      </c>
      <c r="W1269" t="str">
        <f>IF(HR_Data[[#This Row],[age]]&lt;25,"Under 25",IF(HR_Data[[#This Row],[age]]&lt;35,"25-34",IF(HR_Data[[#This Row],[age]]&lt;45,"35-44",IF(HR_Data[[#This Row],[age]]&lt;55,"45-54","55+"))))</f>
        <v>25-34</v>
      </c>
      <c r="X1269" t="str">
        <f t="shared" si="19"/>
        <v>3,000-4,999</v>
      </c>
    </row>
    <row r="1270" spans="1:24" x14ac:dyDescent="0.3">
      <c r="A1270">
        <v>1775</v>
      </c>
      <c r="B1270">
        <v>53</v>
      </c>
      <c r="C1270" t="s">
        <v>36</v>
      </c>
      <c r="D1270" t="s">
        <v>54</v>
      </c>
      <c r="E1270" t="s">
        <v>38</v>
      </c>
      <c r="F1270">
        <v>1</v>
      </c>
      <c r="G1270" t="s">
        <v>47</v>
      </c>
      <c r="H1270" t="s">
        <v>48</v>
      </c>
      <c r="I1270" t="s">
        <v>34</v>
      </c>
      <c r="J1270" t="s">
        <v>28</v>
      </c>
      <c r="K1270" t="s">
        <v>27</v>
      </c>
      <c r="L1270" t="s">
        <v>52</v>
      </c>
      <c r="M1270" t="s">
        <v>29</v>
      </c>
      <c r="N1270" t="s">
        <v>42</v>
      </c>
      <c r="O1270">
        <v>12965</v>
      </c>
      <c r="P1270">
        <v>4</v>
      </c>
      <c r="Q1270" t="s">
        <v>22</v>
      </c>
      <c r="R1270">
        <v>20</v>
      </c>
      <c r="S1270" t="s">
        <v>43</v>
      </c>
      <c r="T1270" t="s">
        <v>31</v>
      </c>
      <c r="U1270">
        <v>2</v>
      </c>
      <c r="V1270" t="s">
        <v>49</v>
      </c>
      <c r="W1270" t="str">
        <f>IF(HR_Data[[#This Row],[age]]&lt;25,"Under 25",IF(HR_Data[[#This Row],[age]]&lt;35,"25-34",IF(HR_Data[[#This Row],[age]]&lt;45,"35-44",IF(HR_Data[[#This Row],[age]]&lt;55,"45-54","55+"))))</f>
        <v>45-54</v>
      </c>
      <c r="X1270" t="str">
        <f t="shared" si="19"/>
        <v>8,000+</v>
      </c>
    </row>
    <row r="1271" spans="1:24" x14ac:dyDescent="0.3">
      <c r="A1271">
        <v>1778</v>
      </c>
      <c r="B1271">
        <v>43</v>
      </c>
      <c r="C1271" t="s">
        <v>36</v>
      </c>
      <c r="D1271" t="s">
        <v>23</v>
      </c>
      <c r="E1271" t="s">
        <v>62</v>
      </c>
      <c r="F1271">
        <v>2</v>
      </c>
      <c r="G1271" t="s">
        <v>50</v>
      </c>
      <c r="H1271" t="s">
        <v>26</v>
      </c>
      <c r="I1271" t="s">
        <v>27</v>
      </c>
      <c r="J1271" t="s">
        <v>40</v>
      </c>
      <c r="K1271" t="s">
        <v>29</v>
      </c>
      <c r="L1271" t="s">
        <v>62</v>
      </c>
      <c r="M1271" t="s">
        <v>31</v>
      </c>
      <c r="N1271" t="s">
        <v>32</v>
      </c>
      <c r="O1271">
        <v>3539</v>
      </c>
      <c r="P1271">
        <v>0</v>
      </c>
      <c r="Q1271" t="s">
        <v>36</v>
      </c>
      <c r="R1271">
        <v>13</v>
      </c>
      <c r="S1271" t="s">
        <v>33</v>
      </c>
      <c r="T1271" t="s">
        <v>27</v>
      </c>
      <c r="U1271">
        <v>5</v>
      </c>
      <c r="V1271" t="s">
        <v>44</v>
      </c>
      <c r="W1271" t="str">
        <f>IF(HR_Data[[#This Row],[age]]&lt;25,"Under 25",IF(HR_Data[[#This Row],[age]]&lt;35,"25-34",IF(HR_Data[[#This Row],[age]]&lt;45,"35-44",IF(HR_Data[[#This Row],[age]]&lt;55,"45-54","55+"))))</f>
        <v>35-44</v>
      </c>
      <c r="X1271" t="str">
        <f t="shared" si="19"/>
        <v>3,000-4,999</v>
      </c>
    </row>
    <row r="1272" spans="1:24" x14ac:dyDescent="0.3">
      <c r="A1272">
        <v>1779</v>
      </c>
      <c r="B1272">
        <v>34</v>
      </c>
      <c r="C1272" t="s">
        <v>36</v>
      </c>
      <c r="D1272" t="s">
        <v>23</v>
      </c>
      <c r="E1272" t="s">
        <v>24</v>
      </c>
      <c r="F1272">
        <v>3</v>
      </c>
      <c r="G1272" t="s">
        <v>25</v>
      </c>
      <c r="H1272" t="s">
        <v>26</v>
      </c>
      <c r="I1272" t="s">
        <v>31</v>
      </c>
      <c r="J1272" t="s">
        <v>28</v>
      </c>
      <c r="K1272" t="s">
        <v>34</v>
      </c>
      <c r="L1272" t="s">
        <v>30</v>
      </c>
      <c r="M1272" t="s">
        <v>31</v>
      </c>
      <c r="N1272" t="s">
        <v>32</v>
      </c>
      <c r="O1272">
        <v>6029</v>
      </c>
      <c r="P1272">
        <v>5</v>
      </c>
      <c r="Q1272" t="s">
        <v>36</v>
      </c>
      <c r="R1272">
        <v>12</v>
      </c>
      <c r="S1272" t="s">
        <v>33</v>
      </c>
      <c r="T1272" t="s">
        <v>34</v>
      </c>
      <c r="U1272">
        <v>3</v>
      </c>
      <c r="V1272" t="s">
        <v>44</v>
      </c>
      <c r="W1272" t="str">
        <f>IF(HR_Data[[#This Row],[age]]&lt;25,"Under 25",IF(HR_Data[[#This Row],[age]]&lt;35,"25-34",IF(HR_Data[[#This Row],[age]]&lt;45,"35-44",IF(HR_Data[[#This Row],[age]]&lt;55,"45-54","55+"))))</f>
        <v>25-34</v>
      </c>
      <c r="X1272" t="str">
        <f t="shared" si="19"/>
        <v>5,000-7,999</v>
      </c>
    </row>
    <row r="1273" spans="1:24" x14ac:dyDescent="0.3">
      <c r="A1273">
        <v>1780</v>
      </c>
      <c r="B1273">
        <v>21</v>
      </c>
      <c r="C1273" t="s">
        <v>22</v>
      </c>
      <c r="D1273" t="s">
        <v>23</v>
      </c>
      <c r="E1273" t="s">
        <v>24</v>
      </c>
      <c r="F1273">
        <v>7</v>
      </c>
      <c r="G1273" t="s">
        <v>39</v>
      </c>
      <c r="H1273" t="s">
        <v>58</v>
      </c>
      <c r="I1273" t="s">
        <v>27</v>
      </c>
      <c r="J1273" t="s">
        <v>40</v>
      </c>
      <c r="K1273" t="s">
        <v>29</v>
      </c>
      <c r="L1273" t="s">
        <v>56</v>
      </c>
      <c r="M1273" t="s">
        <v>27</v>
      </c>
      <c r="N1273" t="s">
        <v>32</v>
      </c>
      <c r="O1273">
        <v>2679</v>
      </c>
      <c r="P1273">
        <v>1</v>
      </c>
      <c r="Q1273" t="s">
        <v>36</v>
      </c>
      <c r="R1273">
        <v>13</v>
      </c>
      <c r="S1273" t="s">
        <v>33</v>
      </c>
      <c r="T1273" t="s">
        <v>27</v>
      </c>
      <c r="U1273">
        <v>3</v>
      </c>
      <c r="V1273" t="s">
        <v>44</v>
      </c>
      <c r="W1273" t="str">
        <f>IF(HR_Data[[#This Row],[age]]&lt;25,"Under 25",IF(HR_Data[[#This Row],[age]]&lt;35,"25-34",IF(HR_Data[[#This Row],[age]]&lt;45,"35-44",IF(HR_Data[[#This Row],[age]]&lt;55,"45-54","55+"))))</f>
        <v>Under 25</v>
      </c>
      <c r="X1273" t="str">
        <f t="shared" si="19"/>
        <v>Below 3,000</v>
      </c>
    </row>
    <row r="1274" spans="1:24" x14ac:dyDescent="0.3">
      <c r="A1274">
        <v>1782</v>
      </c>
      <c r="B1274">
        <v>38</v>
      </c>
      <c r="C1274" t="s">
        <v>36</v>
      </c>
      <c r="D1274" t="s">
        <v>23</v>
      </c>
      <c r="E1274" t="s">
        <v>38</v>
      </c>
      <c r="F1274">
        <v>6</v>
      </c>
      <c r="G1274" t="s">
        <v>25</v>
      </c>
      <c r="H1274" t="s">
        <v>45</v>
      </c>
      <c r="I1274" t="s">
        <v>31</v>
      </c>
      <c r="J1274" t="s">
        <v>28</v>
      </c>
      <c r="K1274" t="s">
        <v>27</v>
      </c>
      <c r="L1274" t="s">
        <v>46</v>
      </c>
      <c r="M1274" t="s">
        <v>29</v>
      </c>
      <c r="N1274" t="s">
        <v>42</v>
      </c>
      <c r="O1274">
        <v>3702</v>
      </c>
      <c r="P1274">
        <v>1</v>
      </c>
      <c r="Q1274" t="s">
        <v>36</v>
      </c>
      <c r="R1274">
        <v>11</v>
      </c>
      <c r="S1274" t="s">
        <v>33</v>
      </c>
      <c r="T1274" t="s">
        <v>27</v>
      </c>
      <c r="U1274">
        <v>3</v>
      </c>
      <c r="V1274" t="s">
        <v>44</v>
      </c>
      <c r="W1274" t="str">
        <f>IF(HR_Data[[#This Row],[age]]&lt;25,"Under 25",IF(HR_Data[[#This Row],[age]]&lt;35,"25-34",IF(HR_Data[[#This Row],[age]]&lt;45,"35-44",IF(HR_Data[[#This Row],[age]]&lt;55,"45-54","55+"))))</f>
        <v>35-44</v>
      </c>
      <c r="X1274" t="str">
        <f t="shared" si="19"/>
        <v>3,000-4,999</v>
      </c>
    </row>
    <row r="1275" spans="1:24" x14ac:dyDescent="0.3">
      <c r="A1275">
        <v>1783</v>
      </c>
      <c r="B1275">
        <v>22</v>
      </c>
      <c r="C1275" t="s">
        <v>22</v>
      </c>
      <c r="D1275" t="s">
        <v>23</v>
      </c>
      <c r="E1275" t="s">
        <v>38</v>
      </c>
      <c r="F1275">
        <v>8</v>
      </c>
      <c r="G1275" t="s">
        <v>39</v>
      </c>
      <c r="H1275" t="s">
        <v>48</v>
      </c>
      <c r="I1275" t="s">
        <v>29</v>
      </c>
      <c r="J1275" t="s">
        <v>28</v>
      </c>
      <c r="K1275" t="s">
        <v>29</v>
      </c>
      <c r="L1275" t="s">
        <v>46</v>
      </c>
      <c r="M1275" t="s">
        <v>34</v>
      </c>
      <c r="N1275" t="s">
        <v>42</v>
      </c>
      <c r="O1275">
        <v>2398</v>
      </c>
      <c r="P1275">
        <v>1</v>
      </c>
      <c r="Q1275" t="s">
        <v>22</v>
      </c>
      <c r="R1275">
        <v>17</v>
      </c>
      <c r="S1275" t="s">
        <v>33</v>
      </c>
      <c r="T1275" t="s">
        <v>29</v>
      </c>
      <c r="U1275">
        <v>6</v>
      </c>
      <c r="V1275" t="s">
        <v>44</v>
      </c>
      <c r="W1275" t="str">
        <f>IF(HR_Data[[#This Row],[age]]&lt;25,"Under 25",IF(HR_Data[[#This Row],[age]]&lt;35,"25-34",IF(HR_Data[[#This Row],[age]]&lt;45,"35-44",IF(HR_Data[[#This Row],[age]]&lt;55,"45-54","55+"))))</f>
        <v>Under 25</v>
      </c>
      <c r="X1275" t="str">
        <f t="shared" si="19"/>
        <v>Below 3,000</v>
      </c>
    </row>
    <row r="1276" spans="1:24" x14ac:dyDescent="0.3">
      <c r="A1276">
        <v>1784</v>
      </c>
      <c r="B1276">
        <v>31</v>
      </c>
      <c r="C1276" t="s">
        <v>36</v>
      </c>
      <c r="D1276" t="s">
        <v>23</v>
      </c>
      <c r="E1276" t="s">
        <v>24</v>
      </c>
      <c r="F1276">
        <v>29</v>
      </c>
      <c r="G1276" t="s">
        <v>47</v>
      </c>
      <c r="H1276" t="s">
        <v>58</v>
      </c>
      <c r="I1276" t="s">
        <v>34</v>
      </c>
      <c r="J1276" t="s">
        <v>28</v>
      </c>
      <c r="K1276" t="s">
        <v>27</v>
      </c>
      <c r="L1276" t="s">
        <v>30</v>
      </c>
      <c r="M1276" t="s">
        <v>31</v>
      </c>
      <c r="N1276" t="s">
        <v>42</v>
      </c>
      <c r="O1276">
        <v>5468</v>
      </c>
      <c r="P1276">
        <v>1</v>
      </c>
      <c r="Q1276" t="s">
        <v>36</v>
      </c>
      <c r="R1276">
        <v>14</v>
      </c>
      <c r="S1276" t="s">
        <v>33</v>
      </c>
      <c r="T1276" t="s">
        <v>34</v>
      </c>
      <c r="U1276">
        <v>3</v>
      </c>
      <c r="V1276" t="s">
        <v>44</v>
      </c>
      <c r="W1276" t="str">
        <f>IF(HR_Data[[#This Row],[age]]&lt;25,"Under 25",IF(HR_Data[[#This Row],[age]]&lt;35,"25-34",IF(HR_Data[[#This Row],[age]]&lt;45,"35-44",IF(HR_Data[[#This Row],[age]]&lt;55,"45-54","55+"))))</f>
        <v>25-34</v>
      </c>
      <c r="X1276" t="str">
        <f t="shared" si="19"/>
        <v>5,000-7,999</v>
      </c>
    </row>
    <row r="1277" spans="1:24" x14ac:dyDescent="0.3">
      <c r="A1277">
        <v>1786</v>
      </c>
      <c r="B1277">
        <v>51</v>
      </c>
      <c r="C1277" t="s">
        <v>36</v>
      </c>
      <c r="D1277" t="s">
        <v>23</v>
      </c>
      <c r="E1277" t="s">
        <v>38</v>
      </c>
      <c r="F1277">
        <v>3</v>
      </c>
      <c r="G1277" t="s">
        <v>50</v>
      </c>
      <c r="H1277" t="s">
        <v>60</v>
      </c>
      <c r="I1277" t="s">
        <v>34</v>
      </c>
      <c r="J1277" t="s">
        <v>28</v>
      </c>
      <c r="K1277" t="s">
        <v>29</v>
      </c>
      <c r="L1277" t="s">
        <v>55</v>
      </c>
      <c r="M1277" t="s">
        <v>29</v>
      </c>
      <c r="N1277" t="s">
        <v>42</v>
      </c>
      <c r="O1277">
        <v>13116</v>
      </c>
      <c r="P1277">
        <v>2</v>
      </c>
      <c r="Q1277" t="s">
        <v>36</v>
      </c>
      <c r="R1277">
        <v>11</v>
      </c>
      <c r="S1277" t="s">
        <v>33</v>
      </c>
      <c r="T1277" t="s">
        <v>31</v>
      </c>
      <c r="U1277">
        <v>2</v>
      </c>
      <c r="V1277" t="s">
        <v>44</v>
      </c>
      <c r="W1277" t="str">
        <f>IF(HR_Data[[#This Row],[age]]&lt;25,"Under 25",IF(HR_Data[[#This Row],[age]]&lt;35,"25-34",IF(HR_Data[[#This Row],[age]]&lt;45,"35-44",IF(HR_Data[[#This Row],[age]]&lt;55,"45-54","55+"))))</f>
        <v>45-54</v>
      </c>
      <c r="X1277" t="str">
        <f t="shared" si="19"/>
        <v>8,000+</v>
      </c>
    </row>
    <row r="1278" spans="1:24" x14ac:dyDescent="0.3">
      <c r="A1278">
        <v>1787</v>
      </c>
      <c r="B1278">
        <v>37</v>
      </c>
      <c r="C1278" t="s">
        <v>36</v>
      </c>
      <c r="D1278" t="s">
        <v>23</v>
      </c>
      <c r="E1278" t="s">
        <v>24</v>
      </c>
      <c r="F1278">
        <v>9</v>
      </c>
      <c r="G1278" t="s">
        <v>25</v>
      </c>
      <c r="H1278" t="s">
        <v>58</v>
      </c>
      <c r="I1278" t="s">
        <v>27</v>
      </c>
      <c r="J1278" t="s">
        <v>40</v>
      </c>
      <c r="K1278" t="s">
        <v>27</v>
      </c>
      <c r="L1278" t="s">
        <v>30</v>
      </c>
      <c r="M1278" t="s">
        <v>27</v>
      </c>
      <c r="N1278" t="s">
        <v>42</v>
      </c>
      <c r="O1278">
        <v>4189</v>
      </c>
      <c r="P1278">
        <v>1</v>
      </c>
      <c r="Q1278" t="s">
        <v>36</v>
      </c>
      <c r="R1278">
        <v>14</v>
      </c>
      <c r="S1278" t="s">
        <v>33</v>
      </c>
      <c r="T1278" t="s">
        <v>34</v>
      </c>
      <c r="U1278">
        <v>2</v>
      </c>
      <c r="V1278" t="s">
        <v>44</v>
      </c>
      <c r="W1278" t="str">
        <f>IF(HR_Data[[#This Row],[age]]&lt;25,"Under 25",IF(HR_Data[[#This Row],[age]]&lt;35,"25-34",IF(HR_Data[[#This Row],[age]]&lt;45,"35-44",IF(HR_Data[[#This Row],[age]]&lt;55,"45-54","55+"))))</f>
        <v>35-44</v>
      </c>
      <c r="X1278" t="str">
        <f t="shared" si="19"/>
        <v>3,000-4,999</v>
      </c>
    </row>
    <row r="1279" spans="1:24" x14ac:dyDescent="0.3">
      <c r="A1279">
        <v>1789</v>
      </c>
      <c r="B1279">
        <v>46</v>
      </c>
      <c r="C1279" t="s">
        <v>36</v>
      </c>
      <c r="D1279" t="s">
        <v>23</v>
      </c>
      <c r="E1279" t="s">
        <v>38</v>
      </c>
      <c r="F1279">
        <v>2</v>
      </c>
      <c r="G1279" t="s">
        <v>47</v>
      </c>
      <c r="H1279" t="s">
        <v>48</v>
      </c>
      <c r="I1279" t="s">
        <v>29</v>
      </c>
      <c r="J1279" t="s">
        <v>40</v>
      </c>
      <c r="K1279" t="s">
        <v>29</v>
      </c>
      <c r="L1279" t="s">
        <v>57</v>
      </c>
      <c r="M1279" t="s">
        <v>31</v>
      </c>
      <c r="N1279" t="s">
        <v>51</v>
      </c>
      <c r="O1279">
        <v>19328</v>
      </c>
      <c r="P1279">
        <v>7</v>
      </c>
      <c r="Q1279" t="s">
        <v>22</v>
      </c>
      <c r="R1279">
        <v>17</v>
      </c>
      <c r="S1279" t="s">
        <v>33</v>
      </c>
      <c r="T1279" t="s">
        <v>29</v>
      </c>
      <c r="U1279">
        <v>3</v>
      </c>
      <c r="V1279" t="s">
        <v>44</v>
      </c>
      <c r="W1279" t="str">
        <f>IF(HR_Data[[#This Row],[age]]&lt;25,"Under 25",IF(HR_Data[[#This Row],[age]]&lt;35,"25-34",IF(HR_Data[[#This Row],[age]]&lt;45,"35-44",IF(HR_Data[[#This Row],[age]]&lt;55,"45-54","55+"))))</f>
        <v>45-54</v>
      </c>
      <c r="X1279" t="str">
        <f t="shared" si="19"/>
        <v>8,000+</v>
      </c>
    </row>
    <row r="1280" spans="1:24" x14ac:dyDescent="0.3">
      <c r="A1280">
        <v>1790</v>
      </c>
      <c r="B1280">
        <v>36</v>
      </c>
      <c r="C1280" t="s">
        <v>36</v>
      </c>
      <c r="D1280" t="s">
        <v>23</v>
      </c>
      <c r="E1280" t="s">
        <v>38</v>
      </c>
      <c r="F1280">
        <v>10</v>
      </c>
      <c r="G1280" t="s">
        <v>50</v>
      </c>
      <c r="H1280" t="s">
        <v>26</v>
      </c>
      <c r="I1280" t="s">
        <v>31</v>
      </c>
      <c r="J1280" t="s">
        <v>40</v>
      </c>
      <c r="K1280" t="s">
        <v>29</v>
      </c>
      <c r="L1280" t="s">
        <v>53</v>
      </c>
      <c r="M1280" t="s">
        <v>34</v>
      </c>
      <c r="N1280" t="s">
        <v>42</v>
      </c>
      <c r="O1280">
        <v>8321</v>
      </c>
      <c r="P1280">
        <v>7</v>
      </c>
      <c r="Q1280" t="s">
        <v>22</v>
      </c>
      <c r="R1280">
        <v>13</v>
      </c>
      <c r="S1280" t="s">
        <v>33</v>
      </c>
      <c r="T1280" t="s">
        <v>31</v>
      </c>
      <c r="U1280">
        <v>1</v>
      </c>
      <c r="V1280" t="s">
        <v>44</v>
      </c>
      <c r="W1280" t="str">
        <f>IF(HR_Data[[#This Row],[age]]&lt;25,"Under 25",IF(HR_Data[[#This Row],[age]]&lt;35,"25-34",IF(HR_Data[[#This Row],[age]]&lt;45,"35-44",IF(HR_Data[[#This Row],[age]]&lt;55,"45-54","55+"))))</f>
        <v>35-44</v>
      </c>
      <c r="X1280" t="str">
        <f t="shared" si="19"/>
        <v>8,000+</v>
      </c>
    </row>
    <row r="1281" spans="1:24" x14ac:dyDescent="0.3">
      <c r="A1281">
        <v>1792</v>
      </c>
      <c r="B1281">
        <v>44</v>
      </c>
      <c r="C1281" t="s">
        <v>22</v>
      </c>
      <c r="D1281" t="s">
        <v>37</v>
      </c>
      <c r="E1281" t="s">
        <v>38</v>
      </c>
      <c r="F1281">
        <v>1</v>
      </c>
      <c r="G1281" t="s">
        <v>25</v>
      </c>
      <c r="H1281" t="s">
        <v>48</v>
      </c>
      <c r="I1281" t="s">
        <v>29</v>
      </c>
      <c r="J1281" t="s">
        <v>40</v>
      </c>
      <c r="K1281" t="s">
        <v>29</v>
      </c>
      <c r="L1281" t="s">
        <v>41</v>
      </c>
      <c r="M1281" t="s">
        <v>27</v>
      </c>
      <c r="N1281" t="s">
        <v>51</v>
      </c>
      <c r="O1281">
        <v>2342</v>
      </c>
      <c r="P1281">
        <v>1</v>
      </c>
      <c r="Q1281" t="s">
        <v>22</v>
      </c>
      <c r="R1281">
        <v>12</v>
      </c>
      <c r="S1281" t="s">
        <v>33</v>
      </c>
      <c r="T1281" t="s">
        <v>29</v>
      </c>
      <c r="U1281">
        <v>2</v>
      </c>
      <c r="V1281" t="s">
        <v>49</v>
      </c>
      <c r="W1281" t="str">
        <f>IF(HR_Data[[#This Row],[age]]&lt;25,"Under 25",IF(HR_Data[[#This Row],[age]]&lt;35,"25-34",IF(HR_Data[[#This Row],[age]]&lt;45,"35-44",IF(HR_Data[[#This Row],[age]]&lt;55,"45-54","55+"))))</f>
        <v>35-44</v>
      </c>
      <c r="X1281" t="str">
        <f t="shared" si="19"/>
        <v>Below 3,000</v>
      </c>
    </row>
    <row r="1282" spans="1:24" x14ac:dyDescent="0.3">
      <c r="A1282">
        <v>1794</v>
      </c>
      <c r="B1282">
        <v>37</v>
      </c>
      <c r="C1282" t="s">
        <v>36</v>
      </c>
      <c r="D1282" t="s">
        <v>23</v>
      </c>
      <c r="E1282" t="s">
        <v>62</v>
      </c>
      <c r="F1282">
        <v>8</v>
      </c>
      <c r="G1282" t="s">
        <v>25</v>
      </c>
      <c r="H1282" t="s">
        <v>45</v>
      </c>
      <c r="I1282" t="s">
        <v>29</v>
      </c>
      <c r="J1282" t="s">
        <v>40</v>
      </c>
      <c r="K1282" t="s">
        <v>29</v>
      </c>
      <c r="L1282" t="s">
        <v>62</v>
      </c>
      <c r="M1282" t="s">
        <v>27</v>
      </c>
      <c r="N1282" t="s">
        <v>51</v>
      </c>
      <c r="O1282">
        <v>4071</v>
      </c>
      <c r="P1282">
        <v>2</v>
      </c>
      <c r="Q1282" t="s">
        <v>36</v>
      </c>
      <c r="R1282">
        <v>13</v>
      </c>
      <c r="S1282" t="s">
        <v>33</v>
      </c>
      <c r="T1282" t="s">
        <v>29</v>
      </c>
      <c r="U1282">
        <v>4</v>
      </c>
      <c r="V1282" t="s">
        <v>49</v>
      </c>
      <c r="W1282" t="str">
        <f>IF(HR_Data[[#This Row],[age]]&lt;25,"Under 25",IF(HR_Data[[#This Row],[age]]&lt;35,"25-34",IF(HR_Data[[#This Row],[age]]&lt;45,"35-44",IF(HR_Data[[#This Row],[age]]&lt;55,"45-54","55+"))))</f>
        <v>35-44</v>
      </c>
      <c r="X1282" t="str">
        <f t="shared" si="19"/>
        <v>3,000-4,999</v>
      </c>
    </row>
    <row r="1283" spans="1:24" x14ac:dyDescent="0.3">
      <c r="A1283">
        <v>1797</v>
      </c>
      <c r="B1283">
        <v>35</v>
      </c>
      <c r="C1283" t="s">
        <v>22</v>
      </c>
      <c r="D1283" t="s">
        <v>23</v>
      </c>
      <c r="E1283" t="s">
        <v>24</v>
      </c>
      <c r="F1283">
        <v>27</v>
      </c>
      <c r="G1283" t="s">
        <v>50</v>
      </c>
      <c r="H1283" t="s">
        <v>26</v>
      </c>
      <c r="I1283" t="s">
        <v>29</v>
      </c>
      <c r="J1283" t="s">
        <v>40</v>
      </c>
      <c r="K1283" t="s">
        <v>29</v>
      </c>
      <c r="L1283" t="s">
        <v>30</v>
      </c>
      <c r="M1283" t="s">
        <v>31</v>
      </c>
      <c r="N1283" t="s">
        <v>32</v>
      </c>
      <c r="O1283">
        <v>5813</v>
      </c>
      <c r="P1283">
        <v>1</v>
      </c>
      <c r="Q1283" t="s">
        <v>22</v>
      </c>
      <c r="R1283">
        <v>18</v>
      </c>
      <c r="S1283" t="s">
        <v>33</v>
      </c>
      <c r="T1283" t="s">
        <v>31</v>
      </c>
      <c r="U1283">
        <v>2</v>
      </c>
      <c r="V1283" t="s">
        <v>44</v>
      </c>
      <c r="W1283" t="str">
        <f>IF(HR_Data[[#This Row],[age]]&lt;25,"Under 25",IF(HR_Data[[#This Row],[age]]&lt;35,"25-34",IF(HR_Data[[#This Row],[age]]&lt;45,"35-44",IF(HR_Data[[#This Row],[age]]&lt;55,"45-54","55+"))))</f>
        <v>35-44</v>
      </c>
      <c r="X1283" t="str">
        <f t="shared" ref="X1283:X1346" si="20">IF(O1283&lt;3000,"Below 3,000",IF(O1283&lt;5000,"3,000-4,999",IF(O1283&lt;8000,"5,000-7,999","8,000+")))</f>
        <v>5,000-7,999</v>
      </c>
    </row>
    <row r="1284" spans="1:24" x14ac:dyDescent="0.3">
      <c r="A1284">
        <v>1798</v>
      </c>
      <c r="B1284">
        <v>33</v>
      </c>
      <c r="C1284" t="s">
        <v>36</v>
      </c>
      <c r="D1284" t="s">
        <v>23</v>
      </c>
      <c r="E1284" t="s">
        <v>38</v>
      </c>
      <c r="F1284">
        <v>8</v>
      </c>
      <c r="G1284" t="s">
        <v>47</v>
      </c>
      <c r="H1284" t="s">
        <v>26</v>
      </c>
      <c r="I1284" t="s">
        <v>31</v>
      </c>
      <c r="J1284" t="s">
        <v>40</v>
      </c>
      <c r="K1284" t="s">
        <v>31</v>
      </c>
      <c r="L1284" t="s">
        <v>41</v>
      </c>
      <c r="M1284" t="s">
        <v>34</v>
      </c>
      <c r="N1284" t="s">
        <v>42</v>
      </c>
      <c r="O1284">
        <v>3143</v>
      </c>
      <c r="P1284">
        <v>6</v>
      </c>
      <c r="Q1284" t="s">
        <v>36</v>
      </c>
      <c r="R1284">
        <v>19</v>
      </c>
      <c r="S1284" t="s">
        <v>33</v>
      </c>
      <c r="T1284" t="s">
        <v>27</v>
      </c>
      <c r="U1284">
        <v>1</v>
      </c>
      <c r="V1284" t="s">
        <v>44</v>
      </c>
      <c r="W1284" t="str">
        <f>IF(HR_Data[[#This Row],[age]]&lt;25,"Under 25",IF(HR_Data[[#This Row],[age]]&lt;35,"25-34",IF(HR_Data[[#This Row],[age]]&lt;45,"35-44",IF(HR_Data[[#This Row],[age]]&lt;55,"45-54","55+"))))</f>
        <v>25-34</v>
      </c>
      <c r="X1284" t="str">
        <f t="shared" si="20"/>
        <v>3,000-4,999</v>
      </c>
    </row>
    <row r="1285" spans="1:24" x14ac:dyDescent="0.3">
      <c r="A1285">
        <v>1799</v>
      </c>
      <c r="B1285">
        <v>28</v>
      </c>
      <c r="C1285" t="s">
        <v>36</v>
      </c>
      <c r="D1285" t="s">
        <v>23</v>
      </c>
      <c r="E1285" t="s">
        <v>38</v>
      </c>
      <c r="F1285">
        <v>1</v>
      </c>
      <c r="G1285" t="s">
        <v>50</v>
      </c>
      <c r="H1285" t="s">
        <v>26</v>
      </c>
      <c r="I1285" t="s">
        <v>29</v>
      </c>
      <c r="J1285" t="s">
        <v>40</v>
      </c>
      <c r="K1285" t="s">
        <v>29</v>
      </c>
      <c r="L1285" t="s">
        <v>41</v>
      </c>
      <c r="M1285" t="s">
        <v>31</v>
      </c>
      <c r="N1285" t="s">
        <v>42</v>
      </c>
      <c r="O1285">
        <v>2044</v>
      </c>
      <c r="P1285">
        <v>1</v>
      </c>
      <c r="Q1285" t="s">
        <v>36</v>
      </c>
      <c r="R1285">
        <v>11</v>
      </c>
      <c r="S1285" t="s">
        <v>33</v>
      </c>
      <c r="T1285" t="s">
        <v>29</v>
      </c>
      <c r="U1285">
        <v>6</v>
      </c>
      <c r="V1285" t="s">
        <v>59</v>
      </c>
      <c r="W1285" t="str">
        <f>IF(HR_Data[[#This Row],[age]]&lt;25,"Under 25",IF(HR_Data[[#This Row],[age]]&lt;35,"25-34",IF(HR_Data[[#This Row],[age]]&lt;45,"35-44",IF(HR_Data[[#This Row],[age]]&lt;55,"45-54","55+"))))</f>
        <v>25-34</v>
      </c>
      <c r="X1285" t="str">
        <f t="shared" si="20"/>
        <v>Below 3,000</v>
      </c>
    </row>
    <row r="1286" spans="1:24" x14ac:dyDescent="0.3">
      <c r="A1286">
        <v>1800</v>
      </c>
      <c r="B1286">
        <v>39</v>
      </c>
      <c r="C1286" t="s">
        <v>36</v>
      </c>
      <c r="D1286" t="s">
        <v>23</v>
      </c>
      <c r="E1286" t="s">
        <v>38</v>
      </c>
      <c r="F1286">
        <v>10</v>
      </c>
      <c r="G1286" t="s">
        <v>39</v>
      </c>
      <c r="H1286" t="s">
        <v>48</v>
      </c>
      <c r="I1286" t="s">
        <v>29</v>
      </c>
      <c r="J1286" t="s">
        <v>40</v>
      </c>
      <c r="K1286" t="s">
        <v>29</v>
      </c>
      <c r="L1286" t="s">
        <v>57</v>
      </c>
      <c r="M1286" t="s">
        <v>29</v>
      </c>
      <c r="N1286" t="s">
        <v>32</v>
      </c>
      <c r="O1286">
        <v>13464</v>
      </c>
      <c r="P1286">
        <v>7</v>
      </c>
      <c r="Q1286" t="s">
        <v>36</v>
      </c>
      <c r="R1286">
        <v>21</v>
      </c>
      <c r="S1286" t="s">
        <v>43</v>
      </c>
      <c r="T1286" t="s">
        <v>29</v>
      </c>
      <c r="U1286">
        <v>3</v>
      </c>
      <c r="V1286" t="s">
        <v>44</v>
      </c>
      <c r="W1286" t="str">
        <f>IF(HR_Data[[#This Row],[age]]&lt;25,"Under 25",IF(HR_Data[[#This Row],[age]]&lt;35,"25-34",IF(HR_Data[[#This Row],[age]]&lt;45,"35-44",IF(HR_Data[[#This Row],[age]]&lt;55,"45-54","55+"))))</f>
        <v>35-44</v>
      </c>
      <c r="X1286" t="str">
        <f t="shared" si="20"/>
        <v>8,000+</v>
      </c>
    </row>
    <row r="1287" spans="1:24" x14ac:dyDescent="0.3">
      <c r="A1287">
        <v>1801</v>
      </c>
      <c r="B1287">
        <v>46</v>
      </c>
      <c r="C1287" t="s">
        <v>36</v>
      </c>
      <c r="D1287" t="s">
        <v>54</v>
      </c>
      <c r="E1287" t="s">
        <v>24</v>
      </c>
      <c r="F1287">
        <v>26</v>
      </c>
      <c r="G1287" t="s">
        <v>25</v>
      </c>
      <c r="H1287" t="s">
        <v>26</v>
      </c>
      <c r="I1287" t="s">
        <v>27</v>
      </c>
      <c r="J1287" t="s">
        <v>40</v>
      </c>
      <c r="K1287" t="s">
        <v>27</v>
      </c>
      <c r="L1287" t="s">
        <v>30</v>
      </c>
      <c r="M1287" t="s">
        <v>27</v>
      </c>
      <c r="N1287" t="s">
        <v>32</v>
      </c>
      <c r="O1287">
        <v>7991</v>
      </c>
      <c r="P1287">
        <v>8</v>
      </c>
      <c r="Q1287" t="s">
        <v>36</v>
      </c>
      <c r="R1287">
        <v>15</v>
      </c>
      <c r="S1287" t="s">
        <v>33</v>
      </c>
      <c r="T1287" t="s">
        <v>29</v>
      </c>
      <c r="U1287">
        <v>3</v>
      </c>
      <c r="V1287" t="s">
        <v>44</v>
      </c>
      <c r="W1287" t="str">
        <f>IF(HR_Data[[#This Row],[age]]&lt;25,"Under 25",IF(HR_Data[[#This Row],[age]]&lt;35,"25-34",IF(HR_Data[[#This Row],[age]]&lt;45,"35-44",IF(HR_Data[[#This Row],[age]]&lt;55,"45-54","55+"))))</f>
        <v>45-54</v>
      </c>
      <c r="X1287" t="str">
        <f t="shared" si="20"/>
        <v>5,000-7,999</v>
      </c>
    </row>
    <row r="1288" spans="1:24" x14ac:dyDescent="0.3">
      <c r="A1288">
        <v>1802</v>
      </c>
      <c r="B1288">
        <v>40</v>
      </c>
      <c r="C1288" t="s">
        <v>36</v>
      </c>
      <c r="D1288" t="s">
        <v>23</v>
      </c>
      <c r="E1288" t="s">
        <v>38</v>
      </c>
      <c r="F1288">
        <v>2</v>
      </c>
      <c r="G1288" t="s">
        <v>25</v>
      </c>
      <c r="H1288" t="s">
        <v>26</v>
      </c>
      <c r="I1288" t="s">
        <v>29</v>
      </c>
      <c r="J1288" t="s">
        <v>28</v>
      </c>
      <c r="K1288" t="s">
        <v>29</v>
      </c>
      <c r="L1288" t="s">
        <v>46</v>
      </c>
      <c r="M1288" t="s">
        <v>34</v>
      </c>
      <c r="N1288" t="s">
        <v>42</v>
      </c>
      <c r="O1288">
        <v>3377</v>
      </c>
      <c r="P1288">
        <v>4</v>
      </c>
      <c r="Q1288" t="s">
        <v>36</v>
      </c>
      <c r="R1288">
        <v>17</v>
      </c>
      <c r="S1288" t="s">
        <v>33</v>
      </c>
      <c r="T1288" t="s">
        <v>31</v>
      </c>
      <c r="U1288">
        <v>5</v>
      </c>
      <c r="V1288" t="s">
        <v>49</v>
      </c>
      <c r="W1288" t="str">
        <f>IF(HR_Data[[#This Row],[age]]&lt;25,"Under 25",IF(HR_Data[[#This Row],[age]]&lt;35,"25-34",IF(HR_Data[[#This Row],[age]]&lt;45,"35-44",IF(HR_Data[[#This Row],[age]]&lt;55,"45-54","55+"))))</f>
        <v>35-44</v>
      </c>
      <c r="X1288" t="str">
        <f t="shared" si="20"/>
        <v>3,000-4,999</v>
      </c>
    </row>
    <row r="1289" spans="1:24" x14ac:dyDescent="0.3">
      <c r="A1289">
        <v>1803</v>
      </c>
      <c r="B1289">
        <v>42</v>
      </c>
      <c r="C1289" t="s">
        <v>36</v>
      </c>
      <c r="D1289" t="s">
        <v>23</v>
      </c>
      <c r="E1289" t="s">
        <v>38</v>
      </c>
      <c r="F1289">
        <v>13</v>
      </c>
      <c r="G1289" t="s">
        <v>50</v>
      </c>
      <c r="H1289" t="s">
        <v>48</v>
      </c>
      <c r="I1289" t="s">
        <v>27</v>
      </c>
      <c r="J1289" t="s">
        <v>40</v>
      </c>
      <c r="K1289" t="s">
        <v>31</v>
      </c>
      <c r="L1289" t="s">
        <v>53</v>
      </c>
      <c r="M1289" t="s">
        <v>34</v>
      </c>
      <c r="N1289" t="s">
        <v>42</v>
      </c>
      <c r="O1289">
        <v>5538</v>
      </c>
      <c r="P1289">
        <v>5</v>
      </c>
      <c r="Q1289" t="s">
        <v>36</v>
      </c>
      <c r="R1289">
        <v>18</v>
      </c>
      <c r="S1289" t="s">
        <v>33</v>
      </c>
      <c r="T1289" t="s">
        <v>29</v>
      </c>
      <c r="U1289">
        <v>2</v>
      </c>
      <c r="V1289" t="s">
        <v>49</v>
      </c>
      <c r="W1289" t="str">
        <f>IF(HR_Data[[#This Row],[age]]&lt;25,"Under 25",IF(HR_Data[[#This Row],[age]]&lt;35,"25-34",IF(HR_Data[[#This Row],[age]]&lt;45,"35-44",IF(HR_Data[[#This Row],[age]]&lt;55,"45-54","55+"))))</f>
        <v>35-44</v>
      </c>
      <c r="X1289" t="str">
        <f t="shared" si="20"/>
        <v>5,000-7,999</v>
      </c>
    </row>
    <row r="1290" spans="1:24" x14ac:dyDescent="0.3">
      <c r="A1290">
        <v>1804</v>
      </c>
      <c r="B1290">
        <v>35</v>
      </c>
      <c r="C1290" t="s">
        <v>36</v>
      </c>
      <c r="D1290" t="s">
        <v>54</v>
      </c>
      <c r="E1290" t="s">
        <v>38</v>
      </c>
      <c r="F1290">
        <v>2</v>
      </c>
      <c r="G1290" t="s">
        <v>25</v>
      </c>
      <c r="H1290" t="s">
        <v>48</v>
      </c>
      <c r="I1290" t="s">
        <v>27</v>
      </c>
      <c r="J1290" t="s">
        <v>40</v>
      </c>
      <c r="K1290" t="s">
        <v>29</v>
      </c>
      <c r="L1290" t="s">
        <v>52</v>
      </c>
      <c r="M1290" t="s">
        <v>31</v>
      </c>
      <c r="N1290" t="s">
        <v>51</v>
      </c>
      <c r="O1290">
        <v>5762</v>
      </c>
      <c r="P1290">
        <v>2</v>
      </c>
      <c r="Q1290" t="s">
        <v>36</v>
      </c>
      <c r="R1290">
        <v>14</v>
      </c>
      <c r="S1290" t="s">
        <v>33</v>
      </c>
      <c r="T1290" t="s">
        <v>29</v>
      </c>
      <c r="U1290">
        <v>6</v>
      </c>
      <c r="V1290" t="s">
        <v>44</v>
      </c>
      <c r="W1290" t="str">
        <f>IF(HR_Data[[#This Row],[age]]&lt;25,"Under 25",IF(HR_Data[[#This Row],[age]]&lt;35,"25-34",IF(HR_Data[[#This Row],[age]]&lt;45,"35-44",IF(HR_Data[[#This Row],[age]]&lt;55,"45-54","55+"))))</f>
        <v>35-44</v>
      </c>
      <c r="X1290" t="str">
        <f t="shared" si="20"/>
        <v>5,000-7,999</v>
      </c>
    </row>
    <row r="1291" spans="1:24" x14ac:dyDescent="0.3">
      <c r="A1291">
        <v>1805</v>
      </c>
      <c r="B1291">
        <v>38</v>
      </c>
      <c r="C1291" t="s">
        <v>36</v>
      </c>
      <c r="D1291" t="s">
        <v>54</v>
      </c>
      <c r="E1291" t="s">
        <v>62</v>
      </c>
      <c r="F1291">
        <v>2</v>
      </c>
      <c r="G1291" t="s">
        <v>50</v>
      </c>
      <c r="H1291" t="s">
        <v>62</v>
      </c>
      <c r="I1291" t="s">
        <v>34</v>
      </c>
      <c r="J1291" t="s">
        <v>40</v>
      </c>
      <c r="K1291" t="s">
        <v>29</v>
      </c>
      <c r="L1291" t="s">
        <v>62</v>
      </c>
      <c r="M1291" t="s">
        <v>27</v>
      </c>
      <c r="N1291" t="s">
        <v>51</v>
      </c>
      <c r="O1291">
        <v>2592</v>
      </c>
      <c r="P1291">
        <v>5</v>
      </c>
      <c r="Q1291" t="s">
        <v>36</v>
      </c>
      <c r="R1291">
        <v>13</v>
      </c>
      <c r="S1291" t="s">
        <v>33</v>
      </c>
      <c r="T1291" t="s">
        <v>31</v>
      </c>
      <c r="U1291">
        <v>3</v>
      </c>
      <c r="V1291" t="s">
        <v>44</v>
      </c>
      <c r="W1291" t="str">
        <f>IF(HR_Data[[#This Row],[age]]&lt;25,"Under 25",IF(HR_Data[[#This Row],[age]]&lt;35,"25-34",IF(HR_Data[[#This Row],[age]]&lt;45,"35-44",IF(HR_Data[[#This Row],[age]]&lt;55,"45-54","55+"))))</f>
        <v>35-44</v>
      </c>
      <c r="X1291" t="str">
        <f t="shared" si="20"/>
        <v>Below 3,000</v>
      </c>
    </row>
    <row r="1292" spans="1:24" x14ac:dyDescent="0.3">
      <c r="A1292">
        <v>1807</v>
      </c>
      <c r="B1292">
        <v>34</v>
      </c>
      <c r="C1292" t="s">
        <v>22</v>
      </c>
      <c r="D1292" t="s">
        <v>37</v>
      </c>
      <c r="E1292" t="s">
        <v>38</v>
      </c>
      <c r="F1292">
        <v>9</v>
      </c>
      <c r="G1292" t="s">
        <v>47</v>
      </c>
      <c r="H1292" t="s">
        <v>26</v>
      </c>
      <c r="I1292" t="s">
        <v>31</v>
      </c>
      <c r="J1292" t="s">
        <v>40</v>
      </c>
      <c r="K1292" t="s">
        <v>29</v>
      </c>
      <c r="L1292" t="s">
        <v>46</v>
      </c>
      <c r="M1292" t="s">
        <v>34</v>
      </c>
      <c r="N1292" t="s">
        <v>42</v>
      </c>
      <c r="O1292">
        <v>5346</v>
      </c>
      <c r="P1292">
        <v>4</v>
      </c>
      <c r="Q1292" t="s">
        <v>36</v>
      </c>
      <c r="R1292">
        <v>17</v>
      </c>
      <c r="S1292" t="s">
        <v>33</v>
      </c>
      <c r="T1292" t="s">
        <v>29</v>
      </c>
      <c r="U1292">
        <v>3</v>
      </c>
      <c r="V1292" t="s">
        <v>49</v>
      </c>
      <c r="W1292" t="str">
        <f>IF(HR_Data[[#This Row],[age]]&lt;25,"Under 25",IF(HR_Data[[#This Row],[age]]&lt;35,"25-34",IF(HR_Data[[#This Row],[age]]&lt;45,"35-44",IF(HR_Data[[#This Row],[age]]&lt;55,"45-54","55+"))))</f>
        <v>25-34</v>
      </c>
      <c r="X1292" t="str">
        <f t="shared" si="20"/>
        <v>5,000-7,999</v>
      </c>
    </row>
    <row r="1293" spans="1:24" x14ac:dyDescent="0.3">
      <c r="A1293">
        <v>1809</v>
      </c>
      <c r="B1293">
        <v>37</v>
      </c>
      <c r="C1293" t="s">
        <v>22</v>
      </c>
      <c r="D1293" t="s">
        <v>23</v>
      </c>
      <c r="E1293" t="s">
        <v>38</v>
      </c>
      <c r="F1293">
        <v>10</v>
      </c>
      <c r="G1293" t="s">
        <v>47</v>
      </c>
      <c r="H1293" t="s">
        <v>48</v>
      </c>
      <c r="I1293" t="s">
        <v>31</v>
      </c>
      <c r="J1293" t="s">
        <v>40</v>
      </c>
      <c r="K1293" t="s">
        <v>29</v>
      </c>
      <c r="L1293" t="s">
        <v>52</v>
      </c>
      <c r="M1293" t="s">
        <v>34</v>
      </c>
      <c r="N1293" t="s">
        <v>32</v>
      </c>
      <c r="O1293">
        <v>4213</v>
      </c>
      <c r="P1293">
        <v>1</v>
      </c>
      <c r="Q1293" t="s">
        <v>36</v>
      </c>
      <c r="R1293">
        <v>15</v>
      </c>
      <c r="S1293" t="s">
        <v>33</v>
      </c>
      <c r="T1293" t="s">
        <v>27</v>
      </c>
      <c r="U1293">
        <v>4</v>
      </c>
      <c r="V1293" t="s">
        <v>35</v>
      </c>
      <c r="W1293" t="str">
        <f>IF(HR_Data[[#This Row],[age]]&lt;25,"Under 25",IF(HR_Data[[#This Row],[age]]&lt;35,"25-34",IF(HR_Data[[#This Row],[age]]&lt;45,"35-44",IF(HR_Data[[#This Row],[age]]&lt;55,"45-54","55+"))))</f>
        <v>35-44</v>
      </c>
      <c r="X1293" t="str">
        <f t="shared" si="20"/>
        <v>3,000-4,999</v>
      </c>
    </row>
    <row r="1294" spans="1:24" x14ac:dyDescent="0.3">
      <c r="A1294">
        <v>1812</v>
      </c>
      <c r="B1294">
        <v>39</v>
      </c>
      <c r="C1294" t="s">
        <v>36</v>
      </c>
      <c r="D1294" t="s">
        <v>37</v>
      </c>
      <c r="E1294" t="s">
        <v>24</v>
      </c>
      <c r="F1294">
        <v>20</v>
      </c>
      <c r="G1294" t="s">
        <v>50</v>
      </c>
      <c r="H1294" t="s">
        <v>26</v>
      </c>
      <c r="I1294" t="s">
        <v>29</v>
      </c>
      <c r="J1294" t="s">
        <v>40</v>
      </c>
      <c r="K1294" t="s">
        <v>29</v>
      </c>
      <c r="L1294" t="s">
        <v>30</v>
      </c>
      <c r="M1294" t="s">
        <v>31</v>
      </c>
      <c r="N1294" t="s">
        <v>51</v>
      </c>
      <c r="O1294">
        <v>4127</v>
      </c>
      <c r="P1294">
        <v>2</v>
      </c>
      <c r="Q1294" t="s">
        <v>36</v>
      </c>
      <c r="R1294">
        <v>18</v>
      </c>
      <c r="S1294" t="s">
        <v>33</v>
      </c>
      <c r="T1294" t="s">
        <v>31</v>
      </c>
      <c r="U1294">
        <v>6</v>
      </c>
      <c r="V1294" t="s">
        <v>44</v>
      </c>
      <c r="W1294" t="str">
        <f>IF(HR_Data[[#This Row],[age]]&lt;25,"Under 25",IF(HR_Data[[#This Row],[age]]&lt;35,"25-34",IF(HR_Data[[#This Row],[age]]&lt;45,"35-44",IF(HR_Data[[#This Row],[age]]&lt;55,"45-54","55+"))))</f>
        <v>35-44</v>
      </c>
      <c r="X1294" t="str">
        <f t="shared" si="20"/>
        <v>3,000-4,999</v>
      </c>
    </row>
    <row r="1295" spans="1:24" x14ac:dyDescent="0.3">
      <c r="A1295">
        <v>1813</v>
      </c>
      <c r="B1295">
        <v>43</v>
      </c>
      <c r="C1295" t="s">
        <v>36</v>
      </c>
      <c r="D1295" t="s">
        <v>54</v>
      </c>
      <c r="E1295" t="s">
        <v>38</v>
      </c>
      <c r="F1295">
        <v>9</v>
      </c>
      <c r="G1295" t="s">
        <v>50</v>
      </c>
      <c r="H1295" t="s">
        <v>26</v>
      </c>
      <c r="I1295" t="s">
        <v>34</v>
      </c>
      <c r="J1295" t="s">
        <v>40</v>
      </c>
      <c r="K1295" t="s">
        <v>29</v>
      </c>
      <c r="L1295" t="s">
        <v>41</v>
      </c>
      <c r="M1295" t="s">
        <v>29</v>
      </c>
      <c r="N1295" t="s">
        <v>32</v>
      </c>
      <c r="O1295">
        <v>2438</v>
      </c>
      <c r="P1295">
        <v>4</v>
      </c>
      <c r="Q1295" t="s">
        <v>36</v>
      </c>
      <c r="R1295">
        <v>13</v>
      </c>
      <c r="S1295" t="s">
        <v>33</v>
      </c>
      <c r="T1295" t="s">
        <v>29</v>
      </c>
      <c r="U1295">
        <v>2</v>
      </c>
      <c r="V1295" t="s">
        <v>49</v>
      </c>
      <c r="W1295" t="str">
        <f>IF(HR_Data[[#This Row],[age]]&lt;25,"Under 25",IF(HR_Data[[#This Row],[age]]&lt;35,"25-34",IF(HR_Data[[#This Row],[age]]&lt;45,"35-44",IF(HR_Data[[#This Row],[age]]&lt;55,"45-54","55+"))))</f>
        <v>35-44</v>
      </c>
      <c r="X1295" t="str">
        <f t="shared" si="20"/>
        <v>Below 3,000</v>
      </c>
    </row>
    <row r="1296" spans="1:24" x14ac:dyDescent="0.3">
      <c r="A1296">
        <v>1814</v>
      </c>
      <c r="B1296">
        <v>41</v>
      </c>
      <c r="C1296" t="s">
        <v>36</v>
      </c>
      <c r="D1296" t="s">
        <v>23</v>
      </c>
      <c r="E1296" t="s">
        <v>38</v>
      </c>
      <c r="F1296">
        <v>5</v>
      </c>
      <c r="G1296" t="s">
        <v>50</v>
      </c>
      <c r="H1296" t="s">
        <v>26</v>
      </c>
      <c r="I1296" t="s">
        <v>27</v>
      </c>
      <c r="J1296" t="s">
        <v>40</v>
      </c>
      <c r="K1296" t="s">
        <v>31</v>
      </c>
      <c r="L1296" t="s">
        <v>53</v>
      </c>
      <c r="M1296" t="s">
        <v>27</v>
      </c>
      <c r="N1296" t="s">
        <v>32</v>
      </c>
      <c r="O1296">
        <v>6870</v>
      </c>
      <c r="P1296">
        <v>3</v>
      </c>
      <c r="Q1296" t="s">
        <v>36</v>
      </c>
      <c r="R1296">
        <v>12</v>
      </c>
      <c r="S1296" t="s">
        <v>33</v>
      </c>
      <c r="T1296" t="s">
        <v>34</v>
      </c>
      <c r="U1296">
        <v>3</v>
      </c>
      <c r="V1296" t="s">
        <v>35</v>
      </c>
      <c r="W1296" t="str">
        <f>IF(HR_Data[[#This Row],[age]]&lt;25,"Under 25",IF(HR_Data[[#This Row],[age]]&lt;35,"25-34",IF(HR_Data[[#This Row],[age]]&lt;45,"35-44",IF(HR_Data[[#This Row],[age]]&lt;55,"45-54","55+"))))</f>
        <v>35-44</v>
      </c>
      <c r="X1296" t="str">
        <f t="shared" si="20"/>
        <v>5,000-7,999</v>
      </c>
    </row>
    <row r="1297" spans="1:24" x14ac:dyDescent="0.3">
      <c r="A1297">
        <v>1815</v>
      </c>
      <c r="B1297">
        <v>41</v>
      </c>
      <c r="C1297" t="s">
        <v>36</v>
      </c>
      <c r="D1297" t="s">
        <v>23</v>
      </c>
      <c r="E1297" t="s">
        <v>24</v>
      </c>
      <c r="F1297">
        <v>4</v>
      </c>
      <c r="G1297" t="s">
        <v>39</v>
      </c>
      <c r="H1297" t="s">
        <v>58</v>
      </c>
      <c r="I1297" t="s">
        <v>29</v>
      </c>
      <c r="J1297" t="s">
        <v>28</v>
      </c>
      <c r="K1297" t="s">
        <v>29</v>
      </c>
      <c r="L1297" t="s">
        <v>30</v>
      </c>
      <c r="M1297" t="s">
        <v>29</v>
      </c>
      <c r="N1297" t="s">
        <v>51</v>
      </c>
      <c r="O1297">
        <v>10447</v>
      </c>
      <c r="P1297">
        <v>0</v>
      </c>
      <c r="Q1297" t="s">
        <v>22</v>
      </c>
      <c r="R1297">
        <v>13</v>
      </c>
      <c r="S1297" t="s">
        <v>33</v>
      </c>
      <c r="T1297" t="s">
        <v>31</v>
      </c>
      <c r="U1297">
        <v>3</v>
      </c>
      <c r="V1297" t="s">
        <v>59</v>
      </c>
      <c r="W1297" t="str">
        <f>IF(HR_Data[[#This Row],[age]]&lt;25,"Under 25",IF(HR_Data[[#This Row],[age]]&lt;35,"25-34",IF(HR_Data[[#This Row],[age]]&lt;45,"35-44",IF(HR_Data[[#This Row],[age]]&lt;55,"45-54","55+"))))</f>
        <v>35-44</v>
      </c>
      <c r="X1297" t="str">
        <f t="shared" si="20"/>
        <v>8,000+</v>
      </c>
    </row>
    <row r="1298" spans="1:24" x14ac:dyDescent="0.3">
      <c r="A1298">
        <v>1816</v>
      </c>
      <c r="B1298">
        <v>30</v>
      </c>
      <c r="C1298" t="s">
        <v>36</v>
      </c>
      <c r="D1298" t="s">
        <v>23</v>
      </c>
      <c r="E1298" t="s">
        <v>38</v>
      </c>
      <c r="F1298">
        <v>10</v>
      </c>
      <c r="G1298" t="s">
        <v>50</v>
      </c>
      <c r="H1298" t="s">
        <v>48</v>
      </c>
      <c r="I1298" t="s">
        <v>34</v>
      </c>
      <c r="J1298" t="s">
        <v>28</v>
      </c>
      <c r="K1298" t="s">
        <v>29</v>
      </c>
      <c r="L1298" t="s">
        <v>52</v>
      </c>
      <c r="M1298" t="s">
        <v>29</v>
      </c>
      <c r="N1298" t="s">
        <v>32</v>
      </c>
      <c r="O1298">
        <v>9667</v>
      </c>
      <c r="P1298">
        <v>9</v>
      </c>
      <c r="Q1298" t="s">
        <v>36</v>
      </c>
      <c r="R1298">
        <v>14</v>
      </c>
      <c r="S1298" t="s">
        <v>33</v>
      </c>
      <c r="T1298" t="s">
        <v>27</v>
      </c>
      <c r="U1298">
        <v>3</v>
      </c>
      <c r="V1298" t="s">
        <v>44</v>
      </c>
      <c r="W1298" t="str">
        <f>IF(HR_Data[[#This Row],[age]]&lt;25,"Under 25",IF(HR_Data[[#This Row],[age]]&lt;35,"25-34",IF(HR_Data[[#This Row],[age]]&lt;45,"35-44",IF(HR_Data[[#This Row],[age]]&lt;55,"45-54","55+"))))</f>
        <v>25-34</v>
      </c>
      <c r="X1298" t="str">
        <f t="shared" si="20"/>
        <v>8,000+</v>
      </c>
    </row>
    <row r="1299" spans="1:24" x14ac:dyDescent="0.3">
      <c r="A1299">
        <v>1818</v>
      </c>
      <c r="B1299">
        <v>26</v>
      </c>
      <c r="C1299" t="s">
        <v>22</v>
      </c>
      <c r="D1299" t="s">
        <v>23</v>
      </c>
      <c r="E1299" t="s">
        <v>62</v>
      </c>
      <c r="F1299">
        <v>20</v>
      </c>
      <c r="G1299" t="s">
        <v>25</v>
      </c>
      <c r="H1299" t="s">
        <v>48</v>
      </c>
      <c r="I1299" t="s">
        <v>31</v>
      </c>
      <c r="J1299" t="s">
        <v>28</v>
      </c>
      <c r="K1299" t="s">
        <v>29</v>
      </c>
      <c r="L1299" t="s">
        <v>62</v>
      </c>
      <c r="M1299" t="s">
        <v>27</v>
      </c>
      <c r="N1299" t="s">
        <v>42</v>
      </c>
      <c r="O1299">
        <v>2148</v>
      </c>
      <c r="P1299">
        <v>0</v>
      </c>
      <c r="Q1299" t="s">
        <v>22</v>
      </c>
      <c r="R1299">
        <v>11</v>
      </c>
      <c r="S1299" t="s">
        <v>33</v>
      </c>
      <c r="T1299" t="s">
        <v>29</v>
      </c>
      <c r="U1299">
        <v>3</v>
      </c>
      <c r="V1299" t="s">
        <v>44</v>
      </c>
      <c r="W1299" t="str">
        <f>IF(HR_Data[[#This Row],[age]]&lt;25,"Under 25",IF(HR_Data[[#This Row],[age]]&lt;35,"25-34",IF(HR_Data[[#This Row],[age]]&lt;45,"35-44",IF(HR_Data[[#This Row],[age]]&lt;55,"45-54","55+"))))</f>
        <v>25-34</v>
      </c>
      <c r="X1299" t="str">
        <f t="shared" si="20"/>
        <v>Below 3,000</v>
      </c>
    </row>
    <row r="1300" spans="1:24" x14ac:dyDescent="0.3">
      <c r="A1300">
        <v>1821</v>
      </c>
      <c r="B1300">
        <v>46</v>
      </c>
      <c r="C1300" t="s">
        <v>22</v>
      </c>
      <c r="D1300" t="s">
        <v>23</v>
      </c>
      <c r="E1300" t="s">
        <v>38</v>
      </c>
      <c r="F1300">
        <v>21</v>
      </c>
      <c r="G1300" t="s">
        <v>25</v>
      </c>
      <c r="H1300" t="s">
        <v>48</v>
      </c>
      <c r="I1300" t="s">
        <v>31</v>
      </c>
      <c r="J1300" t="s">
        <v>28</v>
      </c>
      <c r="K1300" t="s">
        <v>29</v>
      </c>
      <c r="L1300" t="s">
        <v>53</v>
      </c>
      <c r="M1300" t="s">
        <v>27</v>
      </c>
      <c r="N1300" t="s">
        <v>42</v>
      </c>
      <c r="O1300">
        <v>8926</v>
      </c>
      <c r="P1300">
        <v>4</v>
      </c>
      <c r="Q1300" t="s">
        <v>36</v>
      </c>
      <c r="R1300">
        <v>22</v>
      </c>
      <c r="S1300" t="s">
        <v>43</v>
      </c>
      <c r="T1300" t="s">
        <v>31</v>
      </c>
      <c r="U1300">
        <v>2</v>
      </c>
      <c r="V1300" t="s">
        <v>59</v>
      </c>
      <c r="W1300" t="str">
        <f>IF(HR_Data[[#This Row],[age]]&lt;25,"Under 25",IF(HR_Data[[#This Row],[age]]&lt;35,"25-34",IF(HR_Data[[#This Row],[age]]&lt;45,"35-44",IF(HR_Data[[#This Row],[age]]&lt;55,"45-54","55+"))))</f>
        <v>45-54</v>
      </c>
      <c r="X1300" t="str">
        <f t="shared" si="20"/>
        <v>8,000+</v>
      </c>
    </row>
    <row r="1301" spans="1:24" x14ac:dyDescent="0.3">
      <c r="A1301">
        <v>1822</v>
      </c>
      <c r="B1301">
        <v>40</v>
      </c>
      <c r="C1301" t="s">
        <v>36</v>
      </c>
      <c r="D1301" t="s">
        <v>23</v>
      </c>
      <c r="E1301" t="s">
        <v>38</v>
      </c>
      <c r="F1301">
        <v>1</v>
      </c>
      <c r="G1301" t="s">
        <v>50</v>
      </c>
      <c r="H1301" t="s">
        <v>26</v>
      </c>
      <c r="I1301" t="s">
        <v>29</v>
      </c>
      <c r="J1301" t="s">
        <v>28</v>
      </c>
      <c r="K1301" t="s">
        <v>29</v>
      </c>
      <c r="L1301" t="s">
        <v>53</v>
      </c>
      <c r="M1301" t="s">
        <v>31</v>
      </c>
      <c r="N1301" t="s">
        <v>51</v>
      </c>
      <c r="O1301">
        <v>6513</v>
      </c>
      <c r="P1301">
        <v>4</v>
      </c>
      <c r="Q1301" t="s">
        <v>36</v>
      </c>
      <c r="R1301">
        <v>17</v>
      </c>
      <c r="S1301" t="s">
        <v>33</v>
      </c>
      <c r="T1301" t="s">
        <v>31</v>
      </c>
      <c r="U1301">
        <v>3</v>
      </c>
      <c r="V1301" t="s">
        <v>44</v>
      </c>
      <c r="W1301" t="str">
        <f>IF(HR_Data[[#This Row],[age]]&lt;25,"Under 25",IF(HR_Data[[#This Row],[age]]&lt;35,"25-34",IF(HR_Data[[#This Row],[age]]&lt;45,"35-44",IF(HR_Data[[#This Row],[age]]&lt;55,"45-54","55+"))))</f>
        <v>35-44</v>
      </c>
      <c r="X1301" t="str">
        <f t="shared" si="20"/>
        <v>5,000-7,999</v>
      </c>
    </row>
    <row r="1302" spans="1:24" x14ac:dyDescent="0.3">
      <c r="A1302">
        <v>1823</v>
      </c>
      <c r="B1302">
        <v>34</v>
      </c>
      <c r="C1302" t="s">
        <v>36</v>
      </c>
      <c r="D1302" t="s">
        <v>23</v>
      </c>
      <c r="E1302" t="s">
        <v>24</v>
      </c>
      <c r="F1302">
        <v>8</v>
      </c>
      <c r="G1302" t="s">
        <v>25</v>
      </c>
      <c r="H1302" t="s">
        <v>60</v>
      </c>
      <c r="I1302" t="s">
        <v>27</v>
      </c>
      <c r="J1302" t="s">
        <v>40</v>
      </c>
      <c r="K1302" t="s">
        <v>31</v>
      </c>
      <c r="L1302" t="s">
        <v>30</v>
      </c>
      <c r="M1302" t="s">
        <v>29</v>
      </c>
      <c r="N1302" t="s">
        <v>42</v>
      </c>
      <c r="O1302">
        <v>6799</v>
      </c>
      <c r="P1302">
        <v>1</v>
      </c>
      <c r="Q1302" t="s">
        <v>36</v>
      </c>
      <c r="R1302">
        <v>21</v>
      </c>
      <c r="S1302" t="s">
        <v>43</v>
      </c>
      <c r="T1302" t="s">
        <v>29</v>
      </c>
      <c r="U1302">
        <v>5</v>
      </c>
      <c r="V1302" t="s">
        <v>44</v>
      </c>
      <c r="W1302" t="str">
        <f>IF(HR_Data[[#This Row],[age]]&lt;25,"Under 25",IF(HR_Data[[#This Row],[age]]&lt;35,"25-34",IF(HR_Data[[#This Row],[age]]&lt;45,"35-44",IF(HR_Data[[#This Row],[age]]&lt;55,"45-54","55+"))))</f>
        <v>25-34</v>
      </c>
      <c r="X1302" t="str">
        <f t="shared" si="20"/>
        <v>5,000-7,999</v>
      </c>
    </row>
    <row r="1303" spans="1:24" x14ac:dyDescent="0.3">
      <c r="A1303">
        <v>1824</v>
      </c>
      <c r="B1303">
        <v>58</v>
      </c>
      <c r="C1303" t="s">
        <v>36</v>
      </c>
      <c r="D1303" t="s">
        <v>54</v>
      </c>
      <c r="E1303" t="s">
        <v>24</v>
      </c>
      <c r="F1303">
        <v>2</v>
      </c>
      <c r="G1303" t="s">
        <v>50</v>
      </c>
      <c r="H1303" t="s">
        <v>48</v>
      </c>
      <c r="I1303" t="s">
        <v>27</v>
      </c>
      <c r="J1303" t="s">
        <v>40</v>
      </c>
      <c r="K1303" t="s">
        <v>29</v>
      </c>
      <c r="L1303" t="s">
        <v>55</v>
      </c>
      <c r="M1303" t="s">
        <v>27</v>
      </c>
      <c r="N1303" t="s">
        <v>51</v>
      </c>
      <c r="O1303">
        <v>16291</v>
      </c>
      <c r="P1303">
        <v>4</v>
      </c>
      <c r="Q1303" t="s">
        <v>36</v>
      </c>
      <c r="R1303">
        <v>22</v>
      </c>
      <c r="S1303" t="s">
        <v>43</v>
      </c>
      <c r="T1303" t="s">
        <v>31</v>
      </c>
      <c r="U1303">
        <v>0</v>
      </c>
      <c r="V1303" t="s">
        <v>49</v>
      </c>
      <c r="W1303" t="str">
        <f>IF(HR_Data[[#This Row],[age]]&lt;25,"Under 25",IF(HR_Data[[#This Row],[age]]&lt;35,"25-34",IF(HR_Data[[#This Row],[age]]&lt;45,"35-44",IF(HR_Data[[#This Row],[age]]&lt;55,"45-54","55+"))))</f>
        <v>55+</v>
      </c>
      <c r="X1303" t="str">
        <f t="shared" si="20"/>
        <v>8,000+</v>
      </c>
    </row>
    <row r="1304" spans="1:24" x14ac:dyDescent="0.3">
      <c r="A1304">
        <v>1826</v>
      </c>
      <c r="B1304">
        <v>35</v>
      </c>
      <c r="C1304" t="s">
        <v>36</v>
      </c>
      <c r="D1304" t="s">
        <v>23</v>
      </c>
      <c r="E1304" t="s">
        <v>38</v>
      </c>
      <c r="F1304">
        <v>23</v>
      </c>
      <c r="G1304" t="s">
        <v>47</v>
      </c>
      <c r="H1304" t="s">
        <v>48</v>
      </c>
      <c r="I1304" t="s">
        <v>27</v>
      </c>
      <c r="J1304" t="s">
        <v>40</v>
      </c>
      <c r="K1304" t="s">
        <v>34</v>
      </c>
      <c r="L1304" t="s">
        <v>46</v>
      </c>
      <c r="M1304" t="s">
        <v>29</v>
      </c>
      <c r="N1304" t="s">
        <v>42</v>
      </c>
      <c r="O1304">
        <v>2705</v>
      </c>
      <c r="P1304">
        <v>0</v>
      </c>
      <c r="Q1304" t="s">
        <v>36</v>
      </c>
      <c r="R1304">
        <v>16</v>
      </c>
      <c r="S1304" t="s">
        <v>33</v>
      </c>
      <c r="T1304" t="s">
        <v>27</v>
      </c>
      <c r="U1304">
        <v>2</v>
      </c>
      <c r="V1304" t="s">
        <v>59</v>
      </c>
      <c r="W1304" t="str">
        <f>IF(HR_Data[[#This Row],[age]]&lt;25,"Under 25",IF(HR_Data[[#This Row],[age]]&lt;35,"25-34",IF(HR_Data[[#This Row],[age]]&lt;45,"35-44",IF(HR_Data[[#This Row],[age]]&lt;55,"45-54","55+"))))</f>
        <v>35-44</v>
      </c>
      <c r="X1304" t="str">
        <f t="shared" si="20"/>
        <v>Below 3,000</v>
      </c>
    </row>
    <row r="1305" spans="1:24" x14ac:dyDescent="0.3">
      <c r="A1305">
        <v>1827</v>
      </c>
      <c r="B1305">
        <v>47</v>
      </c>
      <c r="C1305" t="s">
        <v>36</v>
      </c>
      <c r="D1305" t="s">
        <v>23</v>
      </c>
      <c r="E1305" t="s">
        <v>38</v>
      </c>
      <c r="F1305">
        <v>4</v>
      </c>
      <c r="G1305" t="s">
        <v>50</v>
      </c>
      <c r="H1305" t="s">
        <v>26</v>
      </c>
      <c r="I1305" t="s">
        <v>29</v>
      </c>
      <c r="J1305" t="s">
        <v>28</v>
      </c>
      <c r="K1305" t="s">
        <v>27</v>
      </c>
      <c r="L1305" t="s">
        <v>52</v>
      </c>
      <c r="M1305" t="s">
        <v>27</v>
      </c>
      <c r="N1305" t="s">
        <v>51</v>
      </c>
      <c r="O1305">
        <v>10333</v>
      </c>
      <c r="P1305">
        <v>8</v>
      </c>
      <c r="Q1305" t="s">
        <v>22</v>
      </c>
      <c r="R1305">
        <v>12</v>
      </c>
      <c r="S1305" t="s">
        <v>33</v>
      </c>
      <c r="T1305" t="s">
        <v>29</v>
      </c>
      <c r="U1305">
        <v>4</v>
      </c>
      <c r="V1305" t="s">
        <v>44</v>
      </c>
      <c r="W1305" t="str">
        <f>IF(HR_Data[[#This Row],[age]]&lt;25,"Under 25",IF(HR_Data[[#This Row],[age]]&lt;35,"25-34",IF(HR_Data[[#This Row],[age]]&lt;45,"35-44",IF(HR_Data[[#This Row],[age]]&lt;55,"45-54","55+"))))</f>
        <v>45-54</v>
      </c>
      <c r="X1305" t="str">
        <f t="shared" si="20"/>
        <v>8,000+</v>
      </c>
    </row>
    <row r="1306" spans="1:24" x14ac:dyDescent="0.3">
      <c r="A1306">
        <v>1829</v>
      </c>
      <c r="B1306">
        <v>40</v>
      </c>
      <c r="C1306" t="s">
        <v>36</v>
      </c>
      <c r="D1306" t="s">
        <v>23</v>
      </c>
      <c r="E1306" t="s">
        <v>38</v>
      </c>
      <c r="F1306">
        <v>12</v>
      </c>
      <c r="G1306" t="s">
        <v>50</v>
      </c>
      <c r="H1306" t="s">
        <v>26</v>
      </c>
      <c r="I1306" t="s">
        <v>27</v>
      </c>
      <c r="J1306" t="s">
        <v>28</v>
      </c>
      <c r="K1306" t="s">
        <v>29</v>
      </c>
      <c r="L1306" t="s">
        <v>53</v>
      </c>
      <c r="M1306" t="s">
        <v>34</v>
      </c>
      <c r="N1306" t="s">
        <v>51</v>
      </c>
      <c r="O1306">
        <v>4448</v>
      </c>
      <c r="P1306">
        <v>2</v>
      </c>
      <c r="Q1306" t="s">
        <v>36</v>
      </c>
      <c r="R1306">
        <v>12</v>
      </c>
      <c r="S1306" t="s">
        <v>33</v>
      </c>
      <c r="T1306" t="s">
        <v>27</v>
      </c>
      <c r="U1306">
        <v>3</v>
      </c>
      <c r="V1306" t="s">
        <v>44</v>
      </c>
      <c r="W1306" t="str">
        <f>IF(HR_Data[[#This Row],[age]]&lt;25,"Under 25",IF(HR_Data[[#This Row],[age]]&lt;35,"25-34",IF(HR_Data[[#This Row],[age]]&lt;45,"35-44",IF(HR_Data[[#This Row],[age]]&lt;55,"45-54","55+"))))</f>
        <v>35-44</v>
      </c>
      <c r="X1306" t="str">
        <f t="shared" si="20"/>
        <v>3,000-4,999</v>
      </c>
    </row>
    <row r="1307" spans="1:24" x14ac:dyDescent="0.3">
      <c r="A1307">
        <v>1830</v>
      </c>
      <c r="B1307">
        <v>54</v>
      </c>
      <c r="C1307" t="s">
        <v>36</v>
      </c>
      <c r="D1307" t="s">
        <v>23</v>
      </c>
      <c r="E1307" t="s">
        <v>38</v>
      </c>
      <c r="F1307">
        <v>7</v>
      </c>
      <c r="G1307" t="s">
        <v>47</v>
      </c>
      <c r="H1307" t="s">
        <v>48</v>
      </c>
      <c r="I1307" t="s">
        <v>31</v>
      </c>
      <c r="J1307" t="s">
        <v>28</v>
      </c>
      <c r="K1307" t="s">
        <v>29</v>
      </c>
      <c r="L1307" t="s">
        <v>41</v>
      </c>
      <c r="M1307" t="s">
        <v>31</v>
      </c>
      <c r="N1307" t="s">
        <v>42</v>
      </c>
      <c r="O1307">
        <v>6854</v>
      </c>
      <c r="P1307">
        <v>4</v>
      </c>
      <c r="Q1307" t="s">
        <v>36</v>
      </c>
      <c r="R1307">
        <v>15</v>
      </c>
      <c r="S1307" t="s">
        <v>33</v>
      </c>
      <c r="T1307" t="s">
        <v>27</v>
      </c>
      <c r="U1307">
        <v>2</v>
      </c>
      <c r="V1307" t="s">
        <v>49</v>
      </c>
      <c r="W1307" t="str">
        <f>IF(HR_Data[[#This Row],[age]]&lt;25,"Under 25",IF(HR_Data[[#This Row],[age]]&lt;35,"25-34",IF(HR_Data[[#This Row],[age]]&lt;45,"35-44",IF(HR_Data[[#This Row],[age]]&lt;55,"45-54","55+"))))</f>
        <v>45-54</v>
      </c>
      <c r="X1307" t="str">
        <f t="shared" si="20"/>
        <v>5,000-7,999</v>
      </c>
    </row>
    <row r="1308" spans="1:24" x14ac:dyDescent="0.3">
      <c r="A1308">
        <v>1833</v>
      </c>
      <c r="B1308">
        <v>31</v>
      </c>
      <c r="C1308" t="s">
        <v>36</v>
      </c>
      <c r="D1308" t="s">
        <v>37</v>
      </c>
      <c r="E1308" t="s">
        <v>24</v>
      </c>
      <c r="F1308">
        <v>7</v>
      </c>
      <c r="G1308" t="s">
        <v>47</v>
      </c>
      <c r="H1308" t="s">
        <v>58</v>
      </c>
      <c r="I1308" t="s">
        <v>34</v>
      </c>
      <c r="J1308" t="s">
        <v>28</v>
      </c>
      <c r="K1308" t="s">
        <v>29</v>
      </c>
      <c r="L1308" t="s">
        <v>30</v>
      </c>
      <c r="M1308" t="s">
        <v>34</v>
      </c>
      <c r="N1308" t="s">
        <v>42</v>
      </c>
      <c r="O1308">
        <v>9637</v>
      </c>
      <c r="P1308">
        <v>2</v>
      </c>
      <c r="Q1308" t="s">
        <v>36</v>
      </c>
      <c r="R1308">
        <v>14</v>
      </c>
      <c r="S1308" t="s">
        <v>33</v>
      </c>
      <c r="T1308" t="s">
        <v>31</v>
      </c>
      <c r="U1308">
        <v>3</v>
      </c>
      <c r="V1308" t="s">
        <v>44</v>
      </c>
      <c r="W1308" t="str">
        <f>IF(HR_Data[[#This Row],[age]]&lt;25,"Under 25",IF(HR_Data[[#This Row],[age]]&lt;35,"25-34",IF(HR_Data[[#This Row],[age]]&lt;45,"35-44",IF(HR_Data[[#This Row],[age]]&lt;55,"45-54","55+"))))</f>
        <v>25-34</v>
      </c>
      <c r="X1308" t="str">
        <f t="shared" si="20"/>
        <v>8,000+</v>
      </c>
    </row>
    <row r="1309" spans="1:24" x14ac:dyDescent="0.3">
      <c r="A1309">
        <v>1834</v>
      </c>
      <c r="B1309">
        <v>28</v>
      </c>
      <c r="C1309" t="s">
        <v>36</v>
      </c>
      <c r="D1309" t="s">
        <v>23</v>
      </c>
      <c r="E1309" t="s">
        <v>38</v>
      </c>
      <c r="F1309">
        <v>1</v>
      </c>
      <c r="G1309" t="s">
        <v>50</v>
      </c>
      <c r="H1309" t="s">
        <v>48</v>
      </c>
      <c r="I1309" t="s">
        <v>29</v>
      </c>
      <c r="J1309" t="s">
        <v>28</v>
      </c>
      <c r="K1309" t="s">
        <v>29</v>
      </c>
      <c r="L1309" t="s">
        <v>41</v>
      </c>
      <c r="M1309" t="s">
        <v>34</v>
      </c>
      <c r="N1309" t="s">
        <v>42</v>
      </c>
      <c r="O1309">
        <v>3591</v>
      </c>
      <c r="P1309">
        <v>1</v>
      </c>
      <c r="Q1309" t="s">
        <v>36</v>
      </c>
      <c r="R1309">
        <v>25</v>
      </c>
      <c r="S1309" t="s">
        <v>43</v>
      </c>
      <c r="T1309" t="s">
        <v>29</v>
      </c>
      <c r="U1309">
        <v>3</v>
      </c>
      <c r="V1309" t="s">
        <v>44</v>
      </c>
      <c r="W1309" t="str">
        <f>IF(HR_Data[[#This Row],[age]]&lt;25,"Under 25",IF(HR_Data[[#This Row],[age]]&lt;35,"25-34",IF(HR_Data[[#This Row],[age]]&lt;45,"35-44",IF(HR_Data[[#This Row],[age]]&lt;55,"45-54","55+"))))</f>
        <v>25-34</v>
      </c>
      <c r="X1309" t="str">
        <f t="shared" si="20"/>
        <v>3,000-4,999</v>
      </c>
    </row>
    <row r="1310" spans="1:24" x14ac:dyDescent="0.3">
      <c r="A1310">
        <v>1835</v>
      </c>
      <c r="B1310">
        <v>38</v>
      </c>
      <c r="C1310" t="s">
        <v>36</v>
      </c>
      <c r="D1310" t="s">
        <v>23</v>
      </c>
      <c r="E1310" t="s">
        <v>24</v>
      </c>
      <c r="F1310">
        <v>2</v>
      </c>
      <c r="G1310" t="s">
        <v>47</v>
      </c>
      <c r="H1310" t="s">
        <v>58</v>
      </c>
      <c r="I1310" t="s">
        <v>27</v>
      </c>
      <c r="J1310" t="s">
        <v>28</v>
      </c>
      <c r="K1310" t="s">
        <v>34</v>
      </c>
      <c r="L1310" t="s">
        <v>56</v>
      </c>
      <c r="M1310" t="s">
        <v>31</v>
      </c>
      <c r="N1310" t="s">
        <v>42</v>
      </c>
      <c r="O1310">
        <v>5405</v>
      </c>
      <c r="P1310">
        <v>2</v>
      </c>
      <c r="Q1310" t="s">
        <v>22</v>
      </c>
      <c r="R1310">
        <v>20</v>
      </c>
      <c r="S1310" t="s">
        <v>43</v>
      </c>
      <c r="T1310" t="s">
        <v>34</v>
      </c>
      <c r="U1310">
        <v>4</v>
      </c>
      <c r="V1310" t="s">
        <v>49</v>
      </c>
      <c r="W1310" t="str">
        <f>IF(HR_Data[[#This Row],[age]]&lt;25,"Under 25",IF(HR_Data[[#This Row],[age]]&lt;35,"25-34",IF(HR_Data[[#This Row],[age]]&lt;45,"35-44",IF(HR_Data[[#This Row],[age]]&lt;55,"45-54","55+"))))</f>
        <v>35-44</v>
      </c>
      <c r="X1310" t="str">
        <f t="shared" si="20"/>
        <v>5,000-7,999</v>
      </c>
    </row>
    <row r="1311" spans="1:24" x14ac:dyDescent="0.3">
      <c r="A1311">
        <v>1836</v>
      </c>
      <c r="B1311">
        <v>26</v>
      </c>
      <c r="C1311" t="s">
        <v>36</v>
      </c>
      <c r="D1311" t="s">
        <v>23</v>
      </c>
      <c r="E1311" t="s">
        <v>24</v>
      </c>
      <c r="F1311">
        <v>10</v>
      </c>
      <c r="G1311" t="s">
        <v>50</v>
      </c>
      <c r="H1311" t="s">
        <v>48</v>
      </c>
      <c r="I1311" t="s">
        <v>29</v>
      </c>
      <c r="J1311" t="s">
        <v>40</v>
      </c>
      <c r="K1311" t="s">
        <v>29</v>
      </c>
      <c r="L1311" t="s">
        <v>30</v>
      </c>
      <c r="M1311" t="s">
        <v>31</v>
      </c>
      <c r="N1311" t="s">
        <v>32</v>
      </c>
      <c r="O1311">
        <v>4684</v>
      </c>
      <c r="P1311">
        <v>1</v>
      </c>
      <c r="Q1311" t="s">
        <v>36</v>
      </c>
      <c r="R1311">
        <v>13</v>
      </c>
      <c r="S1311" t="s">
        <v>33</v>
      </c>
      <c r="T1311" t="s">
        <v>34</v>
      </c>
      <c r="U1311">
        <v>4</v>
      </c>
      <c r="V1311" t="s">
        <v>44</v>
      </c>
      <c r="W1311" t="str">
        <f>IF(HR_Data[[#This Row],[age]]&lt;25,"Under 25",IF(HR_Data[[#This Row],[age]]&lt;35,"25-34",IF(HR_Data[[#This Row],[age]]&lt;45,"35-44",IF(HR_Data[[#This Row],[age]]&lt;55,"45-54","55+"))))</f>
        <v>25-34</v>
      </c>
      <c r="X1311" t="str">
        <f t="shared" si="20"/>
        <v>3,000-4,999</v>
      </c>
    </row>
    <row r="1312" spans="1:24" x14ac:dyDescent="0.3">
      <c r="A1312">
        <v>1837</v>
      </c>
      <c r="B1312">
        <v>58</v>
      </c>
      <c r="C1312" t="s">
        <v>36</v>
      </c>
      <c r="D1312" t="s">
        <v>37</v>
      </c>
      <c r="E1312" t="s">
        <v>38</v>
      </c>
      <c r="F1312">
        <v>15</v>
      </c>
      <c r="G1312" t="s">
        <v>47</v>
      </c>
      <c r="H1312" t="s">
        <v>26</v>
      </c>
      <c r="I1312" t="s">
        <v>34</v>
      </c>
      <c r="J1312" t="s">
        <v>40</v>
      </c>
      <c r="K1312" t="s">
        <v>29</v>
      </c>
      <c r="L1312" t="s">
        <v>57</v>
      </c>
      <c r="M1312" t="s">
        <v>29</v>
      </c>
      <c r="N1312" t="s">
        <v>42</v>
      </c>
      <c r="O1312">
        <v>15787</v>
      </c>
      <c r="P1312">
        <v>2</v>
      </c>
      <c r="Q1312" t="s">
        <v>22</v>
      </c>
      <c r="R1312">
        <v>14</v>
      </c>
      <c r="S1312" t="s">
        <v>33</v>
      </c>
      <c r="T1312" t="s">
        <v>27</v>
      </c>
      <c r="U1312">
        <v>3</v>
      </c>
      <c r="V1312" t="s">
        <v>44</v>
      </c>
      <c r="W1312" t="str">
        <f>IF(HR_Data[[#This Row],[age]]&lt;25,"Under 25",IF(HR_Data[[#This Row],[age]]&lt;35,"25-34",IF(HR_Data[[#This Row],[age]]&lt;45,"35-44",IF(HR_Data[[#This Row],[age]]&lt;55,"45-54","55+"))))</f>
        <v>55+</v>
      </c>
      <c r="X1312" t="str">
        <f t="shared" si="20"/>
        <v>8,000+</v>
      </c>
    </row>
    <row r="1313" spans="1:24" x14ac:dyDescent="0.3">
      <c r="A1313">
        <v>1839</v>
      </c>
      <c r="B1313">
        <v>18</v>
      </c>
      <c r="C1313" t="s">
        <v>36</v>
      </c>
      <c r="D1313" t="s">
        <v>54</v>
      </c>
      <c r="E1313" t="s">
        <v>38</v>
      </c>
      <c r="F1313">
        <v>14</v>
      </c>
      <c r="G1313" t="s">
        <v>50</v>
      </c>
      <c r="H1313" t="s">
        <v>48</v>
      </c>
      <c r="I1313" t="s">
        <v>27</v>
      </c>
      <c r="J1313" t="s">
        <v>28</v>
      </c>
      <c r="K1313" t="s">
        <v>29</v>
      </c>
      <c r="L1313" t="s">
        <v>41</v>
      </c>
      <c r="M1313" t="s">
        <v>29</v>
      </c>
      <c r="N1313" t="s">
        <v>32</v>
      </c>
      <c r="O1313">
        <v>1514</v>
      </c>
      <c r="P1313">
        <v>1</v>
      </c>
      <c r="Q1313" t="s">
        <v>36</v>
      </c>
      <c r="R1313">
        <v>16</v>
      </c>
      <c r="S1313" t="s">
        <v>33</v>
      </c>
      <c r="T1313" t="s">
        <v>29</v>
      </c>
      <c r="U1313">
        <v>4</v>
      </c>
      <c r="V1313" t="s">
        <v>35</v>
      </c>
      <c r="W1313" t="str">
        <f>IF(HR_Data[[#This Row],[age]]&lt;25,"Under 25",IF(HR_Data[[#This Row],[age]]&lt;35,"25-34",IF(HR_Data[[#This Row],[age]]&lt;45,"35-44",IF(HR_Data[[#This Row],[age]]&lt;55,"45-54","55+"))))</f>
        <v>Under 25</v>
      </c>
      <c r="X1313" t="str">
        <f t="shared" si="20"/>
        <v>Below 3,000</v>
      </c>
    </row>
    <row r="1314" spans="1:24" x14ac:dyDescent="0.3">
      <c r="A1314">
        <v>1842</v>
      </c>
      <c r="B1314">
        <v>31</v>
      </c>
      <c r="C1314" t="s">
        <v>22</v>
      </c>
      <c r="D1314" t="s">
        <v>23</v>
      </c>
      <c r="E1314" t="s">
        <v>62</v>
      </c>
      <c r="F1314">
        <v>18</v>
      </c>
      <c r="G1314" t="s">
        <v>61</v>
      </c>
      <c r="H1314" t="s">
        <v>62</v>
      </c>
      <c r="I1314" t="s">
        <v>31</v>
      </c>
      <c r="J1314" t="s">
        <v>40</v>
      </c>
      <c r="K1314" t="s">
        <v>31</v>
      </c>
      <c r="L1314" t="s">
        <v>62</v>
      </c>
      <c r="M1314" t="s">
        <v>34</v>
      </c>
      <c r="N1314" t="s">
        <v>42</v>
      </c>
      <c r="O1314">
        <v>2956</v>
      </c>
      <c r="P1314">
        <v>0</v>
      </c>
      <c r="Q1314" t="s">
        <v>36</v>
      </c>
      <c r="R1314">
        <v>17</v>
      </c>
      <c r="S1314" t="s">
        <v>33</v>
      </c>
      <c r="T1314" t="s">
        <v>29</v>
      </c>
      <c r="U1314">
        <v>4</v>
      </c>
      <c r="V1314" t="s">
        <v>44</v>
      </c>
      <c r="W1314" t="str">
        <f>IF(HR_Data[[#This Row],[age]]&lt;25,"Under 25",IF(HR_Data[[#This Row],[age]]&lt;35,"25-34",IF(HR_Data[[#This Row],[age]]&lt;45,"35-44",IF(HR_Data[[#This Row],[age]]&lt;55,"45-54","55+"))))</f>
        <v>25-34</v>
      </c>
      <c r="X1314" t="str">
        <f t="shared" si="20"/>
        <v>Below 3,000</v>
      </c>
    </row>
    <row r="1315" spans="1:24" x14ac:dyDescent="0.3">
      <c r="A1315">
        <v>1844</v>
      </c>
      <c r="B1315">
        <v>29</v>
      </c>
      <c r="C1315" t="s">
        <v>22</v>
      </c>
      <c r="D1315" t="s">
        <v>23</v>
      </c>
      <c r="E1315" t="s">
        <v>62</v>
      </c>
      <c r="F1315">
        <v>13</v>
      </c>
      <c r="G1315" t="s">
        <v>50</v>
      </c>
      <c r="H1315" t="s">
        <v>62</v>
      </c>
      <c r="I1315" t="s">
        <v>34</v>
      </c>
      <c r="J1315" t="s">
        <v>40</v>
      </c>
      <c r="K1315" t="s">
        <v>27</v>
      </c>
      <c r="L1315" t="s">
        <v>62</v>
      </c>
      <c r="M1315" t="s">
        <v>34</v>
      </c>
      <c r="N1315" t="s">
        <v>51</v>
      </c>
      <c r="O1315">
        <v>2335</v>
      </c>
      <c r="P1315">
        <v>4</v>
      </c>
      <c r="Q1315" t="s">
        <v>22</v>
      </c>
      <c r="R1315">
        <v>15</v>
      </c>
      <c r="S1315" t="s">
        <v>33</v>
      </c>
      <c r="T1315" t="s">
        <v>31</v>
      </c>
      <c r="U1315">
        <v>3</v>
      </c>
      <c r="V1315" t="s">
        <v>44</v>
      </c>
      <c r="W1315" t="str">
        <f>IF(HR_Data[[#This Row],[age]]&lt;25,"Under 25",IF(HR_Data[[#This Row],[age]]&lt;35,"25-34",IF(HR_Data[[#This Row],[age]]&lt;45,"35-44",IF(HR_Data[[#This Row],[age]]&lt;55,"45-54","55+"))))</f>
        <v>25-34</v>
      </c>
      <c r="X1315" t="str">
        <f t="shared" si="20"/>
        <v>Below 3,000</v>
      </c>
    </row>
    <row r="1316" spans="1:24" x14ac:dyDescent="0.3">
      <c r="A1316">
        <v>1845</v>
      </c>
      <c r="B1316">
        <v>45</v>
      </c>
      <c r="C1316" t="s">
        <v>36</v>
      </c>
      <c r="D1316" t="s">
        <v>54</v>
      </c>
      <c r="E1316" t="s">
        <v>24</v>
      </c>
      <c r="F1316">
        <v>2</v>
      </c>
      <c r="G1316" t="s">
        <v>47</v>
      </c>
      <c r="H1316" t="s">
        <v>26</v>
      </c>
      <c r="I1316" t="s">
        <v>29</v>
      </c>
      <c r="J1316" t="s">
        <v>28</v>
      </c>
      <c r="K1316" t="s">
        <v>29</v>
      </c>
      <c r="L1316" t="s">
        <v>30</v>
      </c>
      <c r="M1316" t="s">
        <v>29</v>
      </c>
      <c r="N1316" t="s">
        <v>42</v>
      </c>
      <c r="O1316">
        <v>5154</v>
      </c>
      <c r="P1316">
        <v>4</v>
      </c>
      <c r="Q1316" t="s">
        <v>36</v>
      </c>
      <c r="R1316">
        <v>22</v>
      </c>
      <c r="S1316" t="s">
        <v>43</v>
      </c>
      <c r="T1316" t="s">
        <v>27</v>
      </c>
      <c r="U1316">
        <v>3</v>
      </c>
      <c r="V1316" t="s">
        <v>59</v>
      </c>
      <c r="W1316" t="str">
        <f>IF(HR_Data[[#This Row],[age]]&lt;25,"Under 25",IF(HR_Data[[#This Row],[age]]&lt;35,"25-34",IF(HR_Data[[#This Row],[age]]&lt;45,"35-44",IF(HR_Data[[#This Row],[age]]&lt;55,"45-54","55+"))))</f>
        <v>45-54</v>
      </c>
      <c r="X1316" t="str">
        <f t="shared" si="20"/>
        <v>5,000-7,999</v>
      </c>
    </row>
    <row r="1317" spans="1:24" x14ac:dyDescent="0.3">
      <c r="A1317">
        <v>1847</v>
      </c>
      <c r="B1317">
        <v>36</v>
      </c>
      <c r="C1317" t="s">
        <v>36</v>
      </c>
      <c r="D1317" t="s">
        <v>23</v>
      </c>
      <c r="E1317" t="s">
        <v>38</v>
      </c>
      <c r="F1317">
        <v>2</v>
      </c>
      <c r="G1317" t="s">
        <v>47</v>
      </c>
      <c r="H1317" t="s">
        <v>45</v>
      </c>
      <c r="I1317" t="s">
        <v>31</v>
      </c>
      <c r="J1317" t="s">
        <v>28</v>
      </c>
      <c r="K1317" t="s">
        <v>29</v>
      </c>
      <c r="L1317" t="s">
        <v>41</v>
      </c>
      <c r="M1317" t="s">
        <v>27</v>
      </c>
      <c r="N1317" t="s">
        <v>42</v>
      </c>
      <c r="O1317">
        <v>6962</v>
      </c>
      <c r="P1317">
        <v>4</v>
      </c>
      <c r="Q1317" t="s">
        <v>22</v>
      </c>
      <c r="R1317">
        <v>22</v>
      </c>
      <c r="S1317" t="s">
        <v>43</v>
      </c>
      <c r="T1317" t="s">
        <v>31</v>
      </c>
      <c r="U1317">
        <v>2</v>
      </c>
      <c r="V1317" t="s">
        <v>44</v>
      </c>
      <c r="W1317" t="str">
        <f>IF(HR_Data[[#This Row],[age]]&lt;25,"Under 25",IF(HR_Data[[#This Row],[age]]&lt;35,"25-34",IF(HR_Data[[#This Row],[age]]&lt;45,"35-44",IF(HR_Data[[#This Row],[age]]&lt;55,"45-54","55+"))))</f>
        <v>35-44</v>
      </c>
      <c r="X1317" t="str">
        <f t="shared" si="20"/>
        <v>5,000-7,999</v>
      </c>
    </row>
    <row r="1318" spans="1:24" x14ac:dyDescent="0.3">
      <c r="A1318">
        <v>1849</v>
      </c>
      <c r="B1318">
        <v>43</v>
      </c>
      <c r="C1318" t="s">
        <v>36</v>
      </c>
      <c r="D1318" t="s">
        <v>37</v>
      </c>
      <c r="E1318" t="s">
        <v>24</v>
      </c>
      <c r="F1318">
        <v>2</v>
      </c>
      <c r="G1318" t="s">
        <v>47</v>
      </c>
      <c r="H1318" t="s">
        <v>26</v>
      </c>
      <c r="I1318" t="s">
        <v>34</v>
      </c>
      <c r="J1318" t="s">
        <v>40</v>
      </c>
      <c r="K1318" t="s">
        <v>29</v>
      </c>
      <c r="L1318" t="s">
        <v>30</v>
      </c>
      <c r="M1318" t="s">
        <v>31</v>
      </c>
      <c r="N1318" t="s">
        <v>42</v>
      </c>
      <c r="O1318">
        <v>5675</v>
      </c>
      <c r="P1318">
        <v>1</v>
      </c>
      <c r="Q1318" t="s">
        <v>36</v>
      </c>
      <c r="R1318">
        <v>20</v>
      </c>
      <c r="S1318" t="s">
        <v>43</v>
      </c>
      <c r="T1318" t="s">
        <v>29</v>
      </c>
      <c r="U1318">
        <v>5</v>
      </c>
      <c r="V1318" t="s">
        <v>44</v>
      </c>
      <c r="W1318" t="str">
        <f>IF(HR_Data[[#This Row],[age]]&lt;25,"Under 25",IF(HR_Data[[#This Row],[age]]&lt;35,"25-34",IF(HR_Data[[#This Row],[age]]&lt;45,"35-44",IF(HR_Data[[#This Row],[age]]&lt;55,"45-54","55+"))))</f>
        <v>35-44</v>
      </c>
      <c r="X1318" t="str">
        <f t="shared" si="20"/>
        <v>5,000-7,999</v>
      </c>
    </row>
    <row r="1319" spans="1:24" x14ac:dyDescent="0.3">
      <c r="A1319">
        <v>1850</v>
      </c>
      <c r="B1319">
        <v>27</v>
      </c>
      <c r="C1319" t="s">
        <v>36</v>
      </c>
      <c r="D1319" t="s">
        <v>37</v>
      </c>
      <c r="E1319" t="s">
        <v>38</v>
      </c>
      <c r="F1319">
        <v>5</v>
      </c>
      <c r="G1319" t="s">
        <v>25</v>
      </c>
      <c r="H1319" t="s">
        <v>26</v>
      </c>
      <c r="I1319" t="s">
        <v>31</v>
      </c>
      <c r="J1319" t="s">
        <v>28</v>
      </c>
      <c r="K1319" t="s">
        <v>29</v>
      </c>
      <c r="L1319" t="s">
        <v>46</v>
      </c>
      <c r="M1319" t="s">
        <v>31</v>
      </c>
      <c r="N1319" t="s">
        <v>32</v>
      </c>
      <c r="O1319">
        <v>2379</v>
      </c>
      <c r="P1319">
        <v>0</v>
      </c>
      <c r="Q1319" t="s">
        <v>22</v>
      </c>
      <c r="R1319">
        <v>14</v>
      </c>
      <c r="S1319" t="s">
        <v>33</v>
      </c>
      <c r="T1319" t="s">
        <v>29</v>
      </c>
      <c r="U1319">
        <v>3</v>
      </c>
      <c r="V1319" t="s">
        <v>49</v>
      </c>
      <c r="W1319" t="str">
        <f>IF(HR_Data[[#This Row],[age]]&lt;25,"Under 25",IF(HR_Data[[#This Row],[age]]&lt;35,"25-34",IF(HR_Data[[#This Row],[age]]&lt;45,"35-44",IF(HR_Data[[#This Row],[age]]&lt;55,"45-54","55+"))))</f>
        <v>25-34</v>
      </c>
      <c r="X1319" t="str">
        <f t="shared" si="20"/>
        <v>Below 3,000</v>
      </c>
    </row>
    <row r="1320" spans="1:24" x14ac:dyDescent="0.3">
      <c r="A1320">
        <v>1852</v>
      </c>
      <c r="B1320">
        <v>29</v>
      </c>
      <c r="C1320" t="s">
        <v>36</v>
      </c>
      <c r="D1320" t="s">
        <v>37</v>
      </c>
      <c r="E1320" t="s">
        <v>38</v>
      </c>
      <c r="F1320">
        <v>20</v>
      </c>
      <c r="G1320" t="s">
        <v>39</v>
      </c>
      <c r="H1320" t="s">
        <v>48</v>
      </c>
      <c r="I1320" t="s">
        <v>31</v>
      </c>
      <c r="J1320" t="s">
        <v>40</v>
      </c>
      <c r="K1320" t="s">
        <v>29</v>
      </c>
      <c r="L1320" t="s">
        <v>46</v>
      </c>
      <c r="M1320" t="s">
        <v>31</v>
      </c>
      <c r="N1320" t="s">
        <v>42</v>
      </c>
      <c r="O1320">
        <v>3812</v>
      </c>
      <c r="P1320">
        <v>1</v>
      </c>
      <c r="Q1320" t="s">
        <v>36</v>
      </c>
      <c r="R1320">
        <v>13</v>
      </c>
      <c r="S1320" t="s">
        <v>33</v>
      </c>
      <c r="T1320" t="s">
        <v>27</v>
      </c>
      <c r="U1320">
        <v>3</v>
      </c>
      <c r="V1320" t="s">
        <v>59</v>
      </c>
      <c r="W1320" t="str">
        <f>IF(HR_Data[[#This Row],[age]]&lt;25,"Under 25",IF(HR_Data[[#This Row],[age]]&lt;35,"25-34",IF(HR_Data[[#This Row],[age]]&lt;45,"35-44",IF(HR_Data[[#This Row],[age]]&lt;55,"45-54","55+"))))</f>
        <v>25-34</v>
      </c>
      <c r="X1320" t="str">
        <f t="shared" si="20"/>
        <v>3,000-4,999</v>
      </c>
    </row>
    <row r="1321" spans="1:24" x14ac:dyDescent="0.3">
      <c r="A1321">
        <v>1853</v>
      </c>
      <c r="B1321">
        <v>32</v>
      </c>
      <c r="C1321" t="s">
        <v>36</v>
      </c>
      <c r="D1321" t="s">
        <v>37</v>
      </c>
      <c r="E1321" t="s">
        <v>24</v>
      </c>
      <c r="F1321">
        <v>10</v>
      </c>
      <c r="G1321" t="s">
        <v>47</v>
      </c>
      <c r="H1321" t="s">
        <v>58</v>
      </c>
      <c r="I1321" t="s">
        <v>31</v>
      </c>
      <c r="J1321" t="s">
        <v>40</v>
      </c>
      <c r="K1321" t="s">
        <v>29</v>
      </c>
      <c r="L1321" t="s">
        <v>30</v>
      </c>
      <c r="M1321" t="s">
        <v>31</v>
      </c>
      <c r="N1321" t="s">
        <v>32</v>
      </c>
      <c r="O1321">
        <v>4648</v>
      </c>
      <c r="P1321">
        <v>8</v>
      </c>
      <c r="Q1321" t="s">
        <v>36</v>
      </c>
      <c r="R1321">
        <v>13</v>
      </c>
      <c r="S1321" t="s">
        <v>33</v>
      </c>
      <c r="T1321" t="s">
        <v>29</v>
      </c>
      <c r="U1321">
        <v>2</v>
      </c>
      <c r="V1321" t="s">
        <v>59</v>
      </c>
      <c r="W1321" t="str">
        <f>IF(HR_Data[[#This Row],[age]]&lt;25,"Under 25",IF(HR_Data[[#This Row],[age]]&lt;35,"25-34",IF(HR_Data[[#This Row],[age]]&lt;45,"35-44",IF(HR_Data[[#This Row],[age]]&lt;55,"45-54","55+"))))</f>
        <v>25-34</v>
      </c>
      <c r="X1321" t="str">
        <f t="shared" si="20"/>
        <v>3,000-4,999</v>
      </c>
    </row>
    <row r="1322" spans="1:24" x14ac:dyDescent="0.3">
      <c r="A1322">
        <v>1854</v>
      </c>
      <c r="B1322">
        <v>42</v>
      </c>
      <c r="C1322" t="s">
        <v>36</v>
      </c>
      <c r="D1322" t="s">
        <v>54</v>
      </c>
      <c r="E1322" t="s">
        <v>38</v>
      </c>
      <c r="F1322">
        <v>10</v>
      </c>
      <c r="G1322" t="s">
        <v>47</v>
      </c>
      <c r="H1322" t="s">
        <v>60</v>
      </c>
      <c r="I1322" t="s">
        <v>29</v>
      </c>
      <c r="J1322" t="s">
        <v>40</v>
      </c>
      <c r="K1322" t="s">
        <v>29</v>
      </c>
      <c r="L1322" t="s">
        <v>41</v>
      </c>
      <c r="M1322" t="s">
        <v>29</v>
      </c>
      <c r="N1322" t="s">
        <v>42</v>
      </c>
      <c r="O1322">
        <v>2936</v>
      </c>
      <c r="P1322">
        <v>3</v>
      </c>
      <c r="Q1322" t="s">
        <v>36</v>
      </c>
      <c r="R1322">
        <v>22</v>
      </c>
      <c r="S1322" t="s">
        <v>43</v>
      </c>
      <c r="T1322" t="s">
        <v>27</v>
      </c>
      <c r="U1322">
        <v>1</v>
      </c>
      <c r="V1322" t="s">
        <v>49</v>
      </c>
      <c r="W1322" t="str">
        <f>IF(HR_Data[[#This Row],[age]]&lt;25,"Under 25",IF(HR_Data[[#This Row],[age]]&lt;35,"25-34",IF(HR_Data[[#This Row],[age]]&lt;45,"35-44",IF(HR_Data[[#This Row],[age]]&lt;55,"45-54","55+"))))</f>
        <v>35-44</v>
      </c>
      <c r="X1322" t="str">
        <f t="shared" si="20"/>
        <v>Below 3,000</v>
      </c>
    </row>
    <row r="1323" spans="1:24" x14ac:dyDescent="0.3">
      <c r="A1323">
        <v>1856</v>
      </c>
      <c r="B1323">
        <v>47</v>
      </c>
      <c r="C1323" t="s">
        <v>36</v>
      </c>
      <c r="D1323" t="s">
        <v>23</v>
      </c>
      <c r="E1323" t="s">
        <v>38</v>
      </c>
      <c r="F1323">
        <v>9</v>
      </c>
      <c r="G1323" t="s">
        <v>47</v>
      </c>
      <c r="H1323" t="s">
        <v>26</v>
      </c>
      <c r="I1323" t="s">
        <v>27</v>
      </c>
      <c r="J1323" t="s">
        <v>28</v>
      </c>
      <c r="K1323" t="s">
        <v>29</v>
      </c>
      <c r="L1323" t="s">
        <v>46</v>
      </c>
      <c r="M1323" t="s">
        <v>29</v>
      </c>
      <c r="N1323" t="s">
        <v>32</v>
      </c>
      <c r="O1323">
        <v>2105</v>
      </c>
      <c r="P1323">
        <v>4</v>
      </c>
      <c r="Q1323" t="s">
        <v>36</v>
      </c>
      <c r="R1323">
        <v>12</v>
      </c>
      <c r="S1323" t="s">
        <v>33</v>
      </c>
      <c r="T1323" t="s">
        <v>29</v>
      </c>
      <c r="U1323">
        <v>2</v>
      </c>
      <c r="V1323" t="s">
        <v>44</v>
      </c>
      <c r="W1323" t="str">
        <f>IF(HR_Data[[#This Row],[age]]&lt;25,"Under 25",IF(HR_Data[[#This Row],[age]]&lt;35,"25-34",IF(HR_Data[[#This Row],[age]]&lt;45,"35-44",IF(HR_Data[[#This Row],[age]]&lt;55,"45-54","55+"))))</f>
        <v>45-54</v>
      </c>
      <c r="X1323" t="str">
        <f t="shared" si="20"/>
        <v>Below 3,000</v>
      </c>
    </row>
    <row r="1324" spans="1:24" x14ac:dyDescent="0.3">
      <c r="A1324">
        <v>1857</v>
      </c>
      <c r="B1324">
        <v>46</v>
      </c>
      <c r="C1324" t="s">
        <v>36</v>
      </c>
      <c r="D1324" t="s">
        <v>23</v>
      </c>
      <c r="E1324" t="s">
        <v>38</v>
      </c>
      <c r="F1324">
        <v>2</v>
      </c>
      <c r="G1324" t="s">
        <v>25</v>
      </c>
      <c r="H1324" t="s">
        <v>26</v>
      </c>
      <c r="I1324" t="s">
        <v>31</v>
      </c>
      <c r="J1324" t="s">
        <v>40</v>
      </c>
      <c r="K1324" t="s">
        <v>29</v>
      </c>
      <c r="L1324" t="s">
        <v>52</v>
      </c>
      <c r="M1324" t="s">
        <v>31</v>
      </c>
      <c r="N1324" t="s">
        <v>51</v>
      </c>
      <c r="O1324">
        <v>8578</v>
      </c>
      <c r="P1324">
        <v>3</v>
      </c>
      <c r="Q1324" t="s">
        <v>36</v>
      </c>
      <c r="R1324">
        <v>14</v>
      </c>
      <c r="S1324" t="s">
        <v>33</v>
      </c>
      <c r="T1324" t="s">
        <v>29</v>
      </c>
      <c r="U1324">
        <v>4</v>
      </c>
      <c r="V1324" t="s">
        <v>49</v>
      </c>
      <c r="W1324" t="str">
        <f>IF(HR_Data[[#This Row],[age]]&lt;25,"Under 25",IF(HR_Data[[#This Row],[age]]&lt;35,"25-34",IF(HR_Data[[#This Row],[age]]&lt;45,"35-44",IF(HR_Data[[#This Row],[age]]&lt;55,"45-54","55+"))))</f>
        <v>45-54</v>
      </c>
      <c r="X1324" t="str">
        <f t="shared" si="20"/>
        <v>8,000+</v>
      </c>
    </row>
    <row r="1325" spans="1:24" x14ac:dyDescent="0.3">
      <c r="A1325">
        <v>1858</v>
      </c>
      <c r="B1325">
        <v>28</v>
      </c>
      <c r="C1325" t="s">
        <v>36</v>
      </c>
      <c r="D1325" t="s">
        <v>54</v>
      </c>
      <c r="E1325" t="s">
        <v>62</v>
      </c>
      <c r="F1325">
        <v>1</v>
      </c>
      <c r="G1325" t="s">
        <v>25</v>
      </c>
      <c r="H1325" t="s">
        <v>26</v>
      </c>
      <c r="I1325" t="s">
        <v>29</v>
      </c>
      <c r="J1325" t="s">
        <v>40</v>
      </c>
      <c r="K1325" t="s">
        <v>29</v>
      </c>
      <c r="L1325" t="s">
        <v>62</v>
      </c>
      <c r="M1325" t="s">
        <v>31</v>
      </c>
      <c r="N1325" t="s">
        <v>51</v>
      </c>
      <c r="O1325">
        <v>2706</v>
      </c>
      <c r="P1325">
        <v>1</v>
      </c>
      <c r="Q1325" t="s">
        <v>36</v>
      </c>
      <c r="R1325">
        <v>15</v>
      </c>
      <c r="S1325" t="s">
        <v>33</v>
      </c>
      <c r="T1325" t="s">
        <v>27</v>
      </c>
      <c r="U1325">
        <v>2</v>
      </c>
      <c r="V1325" t="s">
        <v>44</v>
      </c>
      <c r="W1325" t="str">
        <f>IF(HR_Data[[#This Row],[age]]&lt;25,"Under 25",IF(HR_Data[[#This Row],[age]]&lt;35,"25-34",IF(HR_Data[[#This Row],[age]]&lt;45,"35-44",IF(HR_Data[[#This Row],[age]]&lt;55,"45-54","55+"))))</f>
        <v>25-34</v>
      </c>
      <c r="X1325" t="str">
        <f t="shared" si="20"/>
        <v>Below 3,000</v>
      </c>
    </row>
    <row r="1326" spans="1:24" x14ac:dyDescent="0.3">
      <c r="A1326">
        <v>1859</v>
      </c>
      <c r="B1326">
        <v>29</v>
      </c>
      <c r="C1326" t="s">
        <v>36</v>
      </c>
      <c r="D1326" t="s">
        <v>23</v>
      </c>
      <c r="E1326" t="s">
        <v>38</v>
      </c>
      <c r="F1326">
        <v>29</v>
      </c>
      <c r="G1326" t="s">
        <v>39</v>
      </c>
      <c r="H1326" t="s">
        <v>26</v>
      </c>
      <c r="I1326" t="s">
        <v>31</v>
      </c>
      <c r="J1326" t="s">
        <v>40</v>
      </c>
      <c r="K1326" t="s">
        <v>34</v>
      </c>
      <c r="L1326" t="s">
        <v>53</v>
      </c>
      <c r="M1326" t="s">
        <v>29</v>
      </c>
      <c r="N1326" t="s">
        <v>51</v>
      </c>
      <c r="O1326">
        <v>6384</v>
      </c>
      <c r="P1326">
        <v>8</v>
      </c>
      <c r="Q1326" t="s">
        <v>36</v>
      </c>
      <c r="R1326">
        <v>17</v>
      </c>
      <c r="S1326" t="s">
        <v>33</v>
      </c>
      <c r="T1326" t="s">
        <v>31</v>
      </c>
      <c r="U1326">
        <v>3</v>
      </c>
      <c r="V1326" t="s">
        <v>44</v>
      </c>
      <c r="W1326" t="str">
        <f>IF(HR_Data[[#This Row],[age]]&lt;25,"Under 25",IF(HR_Data[[#This Row],[age]]&lt;35,"25-34",IF(HR_Data[[#This Row],[age]]&lt;45,"35-44",IF(HR_Data[[#This Row],[age]]&lt;55,"45-54","55+"))))</f>
        <v>25-34</v>
      </c>
      <c r="X1326" t="str">
        <f t="shared" si="20"/>
        <v>5,000-7,999</v>
      </c>
    </row>
    <row r="1327" spans="1:24" x14ac:dyDescent="0.3">
      <c r="A1327">
        <v>1860</v>
      </c>
      <c r="B1327">
        <v>42</v>
      </c>
      <c r="C1327" t="s">
        <v>36</v>
      </c>
      <c r="D1327" t="s">
        <v>23</v>
      </c>
      <c r="E1327" t="s">
        <v>38</v>
      </c>
      <c r="F1327">
        <v>8</v>
      </c>
      <c r="G1327" t="s">
        <v>50</v>
      </c>
      <c r="H1327" t="s">
        <v>26</v>
      </c>
      <c r="I1327" t="s">
        <v>31</v>
      </c>
      <c r="J1327" t="s">
        <v>40</v>
      </c>
      <c r="K1327" t="s">
        <v>29</v>
      </c>
      <c r="L1327" t="s">
        <v>46</v>
      </c>
      <c r="M1327" t="s">
        <v>29</v>
      </c>
      <c r="N1327" t="s">
        <v>32</v>
      </c>
      <c r="O1327">
        <v>3968</v>
      </c>
      <c r="P1327">
        <v>4</v>
      </c>
      <c r="Q1327" t="s">
        <v>36</v>
      </c>
      <c r="R1327">
        <v>13</v>
      </c>
      <c r="S1327" t="s">
        <v>33</v>
      </c>
      <c r="T1327" t="s">
        <v>31</v>
      </c>
      <c r="U1327">
        <v>3</v>
      </c>
      <c r="V1327" t="s">
        <v>44</v>
      </c>
      <c r="W1327" t="str">
        <f>IF(HR_Data[[#This Row],[age]]&lt;25,"Under 25",IF(HR_Data[[#This Row],[age]]&lt;35,"25-34",IF(HR_Data[[#This Row],[age]]&lt;45,"35-44",IF(HR_Data[[#This Row],[age]]&lt;55,"45-54","55+"))))</f>
        <v>35-44</v>
      </c>
      <c r="X1327" t="str">
        <f t="shared" si="20"/>
        <v>3,000-4,999</v>
      </c>
    </row>
    <row r="1328" spans="1:24" x14ac:dyDescent="0.3">
      <c r="A1328">
        <v>1862</v>
      </c>
      <c r="B1328">
        <v>32</v>
      </c>
      <c r="C1328" t="s">
        <v>22</v>
      </c>
      <c r="D1328" t="s">
        <v>23</v>
      </c>
      <c r="E1328" t="s">
        <v>24</v>
      </c>
      <c r="F1328">
        <v>2</v>
      </c>
      <c r="G1328" t="s">
        <v>47</v>
      </c>
      <c r="H1328" t="s">
        <v>58</v>
      </c>
      <c r="I1328" t="s">
        <v>29</v>
      </c>
      <c r="J1328" t="s">
        <v>40</v>
      </c>
      <c r="K1328" t="s">
        <v>27</v>
      </c>
      <c r="L1328" t="s">
        <v>30</v>
      </c>
      <c r="M1328" t="s">
        <v>27</v>
      </c>
      <c r="N1328" t="s">
        <v>32</v>
      </c>
      <c r="O1328">
        <v>9907</v>
      </c>
      <c r="P1328">
        <v>7</v>
      </c>
      <c r="Q1328" t="s">
        <v>22</v>
      </c>
      <c r="R1328">
        <v>12</v>
      </c>
      <c r="S1328" t="s">
        <v>33</v>
      </c>
      <c r="T1328" t="s">
        <v>29</v>
      </c>
      <c r="U1328">
        <v>3</v>
      </c>
      <c r="V1328" t="s">
        <v>49</v>
      </c>
      <c r="W1328" t="str">
        <f>IF(HR_Data[[#This Row],[age]]&lt;25,"Under 25",IF(HR_Data[[#This Row],[age]]&lt;35,"25-34",IF(HR_Data[[#This Row],[age]]&lt;45,"35-44",IF(HR_Data[[#This Row],[age]]&lt;55,"45-54","55+"))))</f>
        <v>25-34</v>
      </c>
      <c r="X1328" t="str">
        <f t="shared" si="20"/>
        <v>8,000+</v>
      </c>
    </row>
    <row r="1329" spans="1:24" x14ac:dyDescent="0.3">
      <c r="A1329">
        <v>1863</v>
      </c>
      <c r="B1329">
        <v>46</v>
      </c>
      <c r="C1329" t="s">
        <v>36</v>
      </c>
      <c r="D1329" t="s">
        <v>23</v>
      </c>
      <c r="E1329" t="s">
        <v>24</v>
      </c>
      <c r="F1329">
        <v>3</v>
      </c>
      <c r="G1329" t="s">
        <v>50</v>
      </c>
      <c r="H1329" t="s">
        <v>60</v>
      </c>
      <c r="I1329" t="s">
        <v>34</v>
      </c>
      <c r="J1329" t="s">
        <v>28</v>
      </c>
      <c r="K1329" t="s">
        <v>31</v>
      </c>
      <c r="L1329" t="s">
        <v>30</v>
      </c>
      <c r="M1329" t="s">
        <v>34</v>
      </c>
      <c r="N1329" t="s">
        <v>51</v>
      </c>
      <c r="O1329">
        <v>13225</v>
      </c>
      <c r="P1329">
        <v>2</v>
      </c>
      <c r="Q1329" t="s">
        <v>36</v>
      </c>
      <c r="R1329">
        <v>12</v>
      </c>
      <c r="S1329" t="s">
        <v>33</v>
      </c>
      <c r="T1329" t="s">
        <v>31</v>
      </c>
      <c r="U1329">
        <v>5</v>
      </c>
      <c r="V1329" t="s">
        <v>44</v>
      </c>
      <c r="W1329" t="str">
        <f>IF(HR_Data[[#This Row],[age]]&lt;25,"Under 25",IF(HR_Data[[#This Row],[age]]&lt;35,"25-34",IF(HR_Data[[#This Row],[age]]&lt;45,"35-44",IF(HR_Data[[#This Row],[age]]&lt;55,"45-54","55+"))))</f>
        <v>45-54</v>
      </c>
      <c r="X1329" t="str">
        <f t="shared" si="20"/>
        <v>8,000+</v>
      </c>
    </row>
    <row r="1330" spans="1:24" x14ac:dyDescent="0.3">
      <c r="A1330">
        <v>1864</v>
      </c>
      <c r="B1330">
        <v>27</v>
      </c>
      <c r="C1330" t="s">
        <v>36</v>
      </c>
      <c r="D1330" t="s">
        <v>23</v>
      </c>
      <c r="E1330" t="s">
        <v>24</v>
      </c>
      <c r="F1330">
        <v>23</v>
      </c>
      <c r="G1330" t="s">
        <v>39</v>
      </c>
      <c r="H1330" t="s">
        <v>48</v>
      </c>
      <c r="I1330" t="s">
        <v>27</v>
      </c>
      <c r="J1330" t="s">
        <v>28</v>
      </c>
      <c r="K1330" t="s">
        <v>27</v>
      </c>
      <c r="L1330" t="s">
        <v>56</v>
      </c>
      <c r="M1330" t="s">
        <v>29</v>
      </c>
      <c r="N1330" t="s">
        <v>42</v>
      </c>
      <c r="O1330">
        <v>3540</v>
      </c>
      <c r="P1330">
        <v>1</v>
      </c>
      <c r="Q1330" t="s">
        <v>36</v>
      </c>
      <c r="R1330">
        <v>21</v>
      </c>
      <c r="S1330" t="s">
        <v>43</v>
      </c>
      <c r="T1330" t="s">
        <v>31</v>
      </c>
      <c r="U1330">
        <v>5</v>
      </c>
      <c r="V1330" t="s">
        <v>44</v>
      </c>
      <c r="W1330" t="str">
        <f>IF(HR_Data[[#This Row],[age]]&lt;25,"Under 25",IF(HR_Data[[#This Row],[age]]&lt;35,"25-34",IF(HR_Data[[#This Row],[age]]&lt;45,"35-44",IF(HR_Data[[#This Row],[age]]&lt;55,"45-54","55+"))))</f>
        <v>25-34</v>
      </c>
      <c r="X1330" t="str">
        <f t="shared" si="20"/>
        <v>3,000-4,999</v>
      </c>
    </row>
    <row r="1331" spans="1:24" x14ac:dyDescent="0.3">
      <c r="A1331">
        <v>1865</v>
      </c>
      <c r="B1331">
        <v>29</v>
      </c>
      <c r="C1331" t="s">
        <v>36</v>
      </c>
      <c r="D1331" t="s">
        <v>23</v>
      </c>
      <c r="E1331" t="s">
        <v>62</v>
      </c>
      <c r="F1331">
        <v>6</v>
      </c>
      <c r="G1331" t="s">
        <v>39</v>
      </c>
      <c r="H1331" t="s">
        <v>48</v>
      </c>
      <c r="I1331" t="s">
        <v>31</v>
      </c>
      <c r="J1331" t="s">
        <v>40</v>
      </c>
      <c r="K1331" t="s">
        <v>27</v>
      </c>
      <c r="L1331" t="s">
        <v>62</v>
      </c>
      <c r="M1331" t="s">
        <v>27</v>
      </c>
      <c r="N1331" t="s">
        <v>42</v>
      </c>
      <c r="O1331">
        <v>2804</v>
      </c>
      <c r="P1331">
        <v>1</v>
      </c>
      <c r="Q1331" t="s">
        <v>36</v>
      </c>
      <c r="R1331">
        <v>11</v>
      </c>
      <c r="S1331" t="s">
        <v>33</v>
      </c>
      <c r="T1331" t="s">
        <v>31</v>
      </c>
      <c r="U1331">
        <v>3</v>
      </c>
      <c r="V1331" t="s">
        <v>44</v>
      </c>
      <c r="W1331" t="str">
        <f>IF(HR_Data[[#This Row],[age]]&lt;25,"Under 25",IF(HR_Data[[#This Row],[age]]&lt;35,"25-34",IF(HR_Data[[#This Row],[age]]&lt;45,"35-44",IF(HR_Data[[#This Row],[age]]&lt;55,"45-54","55+"))))</f>
        <v>25-34</v>
      </c>
      <c r="X1331" t="str">
        <f t="shared" si="20"/>
        <v>Below 3,000</v>
      </c>
    </row>
    <row r="1332" spans="1:24" x14ac:dyDescent="0.3">
      <c r="A1332">
        <v>1866</v>
      </c>
      <c r="B1332">
        <v>43</v>
      </c>
      <c r="C1332" t="s">
        <v>36</v>
      </c>
      <c r="D1332" t="s">
        <v>23</v>
      </c>
      <c r="E1332" t="s">
        <v>38</v>
      </c>
      <c r="F1332">
        <v>6</v>
      </c>
      <c r="G1332" t="s">
        <v>50</v>
      </c>
      <c r="H1332" t="s">
        <v>48</v>
      </c>
      <c r="I1332" t="s">
        <v>34</v>
      </c>
      <c r="J1332" t="s">
        <v>28</v>
      </c>
      <c r="K1332" t="s">
        <v>27</v>
      </c>
      <c r="L1332" t="s">
        <v>55</v>
      </c>
      <c r="M1332" t="s">
        <v>29</v>
      </c>
      <c r="N1332" t="s">
        <v>42</v>
      </c>
      <c r="O1332">
        <v>19392</v>
      </c>
      <c r="P1332">
        <v>7</v>
      </c>
      <c r="Q1332" t="s">
        <v>36</v>
      </c>
      <c r="R1332">
        <v>13</v>
      </c>
      <c r="S1332" t="s">
        <v>33</v>
      </c>
      <c r="T1332" t="s">
        <v>31</v>
      </c>
      <c r="U1332">
        <v>2</v>
      </c>
      <c r="V1332" t="s">
        <v>44</v>
      </c>
      <c r="W1332" t="str">
        <f>IF(HR_Data[[#This Row],[age]]&lt;25,"Under 25",IF(HR_Data[[#This Row],[age]]&lt;35,"25-34",IF(HR_Data[[#This Row],[age]]&lt;45,"35-44",IF(HR_Data[[#This Row],[age]]&lt;55,"45-54","55+"))))</f>
        <v>35-44</v>
      </c>
      <c r="X1332" t="str">
        <f t="shared" si="20"/>
        <v>8,000+</v>
      </c>
    </row>
    <row r="1333" spans="1:24" x14ac:dyDescent="0.3">
      <c r="A1333">
        <v>1867</v>
      </c>
      <c r="B1333">
        <v>48</v>
      </c>
      <c r="C1333" t="s">
        <v>36</v>
      </c>
      <c r="D1333" t="s">
        <v>23</v>
      </c>
      <c r="E1333" t="s">
        <v>38</v>
      </c>
      <c r="F1333">
        <v>10</v>
      </c>
      <c r="G1333" t="s">
        <v>50</v>
      </c>
      <c r="H1333" t="s">
        <v>26</v>
      </c>
      <c r="I1333" t="s">
        <v>31</v>
      </c>
      <c r="J1333" t="s">
        <v>40</v>
      </c>
      <c r="K1333" t="s">
        <v>27</v>
      </c>
      <c r="L1333" t="s">
        <v>57</v>
      </c>
      <c r="M1333" t="s">
        <v>27</v>
      </c>
      <c r="N1333" t="s">
        <v>42</v>
      </c>
      <c r="O1333">
        <v>19665</v>
      </c>
      <c r="P1333">
        <v>4</v>
      </c>
      <c r="Q1333" t="s">
        <v>36</v>
      </c>
      <c r="R1333">
        <v>12</v>
      </c>
      <c r="S1333" t="s">
        <v>33</v>
      </c>
      <c r="T1333" t="s">
        <v>31</v>
      </c>
      <c r="U1333">
        <v>3</v>
      </c>
      <c r="V1333" t="s">
        <v>44</v>
      </c>
      <c r="W1333" t="str">
        <f>IF(HR_Data[[#This Row],[age]]&lt;25,"Under 25",IF(HR_Data[[#This Row],[age]]&lt;35,"25-34",IF(HR_Data[[#This Row],[age]]&lt;45,"35-44",IF(HR_Data[[#This Row],[age]]&lt;55,"45-54","55+"))))</f>
        <v>45-54</v>
      </c>
      <c r="X1333" t="str">
        <f t="shared" si="20"/>
        <v>8,000+</v>
      </c>
    </row>
    <row r="1334" spans="1:24" x14ac:dyDescent="0.3">
      <c r="A1334">
        <v>1868</v>
      </c>
      <c r="B1334">
        <v>29</v>
      </c>
      <c r="C1334" t="s">
        <v>22</v>
      </c>
      <c r="D1334" t="s">
        <v>37</v>
      </c>
      <c r="E1334" t="s">
        <v>38</v>
      </c>
      <c r="F1334">
        <v>24</v>
      </c>
      <c r="G1334" t="s">
        <v>25</v>
      </c>
      <c r="H1334" t="s">
        <v>26</v>
      </c>
      <c r="I1334" t="s">
        <v>31</v>
      </c>
      <c r="J1334" t="s">
        <v>40</v>
      </c>
      <c r="K1334" t="s">
        <v>27</v>
      </c>
      <c r="L1334" t="s">
        <v>41</v>
      </c>
      <c r="M1334" t="s">
        <v>31</v>
      </c>
      <c r="N1334" t="s">
        <v>32</v>
      </c>
      <c r="O1334">
        <v>2439</v>
      </c>
      <c r="P1334">
        <v>1</v>
      </c>
      <c r="Q1334" t="s">
        <v>22</v>
      </c>
      <c r="R1334">
        <v>24</v>
      </c>
      <c r="S1334" t="s">
        <v>43</v>
      </c>
      <c r="T1334" t="s">
        <v>27</v>
      </c>
      <c r="U1334">
        <v>3</v>
      </c>
      <c r="V1334" t="s">
        <v>49</v>
      </c>
      <c r="W1334" t="str">
        <f>IF(HR_Data[[#This Row],[age]]&lt;25,"Under 25",IF(HR_Data[[#This Row],[age]]&lt;35,"25-34",IF(HR_Data[[#This Row],[age]]&lt;45,"35-44",IF(HR_Data[[#This Row],[age]]&lt;55,"45-54","55+"))))</f>
        <v>25-34</v>
      </c>
      <c r="X1334" t="str">
        <f t="shared" si="20"/>
        <v>Below 3,000</v>
      </c>
    </row>
    <row r="1335" spans="1:24" x14ac:dyDescent="0.3">
      <c r="A1335">
        <v>1869</v>
      </c>
      <c r="B1335">
        <v>46</v>
      </c>
      <c r="C1335" t="s">
        <v>22</v>
      </c>
      <c r="D1335" t="s">
        <v>23</v>
      </c>
      <c r="E1335" t="s">
        <v>24</v>
      </c>
      <c r="F1335">
        <v>10</v>
      </c>
      <c r="G1335" t="s">
        <v>50</v>
      </c>
      <c r="H1335" t="s">
        <v>26</v>
      </c>
      <c r="I1335" t="s">
        <v>29</v>
      </c>
      <c r="J1335" t="s">
        <v>28</v>
      </c>
      <c r="K1335" t="s">
        <v>29</v>
      </c>
      <c r="L1335" t="s">
        <v>30</v>
      </c>
      <c r="M1335" t="s">
        <v>27</v>
      </c>
      <c r="N1335" t="s">
        <v>42</v>
      </c>
      <c r="O1335">
        <v>7314</v>
      </c>
      <c r="P1335">
        <v>5</v>
      </c>
      <c r="Q1335" t="s">
        <v>36</v>
      </c>
      <c r="R1335">
        <v>21</v>
      </c>
      <c r="S1335" t="s">
        <v>43</v>
      </c>
      <c r="T1335" t="s">
        <v>29</v>
      </c>
      <c r="U1335">
        <v>2</v>
      </c>
      <c r="V1335" t="s">
        <v>44</v>
      </c>
      <c r="W1335" t="str">
        <f>IF(HR_Data[[#This Row],[age]]&lt;25,"Under 25",IF(HR_Data[[#This Row],[age]]&lt;35,"25-34",IF(HR_Data[[#This Row],[age]]&lt;45,"35-44",IF(HR_Data[[#This Row],[age]]&lt;55,"45-54","55+"))))</f>
        <v>45-54</v>
      </c>
      <c r="X1335" t="str">
        <f t="shared" si="20"/>
        <v>5,000-7,999</v>
      </c>
    </row>
    <row r="1336" spans="1:24" x14ac:dyDescent="0.3">
      <c r="A1336">
        <v>1870</v>
      </c>
      <c r="B1336">
        <v>27</v>
      </c>
      <c r="C1336" t="s">
        <v>36</v>
      </c>
      <c r="D1336" t="s">
        <v>37</v>
      </c>
      <c r="E1336" t="s">
        <v>38</v>
      </c>
      <c r="F1336">
        <v>15</v>
      </c>
      <c r="G1336" t="s">
        <v>50</v>
      </c>
      <c r="H1336" t="s">
        <v>26</v>
      </c>
      <c r="I1336" t="s">
        <v>31</v>
      </c>
      <c r="J1336" t="s">
        <v>28</v>
      </c>
      <c r="K1336" t="s">
        <v>27</v>
      </c>
      <c r="L1336" t="s">
        <v>41</v>
      </c>
      <c r="M1336" t="s">
        <v>34</v>
      </c>
      <c r="N1336" t="s">
        <v>42</v>
      </c>
      <c r="O1336">
        <v>4774</v>
      </c>
      <c r="P1336">
        <v>0</v>
      </c>
      <c r="Q1336" t="s">
        <v>36</v>
      </c>
      <c r="R1336">
        <v>19</v>
      </c>
      <c r="S1336" t="s">
        <v>33</v>
      </c>
      <c r="T1336" t="s">
        <v>31</v>
      </c>
      <c r="U1336">
        <v>2</v>
      </c>
      <c r="V1336" t="s">
        <v>49</v>
      </c>
      <c r="W1336" t="str">
        <f>IF(HR_Data[[#This Row],[age]]&lt;25,"Under 25",IF(HR_Data[[#This Row],[age]]&lt;35,"25-34",IF(HR_Data[[#This Row],[age]]&lt;45,"35-44",IF(HR_Data[[#This Row],[age]]&lt;55,"45-54","55+"))))</f>
        <v>25-34</v>
      </c>
      <c r="X1336" t="str">
        <f t="shared" si="20"/>
        <v>3,000-4,999</v>
      </c>
    </row>
    <row r="1337" spans="1:24" x14ac:dyDescent="0.3">
      <c r="A1337">
        <v>1871</v>
      </c>
      <c r="B1337">
        <v>39</v>
      </c>
      <c r="C1337" t="s">
        <v>36</v>
      </c>
      <c r="D1337" t="s">
        <v>23</v>
      </c>
      <c r="E1337" t="s">
        <v>38</v>
      </c>
      <c r="F1337">
        <v>19</v>
      </c>
      <c r="G1337" t="s">
        <v>47</v>
      </c>
      <c r="H1337" t="s">
        <v>45</v>
      </c>
      <c r="I1337" t="s">
        <v>31</v>
      </c>
      <c r="J1337" t="s">
        <v>40</v>
      </c>
      <c r="K1337" t="s">
        <v>29</v>
      </c>
      <c r="L1337" t="s">
        <v>41</v>
      </c>
      <c r="M1337" t="s">
        <v>31</v>
      </c>
      <c r="N1337" t="s">
        <v>51</v>
      </c>
      <c r="O1337">
        <v>3902</v>
      </c>
      <c r="P1337">
        <v>8</v>
      </c>
      <c r="Q1337" t="s">
        <v>36</v>
      </c>
      <c r="R1337">
        <v>14</v>
      </c>
      <c r="S1337" t="s">
        <v>33</v>
      </c>
      <c r="T1337" t="s">
        <v>27</v>
      </c>
      <c r="U1337">
        <v>2</v>
      </c>
      <c r="V1337" t="s">
        <v>44</v>
      </c>
      <c r="W1337" t="str">
        <f>IF(HR_Data[[#This Row],[age]]&lt;25,"Under 25",IF(HR_Data[[#This Row],[age]]&lt;35,"25-34",IF(HR_Data[[#This Row],[age]]&lt;45,"35-44",IF(HR_Data[[#This Row],[age]]&lt;55,"45-54","55+"))))</f>
        <v>35-44</v>
      </c>
      <c r="X1337" t="str">
        <f t="shared" si="20"/>
        <v>3,000-4,999</v>
      </c>
    </row>
    <row r="1338" spans="1:24" x14ac:dyDescent="0.3">
      <c r="A1338">
        <v>1873</v>
      </c>
      <c r="B1338">
        <v>55</v>
      </c>
      <c r="C1338" t="s">
        <v>36</v>
      </c>
      <c r="D1338" t="s">
        <v>23</v>
      </c>
      <c r="E1338" t="s">
        <v>38</v>
      </c>
      <c r="F1338">
        <v>2</v>
      </c>
      <c r="G1338" t="s">
        <v>47</v>
      </c>
      <c r="H1338" t="s">
        <v>60</v>
      </c>
      <c r="I1338" t="s">
        <v>27</v>
      </c>
      <c r="J1338" t="s">
        <v>40</v>
      </c>
      <c r="K1338" t="s">
        <v>27</v>
      </c>
      <c r="L1338" t="s">
        <v>41</v>
      </c>
      <c r="M1338" t="s">
        <v>31</v>
      </c>
      <c r="N1338" t="s">
        <v>42</v>
      </c>
      <c r="O1338">
        <v>2662</v>
      </c>
      <c r="P1338">
        <v>8</v>
      </c>
      <c r="Q1338" t="s">
        <v>36</v>
      </c>
      <c r="R1338">
        <v>20</v>
      </c>
      <c r="S1338" t="s">
        <v>43</v>
      </c>
      <c r="T1338" t="s">
        <v>27</v>
      </c>
      <c r="U1338">
        <v>2</v>
      </c>
      <c r="V1338" t="s">
        <v>59</v>
      </c>
      <c r="W1338" t="str">
        <f>IF(HR_Data[[#This Row],[age]]&lt;25,"Under 25",IF(HR_Data[[#This Row],[age]]&lt;35,"25-34",IF(HR_Data[[#This Row],[age]]&lt;45,"35-44",IF(HR_Data[[#This Row],[age]]&lt;55,"45-54","55+"))))</f>
        <v>55+</v>
      </c>
      <c r="X1338" t="str">
        <f t="shared" si="20"/>
        <v>Below 3,000</v>
      </c>
    </row>
    <row r="1339" spans="1:24" x14ac:dyDescent="0.3">
      <c r="A1339">
        <v>1875</v>
      </c>
      <c r="B1339">
        <v>28</v>
      </c>
      <c r="C1339" t="s">
        <v>36</v>
      </c>
      <c r="D1339" t="s">
        <v>23</v>
      </c>
      <c r="E1339" t="s">
        <v>24</v>
      </c>
      <c r="F1339">
        <v>3</v>
      </c>
      <c r="G1339" t="s">
        <v>50</v>
      </c>
      <c r="H1339" t="s">
        <v>48</v>
      </c>
      <c r="I1339" t="s">
        <v>27</v>
      </c>
      <c r="J1339" t="s">
        <v>28</v>
      </c>
      <c r="K1339" t="s">
        <v>29</v>
      </c>
      <c r="L1339" t="s">
        <v>56</v>
      </c>
      <c r="M1339" t="s">
        <v>27</v>
      </c>
      <c r="N1339" t="s">
        <v>42</v>
      </c>
      <c r="O1339">
        <v>2856</v>
      </c>
      <c r="P1339">
        <v>1</v>
      </c>
      <c r="Q1339" t="s">
        <v>36</v>
      </c>
      <c r="R1339">
        <v>19</v>
      </c>
      <c r="S1339" t="s">
        <v>33</v>
      </c>
      <c r="T1339" t="s">
        <v>31</v>
      </c>
      <c r="U1339">
        <v>3</v>
      </c>
      <c r="V1339" t="s">
        <v>44</v>
      </c>
      <c r="W1339" t="str">
        <f>IF(HR_Data[[#This Row],[age]]&lt;25,"Under 25",IF(HR_Data[[#This Row],[age]]&lt;35,"25-34",IF(HR_Data[[#This Row],[age]]&lt;45,"35-44",IF(HR_Data[[#This Row],[age]]&lt;55,"45-54","55+"))))</f>
        <v>25-34</v>
      </c>
      <c r="X1339" t="str">
        <f t="shared" si="20"/>
        <v>Below 3,000</v>
      </c>
    </row>
    <row r="1340" spans="1:24" x14ac:dyDescent="0.3">
      <c r="A1340">
        <v>1876</v>
      </c>
      <c r="B1340">
        <v>30</v>
      </c>
      <c r="C1340" t="s">
        <v>22</v>
      </c>
      <c r="D1340" t="s">
        <v>23</v>
      </c>
      <c r="E1340" t="s">
        <v>24</v>
      </c>
      <c r="F1340">
        <v>9</v>
      </c>
      <c r="G1340" t="s">
        <v>50</v>
      </c>
      <c r="H1340" t="s">
        <v>48</v>
      </c>
      <c r="I1340" t="s">
        <v>27</v>
      </c>
      <c r="J1340" t="s">
        <v>40</v>
      </c>
      <c r="K1340" t="s">
        <v>29</v>
      </c>
      <c r="L1340" t="s">
        <v>56</v>
      </c>
      <c r="M1340" t="s">
        <v>31</v>
      </c>
      <c r="N1340" t="s">
        <v>32</v>
      </c>
      <c r="O1340">
        <v>1081</v>
      </c>
      <c r="P1340">
        <v>1</v>
      </c>
      <c r="Q1340" t="s">
        <v>36</v>
      </c>
      <c r="R1340">
        <v>13</v>
      </c>
      <c r="S1340" t="s">
        <v>33</v>
      </c>
      <c r="T1340" t="s">
        <v>29</v>
      </c>
      <c r="U1340">
        <v>3</v>
      </c>
      <c r="V1340" t="s">
        <v>49</v>
      </c>
      <c r="W1340" t="str">
        <f>IF(HR_Data[[#This Row],[age]]&lt;25,"Under 25",IF(HR_Data[[#This Row],[age]]&lt;35,"25-34",IF(HR_Data[[#This Row],[age]]&lt;45,"35-44",IF(HR_Data[[#This Row],[age]]&lt;55,"45-54","55+"))))</f>
        <v>25-34</v>
      </c>
      <c r="X1340" t="str">
        <f t="shared" si="20"/>
        <v>Below 3,000</v>
      </c>
    </row>
    <row r="1341" spans="1:24" x14ac:dyDescent="0.3">
      <c r="A1341">
        <v>1878</v>
      </c>
      <c r="B1341">
        <v>22</v>
      </c>
      <c r="C1341" t="s">
        <v>22</v>
      </c>
      <c r="D1341" t="s">
        <v>23</v>
      </c>
      <c r="E1341" t="s">
        <v>38</v>
      </c>
      <c r="F1341">
        <v>7</v>
      </c>
      <c r="G1341" t="s">
        <v>39</v>
      </c>
      <c r="H1341" t="s">
        <v>26</v>
      </c>
      <c r="I1341" t="s">
        <v>31</v>
      </c>
      <c r="J1341" t="s">
        <v>40</v>
      </c>
      <c r="K1341" t="s">
        <v>29</v>
      </c>
      <c r="L1341" t="s">
        <v>41</v>
      </c>
      <c r="M1341" t="s">
        <v>27</v>
      </c>
      <c r="N1341" t="s">
        <v>32</v>
      </c>
      <c r="O1341">
        <v>2472</v>
      </c>
      <c r="P1341">
        <v>1</v>
      </c>
      <c r="Q1341" t="s">
        <v>22</v>
      </c>
      <c r="R1341">
        <v>23</v>
      </c>
      <c r="S1341" t="s">
        <v>43</v>
      </c>
      <c r="T1341" t="s">
        <v>34</v>
      </c>
      <c r="U1341">
        <v>2</v>
      </c>
      <c r="V1341" t="s">
        <v>44</v>
      </c>
      <c r="W1341" t="str">
        <f>IF(HR_Data[[#This Row],[age]]&lt;25,"Under 25",IF(HR_Data[[#This Row],[age]]&lt;35,"25-34",IF(HR_Data[[#This Row],[age]]&lt;45,"35-44",IF(HR_Data[[#This Row],[age]]&lt;55,"45-54","55+"))))</f>
        <v>Under 25</v>
      </c>
      <c r="X1341" t="str">
        <f t="shared" si="20"/>
        <v>Below 3,000</v>
      </c>
    </row>
    <row r="1342" spans="1:24" x14ac:dyDescent="0.3">
      <c r="A1342">
        <v>1880</v>
      </c>
      <c r="B1342">
        <v>36</v>
      </c>
      <c r="C1342" t="s">
        <v>36</v>
      </c>
      <c r="D1342" t="s">
        <v>23</v>
      </c>
      <c r="E1342" t="s">
        <v>24</v>
      </c>
      <c r="F1342">
        <v>10</v>
      </c>
      <c r="G1342" t="s">
        <v>47</v>
      </c>
      <c r="H1342" t="s">
        <v>60</v>
      </c>
      <c r="I1342" t="s">
        <v>27</v>
      </c>
      <c r="J1342" t="s">
        <v>28</v>
      </c>
      <c r="K1342" t="s">
        <v>27</v>
      </c>
      <c r="L1342" t="s">
        <v>30</v>
      </c>
      <c r="M1342" t="s">
        <v>29</v>
      </c>
      <c r="N1342" t="s">
        <v>42</v>
      </c>
      <c r="O1342">
        <v>5673</v>
      </c>
      <c r="P1342">
        <v>1</v>
      </c>
      <c r="Q1342" t="s">
        <v>22</v>
      </c>
      <c r="R1342">
        <v>13</v>
      </c>
      <c r="S1342" t="s">
        <v>33</v>
      </c>
      <c r="T1342" t="s">
        <v>34</v>
      </c>
      <c r="U1342">
        <v>4</v>
      </c>
      <c r="V1342" t="s">
        <v>44</v>
      </c>
      <c r="W1342" t="str">
        <f>IF(HR_Data[[#This Row],[age]]&lt;25,"Under 25",IF(HR_Data[[#This Row],[age]]&lt;35,"25-34",IF(HR_Data[[#This Row],[age]]&lt;45,"35-44",IF(HR_Data[[#This Row],[age]]&lt;55,"45-54","55+"))))</f>
        <v>35-44</v>
      </c>
      <c r="X1342" t="str">
        <f t="shared" si="20"/>
        <v>5,000-7,999</v>
      </c>
    </row>
    <row r="1343" spans="1:24" x14ac:dyDescent="0.3">
      <c r="A1343">
        <v>1881</v>
      </c>
      <c r="B1343">
        <v>31</v>
      </c>
      <c r="C1343" t="s">
        <v>36</v>
      </c>
      <c r="D1343" t="s">
        <v>23</v>
      </c>
      <c r="E1343" t="s">
        <v>38</v>
      </c>
      <c r="F1343">
        <v>20</v>
      </c>
      <c r="G1343" t="s">
        <v>50</v>
      </c>
      <c r="H1343" t="s">
        <v>26</v>
      </c>
      <c r="I1343" t="s">
        <v>27</v>
      </c>
      <c r="J1343" t="s">
        <v>40</v>
      </c>
      <c r="K1343" t="s">
        <v>29</v>
      </c>
      <c r="L1343" t="s">
        <v>46</v>
      </c>
      <c r="M1343" t="s">
        <v>29</v>
      </c>
      <c r="N1343" t="s">
        <v>51</v>
      </c>
      <c r="O1343">
        <v>4197</v>
      </c>
      <c r="P1343">
        <v>1</v>
      </c>
      <c r="Q1343" t="s">
        <v>36</v>
      </c>
      <c r="R1343">
        <v>11</v>
      </c>
      <c r="S1343" t="s">
        <v>33</v>
      </c>
      <c r="T1343" t="s">
        <v>34</v>
      </c>
      <c r="U1343">
        <v>2</v>
      </c>
      <c r="V1343" t="s">
        <v>44</v>
      </c>
      <c r="W1343" t="str">
        <f>IF(HR_Data[[#This Row],[age]]&lt;25,"Under 25",IF(HR_Data[[#This Row],[age]]&lt;35,"25-34",IF(HR_Data[[#This Row],[age]]&lt;45,"35-44",IF(HR_Data[[#This Row],[age]]&lt;55,"45-54","55+"))))</f>
        <v>25-34</v>
      </c>
      <c r="X1343" t="str">
        <f t="shared" si="20"/>
        <v>3,000-4,999</v>
      </c>
    </row>
    <row r="1344" spans="1:24" x14ac:dyDescent="0.3">
      <c r="A1344">
        <v>1882</v>
      </c>
      <c r="B1344">
        <v>34</v>
      </c>
      <c r="C1344" t="s">
        <v>36</v>
      </c>
      <c r="D1344" t="s">
        <v>23</v>
      </c>
      <c r="E1344" t="s">
        <v>24</v>
      </c>
      <c r="F1344">
        <v>4</v>
      </c>
      <c r="G1344" t="s">
        <v>50</v>
      </c>
      <c r="H1344" t="s">
        <v>26</v>
      </c>
      <c r="I1344" t="s">
        <v>29</v>
      </c>
      <c r="J1344" t="s">
        <v>40</v>
      </c>
      <c r="K1344" t="s">
        <v>29</v>
      </c>
      <c r="L1344" t="s">
        <v>30</v>
      </c>
      <c r="M1344" t="s">
        <v>31</v>
      </c>
      <c r="N1344" t="s">
        <v>42</v>
      </c>
      <c r="O1344">
        <v>9713</v>
      </c>
      <c r="P1344">
        <v>2</v>
      </c>
      <c r="Q1344" t="s">
        <v>22</v>
      </c>
      <c r="R1344">
        <v>13</v>
      </c>
      <c r="S1344" t="s">
        <v>33</v>
      </c>
      <c r="T1344" t="s">
        <v>31</v>
      </c>
      <c r="U1344">
        <v>3</v>
      </c>
      <c r="V1344" t="s">
        <v>44</v>
      </c>
      <c r="W1344" t="str">
        <f>IF(HR_Data[[#This Row],[age]]&lt;25,"Under 25",IF(HR_Data[[#This Row],[age]]&lt;35,"25-34",IF(HR_Data[[#This Row],[age]]&lt;45,"35-44",IF(HR_Data[[#This Row],[age]]&lt;55,"45-54","55+"))))</f>
        <v>25-34</v>
      </c>
      <c r="X1344" t="str">
        <f t="shared" si="20"/>
        <v>8,000+</v>
      </c>
    </row>
    <row r="1345" spans="1:24" x14ac:dyDescent="0.3">
      <c r="A1345">
        <v>1883</v>
      </c>
      <c r="B1345">
        <v>29</v>
      </c>
      <c r="C1345" t="s">
        <v>36</v>
      </c>
      <c r="D1345" t="s">
        <v>23</v>
      </c>
      <c r="E1345" t="s">
        <v>38</v>
      </c>
      <c r="F1345">
        <v>7</v>
      </c>
      <c r="G1345" t="s">
        <v>50</v>
      </c>
      <c r="H1345" t="s">
        <v>26</v>
      </c>
      <c r="I1345" t="s">
        <v>31</v>
      </c>
      <c r="J1345" t="s">
        <v>40</v>
      </c>
      <c r="K1345" t="s">
        <v>29</v>
      </c>
      <c r="L1345" t="s">
        <v>46</v>
      </c>
      <c r="M1345" t="s">
        <v>34</v>
      </c>
      <c r="N1345" t="s">
        <v>32</v>
      </c>
      <c r="O1345">
        <v>2062</v>
      </c>
      <c r="P1345">
        <v>3</v>
      </c>
      <c r="Q1345" t="s">
        <v>36</v>
      </c>
      <c r="R1345">
        <v>14</v>
      </c>
      <c r="S1345" t="s">
        <v>33</v>
      </c>
      <c r="T1345" t="s">
        <v>27</v>
      </c>
      <c r="U1345">
        <v>2</v>
      </c>
      <c r="V1345" t="s">
        <v>44</v>
      </c>
      <c r="W1345" t="str">
        <f>IF(HR_Data[[#This Row],[age]]&lt;25,"Under 25",IF(HR_Data[[#This Row],[age]]&lt;35,"25-34",IF(HR_Data[[#This Row],[age]]&lt;45,"35-44",IF(HR_Data[[#This Row],[age]]&lt;55,"45-54","55+"))))</f>
        <v>25-34</v>
      </c>
      <c r="X1345" t="str">
        <f t="shared" si="20"/>
        <v>Below 3,000</v>
      </c>
    </row>
    <row r="1346" spans="1:24" x14ac:dyDescent="0.3">
      <c r="A1346">
        <v>1885</v>
      </c>
      <c r="B1346">
        <v>37</v>
      </c>
      <c r="C1346" t="s">
        <v>36</v>
      </c>
      <c r="D1346" t="s">
        <v>23</v>
      </c>
      <c r="E1346" t="s">
        <v>38</v>
      </c>
      <c r="F1346">
        <v>7</v>
      </c>
      <c r="G1346" t="s">
        <v>47</v>
      </c>
      <c r="H1346" t="s">
        <v>48</v>
      </c>
      <c r="I1346" t="s">
        <v>31</v>
      </c>
      <c r="J1346" t="s">
        <v>40</v>
      </c>
      <c r="K1346" t="s">
        <v>29</v>
      </c>
      <c r="L1346" t="s">
        <v>41</v>
      </c>
      <c r="M1346" t="s">
        <v>34</v>
      </c>
      <c r="N1346" t="s">
        <v>42</v>
      </c>
      <c r="O1346">
        <v>4284</v>
      </c>
      <c r="P1346">
        <v>5</v>
      </c>
      <c r="Q1346" t="s">
        <v>22</v>
      </c>
      <c r="R1346">
        <v>22</v>
      </c>
      <c r="S1346" t="s">
        <v>43</v>
      </c>
      <c r="T1346" t="s">
        <v>29</v>
      </c>
      <c r="U1346">
        <v>2</v>
      </c>
      <c r="V1346" t="s">
        <v>44</v>
      </c>
      <c r="W1346" t="str">
        <f>IF(HR_Data[[#This Row],[age]]&lt;25,"Under 25",IF(HR_Data[[#This Row],[age]]&lt;35,"25-34",IF(HR_Data[[#This Row],[age]]&lt;45,"35-44",IF(HR_Data[[#This Row],[age]]&lt;55,"45-54","55+"))))</f>
        <v>35-44</v>
      </c>
      <c r="X1346" t="str">
        <f t="shared" si="20"/>
        <v>3,000-4,999</v>
      </c>
    </row>
    <row r="1347" spans="1:24" x14ac:dyDescent="0.3">
      <c r="A1347">
        <v>1886</v>
      </c>
      <c r="B1347">
        <v>35</v>
      </c>
      <c r="C1347" t="s">
        <v>36</v>
      </c>
      <c r="D1347" t="s">
        <v>23</v>
      </c>
      <c r="E1347" t="s">
        <v>38</v>
      </c>
      <c r="F1347">
        <v>16</v>
      </c>
      <c r="G1347" t="s">
        <v>25</v>
      </c>
      <c r="H1347" t="s">
        <v>45</v>
      </c>
      <c r="I1347" t="s">
        <v>31</v>
      </c>
      <c r="J1347" t="s">
        <v>28</v>
      </c>
      <c r="K1347" t="s">
        <v>27</v>
      </c>
      <c r="L1347" t="s">
        <v>52</v>
      </c>
      <c r="M1347" t="s">
        <v>27</v>
      </c>
      <c r="N1347" t="s">
        <v>42</v>
      </c>
      <c r="O1347">
        <v>4788</v>
      </c>
      <c r="P1347">
        <v>0</v>
      </c>
      <c r="Q1347" t="s">
        <v>22</v>
      </c>
      <c r="R1347">
        <v>11</v>
      </c>
      <c r="S1347" t="s">
        <v>33</v>
      </c>
      <c r="T1347" t="s">
        <v>31</v>
      </c>
      <c r="U1347">
        <v>2</v>
      </c>
      <c r="V1347" t="s">
        <v>44</v>
      </c>
      <c r="W1347" t="str">
        <f>IF(HR_Data[[#This Row],[age]]&lt;25,"Under 25",IF(HR_Data[[#This Row],[age]]&lt;35,"25-34",IF(HR_Data[[#This Row],[age]]&lt;45,"35-44",IF(HR_Data[[#This Row],[age]]&lt;55,"45-54","55+"))))</f>
        <v>35-44</v>
      </c>
      <c r="X1347" t="str">
        <f t="shared" ref="X1347:X1410" si="21">IF(O1347&lt;3000,"Below 3,000",IF(O1347&lt;5000,"3,000-4,999",IF(O1347&lt;8000,"5,000-7,999","8,000+")))</f>
        <v>3,000-4,999</v>
      </c>
    </row>
    <row r="1348" spans="1:24" x14ac:dyDescent="0.3">
      <c r="A1348">
        <v>1888</v>
      </c>
      <c r="B1348">
        <v>45</v>
      </c>
      <c r="C1348" t="s">
        <v>36</v>
      </c>
      <c r="D1348" t="s">
        <v>23</v>
      </c>
      <c r="E1348" t="s">
        <v>38</v>
      </c>
      <c r="F1348">
        <v>25</v>
      </c>
      <c r="G1348" t="s">
        <v>25</v>
      </c>
      <c r="H1348" t="s">
        <v>26</v>
      </c>
      <c r="I1348" t="s">
        <v>27</v>
      </c>
      <c r="J1348" t="s">
        <v>28</v>
      </c>
      <c r="K1348" t="s">
        <v>27</v>
      </c>
      <c r="L1348" t="s">
        <v>52</v>
      </c>
      <c r="M1348" t="s">
        <v>31</v>
      </c>
      <c r="N1348" t="s">
        <v>42</v>
      </c>
      <c r="O1348">
        <v>5906</v>
      </c>
      <c r="P1348">
        <v>0</v>
      </c>
      <c r="Q1348" t="s">
        <v>36</v>
      </c>
      <c r="R1348">
        <v>13</v>
      </c>
      <c r="S1348" t="s">
        <v>33</v>
      </c>
      <c r="T1348" t="s">
        <v>31</v>
      </c>
      <c r="U1348">
        <v>2</v>
      </c>
      <c r="V1348" t="s">
        <v>49</v>
      </c>
      <c r="W1348" t="str">
        <f>IF(HR_Data[[#This Row],[age]]&lt;25,"Under 25",IF(HR_Data[[#This Row],[age]]&lt;35,"25-34",IF(HR_Data[[#This Row],[age]]&lt;45,"35-44",IF(HR_Data[[#This Row],[age]]&lt;55,"45-54","55+"))))</f>
        <v>45-54</v>
      </c>
      <c r="X1348" t="str">
        <f t="shared" si="21"/>
        <v>5,000-7,999</v>
      </c>
    </row>
    <row r="1349" spans="1:24" x14ac:dyDescent="0.3">
      <c r="A1349">
        <v>1890</v>
      </c>
      <c r="B1349">
        <v>36</v>
      </c>
      <c r="C1349" t="s">
        <v>36</v>
      </c>
      <c r="D1349" t="s">
        <v>37</v>
      </c>
      <c r="E1349" t="s">
        <v>62</v>
      </c>
      <c r="F1349">
        <v>2</v>
      </c>
      <c r="G1349" t="s">
        <v>39</v>
      </c>
      <c r="H1349" t="s">
        <v>62</v>
      </c>
      <c r="I1349" t="s">
        <v>27</v>
      </c>
      <c r="J1349" t="s">
        <v>40</v>
      </c>
      <c r="K1349" t="s">
        <v>27</v>
      </c>
      <c r="L1349" t="s">
        <v>62</v>
      </c>
      <c r="M1349" t="s">
        <v>31</v>
      </c>
      <c r="N1349" t="s">
        <v>32</v>
      </c>
      <c r="O1349">
        <v>3886</v>
      </c>
      <c r="P1349">
        <v>1</v>
      </c>
      <c r="Q1349" t="s">
        <v>36</v>
      </c>
      <c r="R1349">
        <v>21</v>
      </c>
      <c r="S1349" t="s">
        <v>43</v>
      </c>
      <c r="T1349" t="s">
        <v>31</v>
      </c>
      <c r="U1349">
        <v>2</v>
      </c>
      <c r="V1349" t="s">
        <v>49</v>
      </c>
      <c r="W1349" t="str">
        <f>IF(HR_Data[[#This Row],[age]]&lt;25,"Under 25",IF(HR_Data[[#This Row],[age]]&lt;35,"25-34",IF(HR_Data[[#This Row],[age]]&lt;45,"35-44",IF(HR_Data[[#This Row],[age]]&lt;55,"45-54","55+"))))</f>
        <v>35-44</v>
      </c>
      <c r="X1349" t="str">
        <f t="shared" si="21"/>
        <v>3,000-4,999</v>
      </c>
    </row>
    <row r="1350" spans="1:24" x14ac:dyDescent="0.3">
      <c r="A1350">
        <v>1892</v>
      </c>
      <c r="B1350">
        <v>40</v>
      </c>
      <c r="C1350" t="s">
        <v>36</v>
      </c>
      <c r="D1350" t="s">
        <v>23</v>
      </c>
      <c r="E1350" t="s">
        <v>38</v>
      </c>
      <c r="F1350">
        <v>1</v>
      </c>
      <c r="G1350" t="s">
        <v>47</v>
      </c>
      <c r="H1350" t="s">
        <v>26</v>
      </c>
      <c r="I1350" t="s">
        <v>34</v>
      </c>
      <c r="J1350" t="s">
        <v>40</v>
      </c>
      <c r="K1350" t="s">
        <v>29</v>
      </c>
      <c r="L1350" t="s">
        <v>55</v>
      </c>
      <c r="M1350" t="s">
        <v>34</v>
      </c>
      <c r="N1350" t="s">
        <v>51</v>
      </c>
      <c r="O1350">
        <v>16823</v>
      </c>
      <c r="P1350">
        <v>2</v>
      </c>
      <c r="Q1350" t="s">
        <v>36</v>
      </c>
      <c r="R1350">
        <v>11</v>
      </c>
      <c r="S1350" t="s">
        <v>33</v>
      </c>
      <c r="T1350" t="s">
        <v>34</v>
      </c>
      <c r="U1350">
        <v>3</v>
      </c>
      <c r="V1350" t="s">
        <v>44</v>
      </c>
      <c r="W1350" t="str">
        <f>IF(HR_Data[[#This Row],[age]]&lt;25,"Under 25",IF(HR_Data[[#This Row],[age]]&lt;35,"25-34",IF(HR_Data[[#This Row],[age]]&lt;45,"35-44",IF(HR_Data[[#This Row],[age]]&lt;55,"45-54","55+"))))</f>
        <v>35-44</v>
      </c>
      <c r="X1350" t="str">
        <f t="shared" si="21"/>
        <v>8,000+</v>
      </c>
    </row>
    <row r="1351" spans="1:24" x14ac:dyDescent="0.3">
      <c r="A1351">
        <v>1893</v>
      </c>
      <c r="B1351">
        <v>26</v>
      </c>
      <c r="C1351" t="s">
        <v>36</v>
      </c>
      <c r="D1351" t="s">
        <v>23</v>
      </c>
      <c r="E1351" t="s">
        <v>38</v>
      </c>
      <c r="F1351">
        <v>1</v>
      </c>
      <c r="G1351" t="s">
        <v>25</v>
      </c>
      <c r="H1351" t="s">
        <v>26</v>
      </c>
      <c r="I1351" t="s">
        <v>27</v>
      </c>
      <c r="J1351" t="s">
        <v>28</v>
      </c>
      <c r="K1351" t="s">
        <v>27</v>
      </c>
      <c r="L1351" t="s">
        <v>41</v>
      </c>
      <c r="M1351" t="s">
        <v>29</v>
      </c>
      <c r="N1351" t="s">
        <v>42</v>
      </c>
      <c r="O1351">
        <v>2933</v>
      </c>
      <c r="P1351">
        <v>1</v>
      </c>
      <c r="Q1351" t="s">
        <v>22</v>
      </c>
      <c r="R1351">
        <v>13</v>
      </c>
      <c r="S1351" t="s">
        <v>33</v>
      </c>
      <c r="T1351" t="s">
        <v>29</v>
      </c>
      <c r="U1351">
        <v>3</v>
      </c>
      <c r="V1351" t="s">
        <v>49</v>
      </c>
      <c r="W1351" t="str">
        <f>IF(HR_Data[[#This Row],[age]]&lt;25,"Under 25",IF(HR_Data[[#This Row],[age]]&lt;35,"25-34",IF(HR_Data[[#This Row],[age]]&lt;45,"35-44",IF(HR_Data[[#This Row],[age]]&lt;55,"45-54","55+"))))</f>
        <v>25-34</v>
      </c>
      <c r="X1351" t="str">
        <f t="shared" si="21"/>
        <v>Below 3,000</v>
      </c>
    </row>
    <row r="1352" spans="1:24" x14ac:dyDescent="0.3">
      <c r="A1352">
        <v>1898</v>
      </c>
      <c r="B1352">
        <v>27</v>
      </c>
      <c r="C1352" t="s">
        <v>36</v>
      </c>
      <c r="D1352" t="s">
        <v>23</v>
      </c>
      <c r="E1352" t="s">
        <v>24</v>
      </c>
      <c r="F1352">
        <v>2</v>
      </c>
      <c r="G1352" t="s">
        <v>25</v>
      </c>
      <c r="H1352" t="s">
        <v>48</v>
      </c>
      <c r="I1352" t="s">
        <v>34</v>
      </c>
      <c r="J1352" t="s">
        <v>28</v>
      </c>
      <c r="K1352" t="s">
        <v>31</v>
      </c>
      <c r="L1352" t="s">
        <v>30</v>
      </c>
      <c r="M1352" t="s">
        <v>29</v>
      </c>
      <c r="N1352" t="s">
        <v>32</v>
      </c>
      <c r="O1352">
        <v>6500</v>
      </c>
      <c r="P1352">
        <v>0</v>
      </c>
      <c r="Q1352" t="s">
        <v>36</v>
      </c>
      <c r="R1352">
        <v>14</v>
      </c>
      <c r="S1352" t="s">
        <v>33</v>
      </c>
      <c r="T1352" t="s">
        <v>27</v>
      </c>
      <c r="U1352">
        <v>5</v>
      </c>
      <c r="V1352" t="s">
        <v>49</v>
      </c>
      <c r="W1352" t="str">
        <f>IF(HR_Data[[#This Row],[age]]&lt;25,"Under 25",IF(HR_Data[[#This Row],[age]]&lt;35,"25-34",IF(HR_Data[[#This Row],[age]]&lt;45,"35-44",IF(HR_Data[[#This Row],[age]]&lt;55,"45-54","55+"))))</f>
        <v>25-34</v>
      </c>
      <c r="X1352" t="str">
        <f t="shared" si="21"/>
        <v>5,000-7,999</v>
      </c>
    </row>
    <row r="1353" spans="1:24" x14ac:dyDescent="0.3">
      <c r="A1353">
        <v>1900</v>
      </c>
      <c r="B1353">
        <v>48</v>
      </c>
      <c r="C1353" t="s">
        <v>36</v>
      </c>
      <c r="D1353" t="s">
        <v>37</v>
      </c>
      <c r="E1353" t="s">
        <v>38</v>
      </c>
      <c r="F1353">
        <v>22</v>
      </c>
      <c r="G1353" t="s">
        <v>50</v>
      </c>
      <c r="H1353" t="s">
        <v>48</v>
      </c>
      <c r="I1353" t="s">
        <v>31</v>
      </c>
      <c r="J1353" t="s">
        <v>28</v>
      </c>
      <c r="K1353" t="s">
        <v>29</v>
      </c>
      <c r="L1353" t="s">
        <v>55</v>
      </c>
      <c r="M1353" t="s">
        <v>31</v>
      </c>
      <c r="N1353" t="s">
        <v>51</v>
      </c>
      <c r="O1353">
        <v>17174</v>
      </c>
      <c r="P1353">
        <v>3</v>
      </c>
      <c r="Q1353" t="s">
        <v>36</v>
      </c>
      <c r="R1353">
        <v>11</v>
      </c>
      <c r="S1353" t="s">
        <v>33</v>
      </c>
      <c r="T1353" t="s">
        <v>27</v>
      </c>
      <c r="U1353">
        <v>3</v>
      </c>
      <c r="V1353" t="s">
        <v>44</v>
      </c>
      <c r="W1353" t="str">
        <f>IF(HR_Data[[#This Row],[age]]&lt;25,"Under 25",IF(HR_Data[[#This Row],[age]]&lt;35,"25-34",IF(HR_Data[[#This Row],[age]]&lt;45,"35-44",IF(HR_Data[[#This Row],[age]]&lt;55,"45-54","55+"))))</f>
        <v>45-54</v>
      </c>
      <c r="X1353" t="str">
        <f t="shared" si="21"/>
        <v>8,000+</v>
      </c>
    </row>
    <row r="1354" spans="1:24" x14ac:dyDescent="0.3">
      <c r="A1354">
        <v>1903</v>
      </c>
      <c r="B1354">
        <v>44</v>
      </c>
      <c r="C1354" t="s">
        <v>36</v>
      </c>
      <c r="D1354" t="s">
        <v>23</v>
      </c>
      <c r="E1354" t="s">
        <v>38</v>
      </c>
      <c r="F1354">
        <v>1</v>
      </c>
      <c r="G1354" t="s">
        <v>47</v>
      </c>
      <c r="H1354" t="s">
        <v>26</v>
      </c>
      <c r="I1354" t="s">
        <v>27</v>
      </c>
      <c r="J1354" t="s">
        <v>40</v>
      </c>
      <c r="K1354" t="s">
        <v>31</v>
      </c>
      <c r="L1354" t="s">
        <v>53</v>
      </c>
      <c r="M1354" t="s">
        <v>34</v>
      </c>
      <c r="N1354" t="s">
        <v>42</v>
      </c>
      <c r="O1354">
        <v>5033</v>
      </c>
      <c r="P1354">
        <v>2</v>
      </c>
      <c r="Q1354" t="s">
        <v>36</v>
      </c>
      <c r="R1354">
        <v>15</v>
      </c>
      <c r="S1354" t="s">
        <v>33</v>
      </c>
      <c r="T1354" t="s">
        <v>31</v>
      </c>
      <c r="U1354">
        <v>5</v>
      </c>
      <c r="V1354" t="s">
        <v>44</v>
      </c>
      <c r="W1354" t="str">
        <f>IF(HR_Data[[#This Row],[age]]&lt;25,"Under 25",IF(HR_Data[[#This Row],[age]]&lt;35,"25-34",IF(HR_Data[[#This Row],[age]]&lt;45,"35-44",IF(HR_Data[[#This Row],[age]]&lt;55,"45-54","55+"))))</f>
        <v>35-44</v>
      </c>
      <c r="X1354" t="str">
        <f t="shared" si="21"/>
        <v>5,000-7,999</v>
      </c>
    </row>
    <row r="1355" spans="1:24" x14ac:dyDescent="0.3">
      <c r="A1355">
        <v>1905</v>
      </c>
      <c r="B1355">
        <v>34</v>
      </c>
      <c r="C1355" t="s">
        <v>22</v>
      </c>
      <c r="D1355" t="s">
        <v>54</v>
      </c>
      <c r="E1355" t="s">
        <v>38</v>
      </c>
      <c r="F1355">
        <v>16</v>
      </c>
      <c r="G1355" t="s">
        <v>47</v>
      </c>
      <c r="H1355" t="s">
        <v>60</v>
      </c>
      <c r="I1355" t="s">
        <v>31</v>
      </c>
      <c r="J1355" t="s">
        <v>40</v>
      </c>
      <c r="K1355" t="s">
        <v>34</v>
      </c>
      <c r="L1355" t="s">
        <v>41</v>
      </c>
      <c r="M1355" t="s">
        <v>34</v>
      </c>
      <c r="N1355" t="s">
        <v>42</v>
      </c>
      <c r="O1355">
        <v>2307</v>
      </c>
      <c r="P1355">
        <v>1</v>
      </c>
      <c r="Q1355" t="s">
        <v>22</v>
      </c>
      <c r="R1355">
        <v>23</v>
      </c>
      <c r="S1355" t="s">
        <v>43</v>
      </c>
      <c r="T1355" t="s">
        <v>27</v>
      </c>
      <c r="U1355">
        <v>2</v>
      </c>
      <c r="V1355" t="s">
        <v>44</v>
      </c>
      <c r="W1355" t="str">
        <f>IF(HR_Data[[#This Row],[age]]&lt;25,"Under 25",IF(HR_Data[[#This Row],[age]]&lt;35,"25-34",IF(HR_Data[[#This Row],[age]]&lt;45,"35-44",IF(HR_Data[[#This Row],[age]]&lt;55,"45-54","55+"))))</f>
        <v>25-34</v>
      </c>
      <c r="X1355" t="str">
        <f t="shared" si="21"/>
        <v>Below 3,000</v>
      </c>
    </row>
    <row r="1356" spans="1:24" x14ac:dyDescent="0.3">
      <c r="A1356">
        <v>1907</v>
      </c>
      <c r="B1356">
        <v>56</v>
      </c>
      <c r="C1356" t="s">
        <v>22</v>
      </c>
      <c r="D1356" t="s">
        <v>23</v>
      </c>
      <c r="E1356" t="s">
        <v>38</v>
      </c>
      <c r="F1356">
        <v>24</v>
      </c>
      <c r="G1356" t="s">
        <v>25</v>
      </c>
      <c r="H1356" t="s">
        <v>26</v>
      </c>
      <c r="I1356" t="s">
        <v>34</v>
      </c>
      <c r="J1356" t="s">
        <v>40</v>
      </c>
      <c r="K1356" t="s">
        <v>29</v>
      </c>
      <c r="L1356" t="s">
        <v>46</v>
      </c>
      <c r="M1356" t="s">
        <v>31</v>
      </c>
      <c r="N1356" t="s">
        <v>32</v>
      </c>
      <c r="O1356">
        <v>2587</v>
      </c>
      <c r="P1356">
        <v>1</v>
      </c>
      <c r="Q1356" t="s">
        <v>36</v>
      </c>
      <c r="R1356">
        <v>16</v>
      </c>
      <c r="S1356" t="s">
        <v>33</v>
      </c>
      <c r="T1356" t="s">
        <v>31</v>
      </c>
      <c r="U1356">
        <v>3</v>
      </c>
      <c r="V1356" t="s">
        <v>44</v>
      </c>
      <c r="W1356" t="str">
        <f>IF(HR_Data[[#This Row],[age]]&lt;25,"Under 25",IF(HR_Data[[#This Row],[age]]&lt;35,"25-34",IF(HR_Data[[#This Row],[age]]&lt;45,"35-44",IF(HR_Data[[#This Row],[age]]&lt;55,"45-54","55+"))))</f>
        <v>55+</v>
      </c>
      <c r="X1356" t="str">
        <f t="shared" si="21"/>
        <v>Below 3,000</v>
      </c>
    </row>
    <row r="1357" spans="1:24" x14ac:dyDescent="0.3">
      <c r="A1357">
        <v>1908</v>
      </c>
      <c r="B1357">
        <v>36</v>
      </c>
      <c r="C1357" t="s">
        <v>36</v>
      </c>
      <c r="D1357" t="s">
        <v>23</v>
      </c>
      <c r="E1357" t="s">
        <v>24</v>
      </c>
      <c r="F1357">
        <v>17</v>
      </c>
      <c r="G1357" t="s">
        <v>25</v>
      </c>
      <c r="H1357" t="s">
        <v>58</v>
      </c>
      <c r="I1357" t="s">
        <v>29</v>
      </c>
      <c r="J1357" t="s">
        <v>40</v>
      </c>
      <c r="K1357" t="s">
        <v>27</v>
      </c>
      <c r="L1357" t="s">
        <v>30</v>
      </c>
      <c r="M1357" t="s">
        <v>27</v>
      </c>
      <c r="N1357" t="s">
        <v>42</v>
      </c>
      <c r="O1357">
        <v>5507</v>
      </c>
      <c r="P1357">
        <v>2</v>
      </c>
      <c r="Q1357" t="s">
        <v>36</v>
      </c>
      <c r="R1357">
        <v>16</v>
      </c>
      <c r="S1357" t="s">
        <v>33</v>
      </c>
      <c r="T1357" t="s">
        <v>29</v>
      </c>
      <c r="U1357">
        <v>1</v>
      </c>
      <c r="V1357" t="s">
        <v>35</v>
      </c>
      <c r="W1357" t="str">
        <f>IF(HR_Data[[#This Row],[age]]&lt;25,"Under 25",IF(HR_Data[[#This Row],[age]]&lt;35,"25-34",IF(HR_Data[[#This Row],[age]]&lt;45,"35-44",IF(HR_Data[[#This Row],[age]]&lt;55,"45-54","55+"))))</f>
        <v>35-44</v>
      </c>
      <c r="X1357" t="str">
        <f t="shared" si="21"/>
        <v>5,000-7,999</v>
      </c>
    </row>
    <row r="1358" spans="1:24" x14ac:dyDescent="0.3">
      <c r="A1358">
        <v>1909</v>
      </c>
      <c r="B1358">
        <v>41</v>
      </c>
      <c r="C1358" t="s">
        <v>36</v>
      </c>
      <c r="D1358" t="s">
        <v>23</v>
      </c>
      <c r="E1358" t="s">
        <v>24</v>
      </c>
      <c r="F1358">
        <v>8</v>
      </c>
      <c r="G1358" t="s">
        <v>50</v>
      </c>
      <c r="H1358" t="s">
        <v>58</v>
      </c>
      <c r="I1358" t="s">
        <v>29</v>
      </c>
      <c r="J1358" t="s">
        <v>28</v>
      </c>
      <c r="K1358" t="s">
        <v>29</v>
      </c>
      <c r="L1358" t="s">
        <v>30</v>
      </c>
      <c r="M1358" t="s">
        <v>27</v>
      </c>
      <c r="N1358" t="s">
        <v>42</v>
      </c>
      <c r="O1358">
        <v>4393</v>
      </c>
      <c r="P1358">
        <v>5</v>
      </c>
      <c r="Q1358" t="s">
        <v>36</v>
      </c>
      <c r="R1358">
        <v>21</v>
      </c>
      <c r="S1358" t="s">
        <v>43</v>
      </c>
      <c r="T1358" t="s">
        <v>29</v>
      </c>
      <c r="U1358">
        <v>3</v>
      </c>
      <c r="V1358" t="s">
        <v>44</v>
      </c>
      <c r="W1358" t="str">
        <f>IF(HR_Data[[#This Row],[age]]&lt;25,"Under 25",IF(HR_Data[[#This Row],[age]]&lt;35,"25-34",IF(HR_Data[[#This Row],[age]]&lt;45,"35-44",IF(HR_Data[[#This Row],[age]]&lt;55,"45-54","55+"))))</f>
        <v>35-44</v>
      </c>
      <c r="X1358" t="str">
        <f t="shared" si="21"/>
        <v>3,000-4,999</v>
      </c>
    </row>
    <row r="1359" spans="1:24" x14ac:dyDescent="0.3">
      <c r="A1359">
        <v>1911</v>
      </c>
      <c r="B1359">
        <v>42</v>
      </c>
      <c r="C1359" t="s">
        <v>36</v>
      </c>
      <c r="D1359" t="s">
        <v>23</v>
      </c>
      <c r="E1359" t="s">
        <v>38</v>
      </c>
      <c r="F1359">
        <v>6</v>
      </c>
      <c r="G1359" t="s">
        <v>50</v>
      </c>
      <c r="H1359" t="s">
        <v>48</v>
      </c>
      <c r="I1359" t="s">
        <v>29</v>
      </c>
      <c r="J1359" t="s">
        <v>40</v>
      </c>
      <c r="K1359" t="s">
        <v>29</v>
      </c>
      <c r="L1359" t="s">
        <v>57</v>
      </c>
      <c r="M1359" t="s">
        <v>34</v>
      </c>
      <c r="N1359" t="s">
        <v>42</v>
      </c>
      <c r="O1359">
        <v>13348</v>
      </c>
      <c r="P1359">
        <v>9</v>
      </c>
      <c r="Q1359" t="s">
        <v>36</v>
      </c>
      <c r="R1359">
        <v>13</v>
      </c>
      <c r="S1359" t="s">
        <v>33</v>
      </c>
      <c r="T1359" t="s">
        <v>27</v>
      </c>
      <c r="U1359">
        <v>3</v>
      </c>
      <c r="V1359" t="s">
        <v>59</v>
      </c>
      <c r="W1359" t="str">
        <f>IF(HR_Data[[#This Row],[age]]&lt;25,"Under 25",IF(HR_Data[[#This Row],[age]]&lt;35,"25-34",IF(HR_Data[[#This Row],[age]]&lt;45,"35-44",IF(HR_Data[[#This Row],[age]]&lt;55,"45-54","55+"))))</f>
        <v>35-44</v>
      </c>
      <c r="X1359" t="str">
        <f t="shared" si="21"/>
        <v>8,000+</v>
      </c>
    </row>
    <row r="1360" spans="1:24" x14ac:dyDescent="0.3">
      <c r="A1360">
        <v>1912</v>
      </c>
      <c r="B1360">
        <v>31</v>
      </c>
      <c r="C1360" t="s">
        <v>36</v>
      </c>
      <c r="D1360" t="s">
        <v>23</v>
      </c>
      <c r="E1360" t="s">
        <v>24</v>
      </c>
      <c r="F1360">
        <v>10</v>
      </c>
      <c r="G1360" t="s">
        <v>25</v>
      </c>
      <c r="H1360" t="s">
        <v>48</v>
      </c>
      <c r="I1360" t="s">
        <v>29</v>
      </c>
      <c r="J1360" t="s">
        <v>28</v>
      </c>
      <c r="K1360" t="s">
        <v>29</v>
      </c>
      <c r="L1360" t="s">
        <v>30</v>
      </c>
      <c r="M1360" t="s">
        <v>31</v>
      </c>
      <c r="N1360" t="s">
        <v>51</v>
      </c>
      <c r="O1360">
        <v>6583</v>
      </c>
      <c r="P1360">
        <v>2</v>
      </c>
      <c r="Q1360" t="s">
        <v>22</v>
      </c>
      <c r="R1360">
        <v>11</v>
      </c>
      <c r="S1360" t="s">
        <v>33</v>
      </c>
      <c r="T1360" t="s">
        <v>31</v>
      </c>
      <c r="U1360">
        <v>2</v>
      </c>
      <c r="V1360" t="s">
        <v>44</v>
      </c>
      <c r="W1360" t="str">
        <f>IF(HR_Data[[#This Row],[age]]&lt;25,"Under 25",IF(HR_Data[[#This Row],[age]]&lt;35,"25-34",IF(HR_Data[[#This Row],[age]]&lt;45,"35-44",IF(HR_Data[[#This Row],[age]]&lt;55,"45-54","55+"))))</f>
        <v>25-34</v>
      </c>
      <c r="X1360" t="str">
        <f t="shared" si="21"/>
        <v>5,000-7,999</v>
      </c>
    </row>
    <row r="1361" spans="1:24" x14ac:dyDescent="0.3">
      <c r="A1361">
        <v>1915</v>
      </c>
      <c r="B1361">
        <v>34</v>
      </c>
      <c r="C1361" t="s">
        <v>36</v>
      </c>
      <c r="D1361" t="s">
        <v>23</v>
      </c>
      <c r="E1361" t="s">
        <v>24</v>
      </c>
      <c r="F1361">
        <v>3</v>
      </c>
      <c r="G1361" t="s">
        <v>39</v>
      </c>
      <c r="H1361" t="s">
        <v>48</v>
      </c>
      <c r="I1361" t="s">
        <v>31</v>
      </c>
      <c r="J1361" t="s">
        <v>28</v>
      </c>
      <c r="K1361" t="s">
        <v>27</v>
      </c>
      <c r="L1361" t="s">
        <v>30</v>
      </c>
      <c r="M1361" t="s">
        <v>31</v>
      </c>
      <c r="N1361" t="s">
        <v>42</v>
      </c>
      <c r="O1361">
        <v>8103</v>
      </c>
      <c r="P1361">
        <v>3</v>
      </c>
      <c r="Q1361" t="s">
        <v>22</v>
      </c>
      <c r="R1361">
        <v>12</v>
      </c>
      <c r="S1361" t="s">
        <v>33</v>
      </c>
      <c r="T1361" t="s">
        <v>29</v>
      </c>
      <c r="U1361">
        <v>3</v>
      </c>
      <c r="V1361" t="s">
        <v>49</v>
      </c>
      <c r="W1361" t="str">
        <f>IF(HR_Data[[#This Row],[age]]&lt;25,"Under 25",IF(HR_Data[[#This Row],[age]]&lt;35,"25-34",IF(HR_Data[[#This Row],[age]]&lt;45,"35-44",IF(HR_Data[[#This Row],[age]]&lt;55,"45-54","55+"))))</f>
        <v>25-34</v>
      </c>
      <c r="X1361" t="str">
        <f t="shared" si="21"/>
        <v>8,000+</v>
      </c>
    </row>
    <row r="1362" spans="1:24" x14ac:dyDescent="0.3">
      <c r="A1362">
        <v>1916</v>
      </c>
      <c r="B1362">
        <v>31</v>
      </c>
      <c r="C1362" t="s">
        <v>36</v>
      </c>
      <c r="D1362" t="s">
        <v>23</v>
      </c>
      <c r="E1362" t="s">
        <v>38</v>
      </c>
      <c r="F1362">
        <v>4</v>
      </c>
      <c r="G1362" t="s">
        <v>50</v>
      </c>
      <c r="H1362" t="s">
        <v>48</v>
      </c>
      <c r="I1362" t="s">
        <v>34</v>
      </c>
      <c r="J1362" t="s">
        <v>28</v>
      </c>
      <c r="K1362" t="s">
        <v>31</v>
      </c>
      <c r="L1362" t="s">
        <v>46</v>
      </c>
      <c r="M1362" t="s">
        <v>29</v>
      </c>
      <c r="N1362" t="s">
        <v>51</v>
      </c>
      <c r="O1362">
        <v>3978</v>
      </c>
      <c r="P1362">
        <v>8</v>
      </c>
      <c r="Q1362" t="s">
        <v>36</v>
      </c>
      <c r="R1362">
        <v>12</v>
      </c>
      <c r="S1362" t="s">
        <v>33</v>
      </c>
      <c r="T1362" t="s">
        <v>27</v>
      </c>
      <c r="U1362">
        <v>0</v>
      </c>
      <c r="V1362" t="s">
        <v>49</v>
      </c>
      <c r="W1362" t="str">
        <f>IF(HR_Data[[#This Row],[age]]&lt;25,"Under 25",IF(HR_Data[[#This Row],[age]]&lt;35,"25-34",IF(HR_Data[[#This Row],[age]]&lt;45,"35-44",IF(HR_Data[[#This Row],[age]]&lt;55,"45-54","55+"))))</f>
        <v>25-34</v>
      </c>
      <c r="X1362" t="str">
        <f t="shared" si="21"/>
        <v>3,000-4,999</v>
      </c>
    </row>
    <row r="1363" spans="1:24" x14ac:dyDescent="0.3">
      <c r="A1363">
        <v>1918</v>
      </c>
      <c r="B1363">
        <v>26</v>
      </c>
      <c r="C1363" t="s">
        <v>36</v>
      </c>
      <c r="D1363" t="s">
        <v>37</v>
      </c>
      <c r="E1363" t="s">
        <v>38</v>
      </c>
      <c r="F1363">
        <v>6</v>
      </c>
      <c r="G1363" t="s">
        <v>50</v>
      </c>
      <c r="H1363" t="s">
        <v>45</v>
      </c>
      <c r="I1363" t="s">
        <v>29</v>
      </c>
      <c r="J1363" t="s">
        <v>40</v>
      </c>
      <c r="K1363" t="s">
        <v>31</v>
      </c>
      <c r="L1363" t="s">
        <v>46</v>
      </c>
      <c r="M1363" t="s">
        <v>31</v>
      </c>
      <c r="N1363" t="s">
        <v>42</v>
      </c>
      <c r="O1363">
        <v>2544</v>
      </c>
      <c r="P1363">
        <v>0</v>
      </c>
      <c r="Q1363" t="s">
        <v>36</v>
      </c>
      <c r="R1363">
        <v>18</v>
      </c>
      <c r="S1363" t="s">
        <v>33</v>
      </c>
      <c r="T1363" t="s">
        <v>34</v>
      </c>
      <c r="U1363">
        <v>3</v>
      </c>
      <c r="V1363" t="s">
        <v>44</v>
      </c>
      <c r="W1363" t="str">
        <f>IF(HR_Data[[#This Row],[age]]&lt;25,"Under 25",IF(HR_Data[[#This Row],[age]]&lt;35,"25-34",IF(HR_Data[[#This Row],[age]]&lt;45,"35-44",IF(HR_Data[[#This Row],[age]]&lt;55,"45-54","55+"))))</f>
        <v>25-34</v>
      </c>
      <c r="X1363" t="str">
        <f t="shared" si="21"/>
        <v>Below 3,000</v>
      </c>
    </row>
    <row r="1364" spans="1:24" x14ac:dyDescent="0.3">
      <c r="A1364">
        <v>1922</v>
      </c>
      <c r="B1364">
        <v>45</v>
      </c>
      <c r="C1364" t="s">
        <v>36</v>
      </c>
      <c r="D1364" t="s">
        <v>37</v>
      </c>
      <c r="E1364" t="s">
        <v>38</v>
      </c>
      <c r="F1364">
        <v>1</v>
      </c>
      <c r="G1364" t="s">
        <v>47</v>
      </c>
      <c r="H1364" t="s">
        <v>48</v>
      </c>
      <c r="I1364" t="s">
        <v>27</v>
      </c>
      <c r="J1364" t="s">
        <v>40</v>
      </c>
      <c r="K1364" t="s">
        <v>29</v>
      </c>
      <c r="L1364" t="s">
        <v>53</v>
      </c>
      <c r="M1364" t="s">
        <v>29</v>
      </c>
      <c r="N1364" t="s">
        <v>32</v>
      </c>
      <c r="O1364">
        <v>5399</v>
      </c>
      <c r="P1364">
        <v>4</v>
      </c>
      <c r="Q1364" t="s">
        <v>36</v>
      </c>
      <c r="R1364">
        <v>12</v>
      </c>
      <c r="S1364" t="s">
        <v>33</v>
      </c>
      <c r="T1364" t="s">
        <v>29</v>
      </c>
      <c r="U1364">
        <v>3</v>
      </c>
      <c r="V1364" t="s">
        <v>44</v>
      </c>
      <c r="W1364" t="str">
        <f>IF(HR_Data[[#This Row],[age]]&lt;25,"Under 25",IF(HR_Data[[#This Row],[age]]&lt;35,"25-34",IF(HR_Data[[#This Row],[age]]&lt;45,"35-44",IF(HR_Data[[#This Row],[age]]&lt;55,"45-54","55+"))))</f>
        <v>45-54</v>
      </c>
      <c r="X1364" t="str">
        <f t="shared" si="21"/>
        <v>5,000-7,999</v>
      </c>
    </row>
    <row r="1365" spans="1:24" x14ac:dyDescent="0.3">
      <c r="A1365">
        <v>1924</v>
      </c>
      <c r="B1365">
        <v>33</v>
      </c>
      <c r="C1365" t="s">
        <v>36</v>
      </c>
      <c r="D1365" t="s">
        <v>23</v>
      </c>
      <c r="E1365" t="s">
        <v>24</v>
      </c>
      <c r="F1365">
        <v>10</v>
      </c>
      <c r="G1365" t="s">
        <v>47</v>
      </c>
      <c r="H1365" t="s">
        <v>58</v>
      </c>
      <c r="I1365" t="s">
        <v>27</v>
      </c>
      <c r="J1365" t="s">
        <v>40</v>
      </c>
      <c r="K1365" t="s">
        <v>29</v>
      </c>
      <c r="L1365" t="s">
        <v>30</v>
      </c>
      <c r="M1365" t="s">
        <v>29</v>
      </c>
      <c r="N1365" t="s">
        <v>32</v>
      </c>
      <c r="O1365">
        <v>5487</v>
      </c>
      <c r="P1365">
        <v>1</v>
      </c>
      <c r="Q1365" t="s">
        <v>36</v>
      </c>
      <c r="R1365">
        <v>14</v>
      </c>
      <c r="S1365" t="s">
        <v>33</v>
      </c>
      <c r="T1365" t="s">
        <v>27</v>
      </c>
      <c r="U1365">
        <v>2</v>
      </c>
      <c r="V1365" t="s">
        <v>49</v>
      </c>
      <c r="W1365" t="str">
        <f>IF(HR_Data[[#This Row],[age]]&lt;25,"Under 25",IF(HR_Data[[#This Row],[age]]&lt;35,"25-34",IF(HR_Data[[#This Row],[age]]&lt;45,"35-44",IF(HR_Data[[#This Row],[age]]&lt;55,"45-54","55+"))))</f>
        <v>25-34</v>
      </c>
      <c r="X1365" t="str">
        <f t="shared" si="21"/>
        <v>5,000-7,999</v>
      </c>
    </row>
    <row r="1366" spans="1:24" x14ac:dyDescent="0.3">
      <c r="A1366">
        <v>1927</v>
      </c>
      <c r="B1366">
        <v>28</v>
      </c>
      <c r="C1366" t="s">
        <v>36</v>
      </c>
      <c r="D1366" t="s">
        <v>37</v>
      </c>
      <c r="E1366" t="s">
        <v>24</v>
      </c>
      <c r="F1366">
        <v>1</v>
      </c>
      <c r="G1366" t="s">
        <v>25</v>
      </c>
      <c r="H1366" t="s">
        <v>26</v>
      </c>
      <c r="I1366" t="s">
        <v>29</v>
      </c>
      <c r="J1366" t="s">
        <v>40</v>
      </c>
      <c r="K1366" t="s">
        <v>27</v>
      </c>
      <c r="L1366" t="s">
        <v>30</v>
      </c>
      <c r="M1366" t="s">
        <v>31</v>
      </c>
      <c r="N1366" t="s">
        <v>42</v>
      </c>
      <c r="O1366">
        <v>6834</v>
      </c>
      <c r="P1366">
        <v>1</v>
      </c>
      <c r="Q1366" t="s">
        <v>22</v>
      </c>
      <c r="R1366">
        <v>12</v>
      </c>
      <c r="S1366" t="s">
        <v>33</v>
      </c>
      <c r="T1366" t="s">
        <v>29</v>
      </c>
      <c r="U1366">
        <v>2</v>
      </c>
      <c r="V1366" t="s">
        <v>44</v>
      </c>
      <c r="W1366" t="str">
        <f>IF(HR_Data[[#This Row],[age]]&lt;25,"Under 25",IF(HR_Data[[#This Row],[age]]&lt;35,"25-34",IF(HR_Data[[#This Row],[age]]&lt;45,"35-44",IF(HR_Data[[#This Row],[age]]&lt;55,"45-54","55+"))))</f>
        <v>25-34</v>
      </c>
      <c r="X1366" t="str">
        <f t="shared" si="21"/>
        <v>5,000-7,999</v>
      </c>
    </row>
    <row r="1367" spans="1:24" x14ac:dyDescent="0.3">
      <c r="A1367">
        <v>1928</v>
      </c>
      <c r="B1367">
        <v>29</v>
      </c>
      <c r="C1367" t="s">
        <v>22</v>
      </c>
      <c r="D1367" t="s">
        <v>37</v>
      </c>
      <c r="E1367" t="s">
        <v>24</v>
      </c>
      <c r="F1367">
        <v>24</v>
      </c>
      <c r="G1367" t="s">
        <v>50</v>
      </c>
      <c r="H1367" t="s">
        <v>60</v>
      </c>
      <c r="I1367" t="s">
        <v>29</v>
      </c>
      <c r="J1367" t="s">
        <v>40</v>
      </c>
      <c r="K1367" t="s">
        <v>31</v>
      </c>
      <c r="L1367" t="s">
        <v>56</v>
      </c>
      <c r="M1367" t="s">
        <v>34</v>
      </c>
      <c r="N1367" t="s">
        <v>32</v>
      </c>
      <c r="O1367">
        <v>1091</v>
      </c>
      <c r="P1367">
        <v>1</v>
      </c>
      <c r="Q1367" t="s">
        <v>36</v>
      </c>
      <c r="R1367">
        <v>17</v>
      </c>
      <c r="S1367" t="s">
        <v>33</v>
      </c>
      <c r="T1367" t="s">
        <v>31</v>
      </c>
      <c r="U1367">
        <v>3</v>
      </c>
      <c r="V1367" t="s">
        <v>44</v>
      </c>
      <c r="W1367" t="str">
        <f>IF(HR_Data[[#This Row],[age]]&lt;25,"Under 25",IF(HR_Data[[#This Row],[age]]&lt;35,"25-34",IF(HR_Data[[#This Row],[age]]&lt;45,"35-44",IF(HR_Data[[#This Row],[age]]&lt;55,"45-54","55+"))))</f>
        <v>25-34</v>
      </c>
      <c r="X1367" t="str">
        <f t="shared" si="21"/>
        <v>Below 3,000</v>
      </c>
    </row>
    <row r="1368" spans="1:24" x14ac:dyDescent="0.3">
      <c r="A1368">
        <v>1929</v>
      </c>
      <c r="B1368">
        <v>39</v>
      </c>
      <c r="C1368" t="s">
        <v>36</v>
      </c>
      <c r="D1368" t="s">
        <v>54</v>
      </c>
      <c r="E1368" t="s">
        <v>24</v>
      </c>
      <c r="F1368">
        <v>21</v>
      </c>
      <c r="G1368" t="s">
        <v>47</v>
      </c>
      <c r="H1368" t="s">
        <v>26</v>
      </c>
      <c r="I1368" t="s">
        <v>34</v>
      </c>
      <c r="J1368" t="s">
        <v>28</v>
      </c>
      <c r="K1368" t="s">
        <v>34</v>
      </c>
      <c r="L1368" t="s">
        <v>30</v>
      </c>
      <c r="M1368" t="s">
        <v>29</v>
      </c>
      <c r="N1368" t="s">
        <v>42</v>
      </c>
      <c r="O1368">
        <v>5736</v>
      </c>
      <c r="P1368">
        <v>6</v>
      </c>
      <c r="Q1368" t="s">
        <v>36</v>
      </c>
      <c r="R1368">
        <v>19</v>
      </c>
      <c r="S1368" t="s">
        <v>33</v>
      </c>
      <c r="T1368" t="s">
        <v>29</v>
      </c>
      <c r="U1368">
        <v>1</v>
      </c>
      <c r="V1368" t="s">
        <v>44</v>
      </c>
      <c r="W1368" t="str">
        <f>IF(HR_Data[[#This Row],[age]]&lt;25,"Under 25",IF(HR_Data[[#This Row],[age]]&lt;35,"25-34",IF(HR_Data[[#This Row],[age]]&lt;45,"35-44",IF(HR_Data[[#This Row],[age]]&lt;55,"45-54","55+"))))</f>
        <v>35-44</v>
      </c>
      <c r="X1368" t="str">
        <f t="shared" si="21"/>
        <v>5,000-7,999</v>
      </c>
    </row>
    <row r="1369" spans="1:24" x14ac:dyDescent="0.3">
      <c r="A1369">
        <v>1931</v>
      </c>
      <c r="B1369">
        <v>27</v>
      </c>
      <c r="C1369" t="s">
        <v>36</v>
      </c>
      <c r="D1369" t="s">
        <v>23</v>
      </c>
      <c r="E1369" t="s">
        <v>38</v>
      </c>
      <c r="F1369">
        <v>2</v>
      </c>
      <c r="G1369" t="s">
        <v>47</v>
      </c>
      <c r="H1369" t="s">
        <v>60</v>
      </c>
      <c r="I1369" t="s">
        <v>27</v>
      </c>
      <c r="J1369" t="s">
        <v>40</v>
      </c>
      <c r="K1369" t="s">
        <v>29</v>
      </c>
      <c r="L1369" t="s">
        <v>41</v>
      </c>
      <c r="M1369" t="s">
        <v>27</v>
      </c>
      <c r="N1369" t="s">
        <v>42</v>
      </c>
      <c r="O1369">
        <v>2226</v>
      </c>
      <c r="P1369">
        <v>1</v>
      </c>
      <c r="Q1369" t="s">
        <v>36</v>
      </c>
      <c r="R1369">
        <v>11</v>
      </c>
      <c r="S1369" t="s">
        <v>33</v>
      </c>
      <c r="T1369" t="s">
        <v>29</v>
      </c>
      <c r="U1369">
        <v>3</v>
      </c>
      <c r="V1369" t="s">
        <v>49</v>
      </c>
      <c r="W1369" t="str">
        <f>IF(HR_Data[[#This Row],[age]]&lt;25,"Under 25",IF(HR_Data[[#This Row],[age]]&lt;35,"25-34",IF(HR_Data[[#This Row],[age]]&lt;45,"35-44",IF(HR_Data[[#This Row],[age]]&lt;55,"45-54","55+"))))</f>
        <v>25-34</v>
      </c>
      <c r="X1369" t="str">
        <f t="shared" si="21"/>
        <v>Below 3,000</v>
      </c>
    </row>
    <row r="1370" spans="1:24" x14ac:dyDescent="0.3">
      <c r="A1370">
        <v>1932</v>
      </c>
      <c r="B1370">
        <v>34</v>
      </c>
      <c r="C1370" t="s">
        <v>36</v>
      </c>
      <c r="D1370" t="s">
        <v>37</v>
      </c>
      <c r="E1370" t="s">
        <v>38</v>
      </c>
      <c r="F1370">
        <v>22</v>
      </c>
      <c r="G1370" t="s">
        <v>47</v>
      </c>
      <c r="H1370" t="s">
        <v>45</v>
      </c>
      <c r="I1370" t="s">
        <v>29</v>
      </c>
      <c r="J1370" t="s">
        <v>40</v>
      </c>
      <c r="K1370" t="s">
        <v>27</v>
      </c>
      <c r="L1370" t="s">
        <v>41</v>
      </c>
      <c r="M1370" t="s">
        <v>31</v>
      </c>
      <c r="N1370" t="s">
        <v>42</v>
      </c>
      <c r="O1370">
        <v>5747</v>
      </c>
      <c r="P1370">
        <v>1</v>
      </c>
      <c r="Q1370" t="s">
        <v>22</v>
      </c>
      <c r="R1370">
        <v>15</v>
      </c>
      <c r="S1370" t="s">
        <v>33</v>
      </c>
      <c r="T1370" t="s">
        <v>27</v>
      </c>
      <c r="U1370">
        <v>3</v>
      </c>
      <c r="V1370" t="s">
        <v>44</v>
      </c>
      <c r="W1370" t="str">
        <f>IF(HR_Data[[#This Row],[age]]&lt;25,"Under 25",IF(HR_Data[[#This Row],[age]]&lt;35,"25-34",IF(HR_Data[[#This Row],[age]]&lt;45,"35-44",IF(HR_Data[[#This Row],[age]]&lt;55,"45-54","55+"))))</f>
        <v>25-34</v>
      </c>
      <c r="X1370" t="str">
        <f t="shared" si="21"/>
        <v>5,000-7,999</v>
      </c>
    </row>
    <row r="1371" spans="1:24" x14ac:dyDescent="0.3">
      <c r="A1371">
        <v>1933</v>
      </c>
      <c r="B1371">
        <v>28</v>
      </c>
      <c r="C1371" t="s">
        <v>22</v>
      </c>
      <c r="D1371" t="s">
        <v>23</v>
      </c>
      <c r="E1371" t="s">
        <v>24</v>
      </c>
      <c r="F1371">
        <v>13</v>
      </c>
      <c r="G1371" t="s">
        <v>25</v>
      </c>
      <c r="H1371" t="s">
        <v>58</v>
      </c>
      <c r="I1371" t="s">
        <v>31</v>
      </c>
      <c r="J1371" t="s">
        <v>28</v>
      </c>
      <c r="K1371" t="s">
        <v>29</v>
      </c>
      <c r="L1371" t="s">
        <v>30</v>
      </c>
      <c r="M1371" t="s">
        <v>29</v>
      </c>
      <c r="N1371" t="s">
        <v>32</v>
      </c>
      <c r="O1371">
        <v>9854</v>
      </c>
      <c r="P1371">
        <v>3</v>
      </c>
      <c r="Q1371" t="s">
        <v>22</v>
      </c>
      <c r="R1371">
        <v>11</v>
      </c>
      <c r="S1371" t="s">
        <v>33</v>
      </c>
      <c r="T1371" t="s">
        <v>31</v>
      </c>
      <c r="U1371">
        <v>0</v>
      </c>
      <c r="V1371" t="s">
        <v>44</v>
      </c>
      <c r="W1371" t="str">
        <f>IF(HR_Data[[#This Row],[age]]&lt;25,"Under 25",IF(HR_Data[[#This Row],[age]]&lt;35,"25-34",IF(HR_Data[[#This Row],[age]]&lt;45,"35-44",IF(HR_Data[[#This Row],[age]]&lt;55,"45-54","55+"))))</f>
        <v>25-34</v>
      </c>
      <c r="X1371" t="str">
        <f t="shared" si="21"/>
        <v>8,000+</v>
      </c>
    </row>
    <row r="1372" spans="1:24" x14ac:dyDescent="0.3">
      <c r="A1372">
        <v>1934</v>
      </c>
      <c r="B1372">
        <v>47</v>
      </c>
      <c r="C1372" t="s">
        <v>36</v>
      </c>
      <c r="D1372" t="s">
        <v>54</v>
      </c>
      <c r="E1372" t="s">
        <v>38</v>
      </c>
      <c r="F1372">
        <v>14</v>
      </c>
      <c r="G1372" t="s">
        <v>47</v>
      </c>
      <c r="H1372" t="s">
        <v>60</v>
      </c>
      <c r="I1372" t="s">
        <v>29</v>
      </c>
      <c r="J1372" t="s">
        <v>40</v>
      </c>
      <c r="K1372" t="s">
        <v>29</v>
      </c>
      <c r="L1372" t="s">
        <v>41</v>
      </c>
      <c r="M1372" t="s">
        <v>27</v>
      </c>
      <c r="N1372" t="s">
        <v>42</v>
      </c>
      <c r="O1372">
        <v>5467</v>
      </c>
      <c r="P1372">
        <v>8</v>
      </c>
      <c r="Q1372" t="s">
        <v>36</v>
      </c>
      <c r="R1372">
        <v>18</v>
      </c>
      <c r="S1372" t="s">
        <v>33</v>
      </c>
      <c r="T1372" t="s">
        <v>29</v>
      </c>
      <c r="U1372">
        <v>4</v>
      </c>
      <c r="V1372" t="s">
        <v>59</v>
      </c>
      <c r="W1372" t="str">
        <f>IF(HR_Data[[#This Row],[age]]&lt;25,"Under 25",IF(HR_Data[[#This Row],[age]]&lt;35,"25-34",IF(HR_Data[[#This Row],[age]]&lt;45,"35-44",IF(HR_Data[[#This Row],[age]]&lt;55,"45-54","55+"))))</f>
        <v>45-54</v>
      </c>
      <c r="X1372" t="str">
        <f t="shared" si="21"/>
        <v>5,000-7,999</v>
      </c>
    </row>
    <row r="1373" spans="1:24" x14ac:dyDescent="0.3">
      <c r="A1373">
        <v>1935</v>
      </c>
      <c r="B1373">
        <v>56</v>
      </c>
      <c r="C1373" t="s">
        <v>36</v>
      </c>
      <c r="D1373" t="s">
        <v>23</v>
      </c>
      <c r="E1373" t="s">
        <v>24</v>
      </c>
      <c r="F1373">
        <v>11</v>
      </c>
      <c r="G1373" t="s">
        <v>61</v>
      </c>
      <c r="H1373" t="s">
        <v>58</v>
      </c>
      <c r="I1373" t="s">
        <v>31</v>
      </c>
      <c r="J1373" t="s">
        <v>28</v>
      </c>
      <c r="K1373" t="s">
        <v>27</v>
      </c>
      <c r="L1373" t="s">
        <v>30</v>
      </c>
      <c r="M1373" t="s">
        <v>34</v>
      </c>
      <c r="N1373" t="s">
        <v>42</v>
      </c>
      <c r="O1373">
        <v>5380</v>
      </c>
      <c r="P1373">
        <v>4</v>
      </c>
      <c r="Q1373" t="s">
        <v>36</v>
      </c>
      <c r="R1373">
        <v>16</v>
      </c>
      <c r="S1373" t="s">
        <v>33</v>
      </c>
      <c r="T1373" t="s">
        <v>29</v>
      </c>
      <c r="U1373">
        <v>3</v>
      </c>
      <c r="V1373" t="s">
        <v>44</v>
      </c>
      <c r="W1373" t="str">
        <f>IF(HR_Data[[#This Row],[age]]&lt;25,"Under 25",IF(HR_Data[[#This Row],[age]]&lt;35,"25-34",IF(HR_Data[[#This Row],[age]]&lt;45,"35-44",IF(HR_Data[[#This Row],[age]]&lt;55,"45-54","55+"))))</f>
        <v>55+</v>
      </c>
      <c r="X1373" t="str">
        <f t="shared" si="21"/>
        <v>5,000-7,999</v>
      </c>
    </row>
    <row r="1374" spans="1:24" x14ac:dyDescent="0.3">
      <c r="A1374">
        <v>1936</v>
      </c>
      <c r="B1374">
        <v>39</v>
      </c>
      <c r="C1374" t="s">
        <v>36</v>
      </c>
      <c r="D1374" t="s">
        <v>23</v>
      </c>
      <c r="E1374" t="s">
        <v>38</v>
      </c>
      <c r="F1374">
        <v>9</v>
      </c>
      <c r="G1374" t="s">
        <v>25</v>
      </c>
      <c r="H1374" t="s">
        <v>48</v>
      </c>
      <c r="I1374" t="s">
        <v>34</v>
      </c>
      <c r="J1374" t="s">
        <v>40</v>
      </c>
      <c r="K1374" t="s">
        <v>29</v>
      </c>
      <c r="L1374" t="s">
        <v>52</v>
      </c>
      <c r="M1374" t="s">
        <v>34</v>
      </c>
      <c r="N1374" t="s">
        <v>42</v>
      </c>
      <c r="O1374">
        <v>5151</v>
      </c>
      <c r="P1374">
        <v>1</v>
      </c>
      <c r="Q1374" t="s">
        <v>36</v>
      </c>
      <c r="R1374">
        <v>25</v>
      </c>
      <c r="S1374" t="s">
        <v>43</v>
      </c>
      <c r="T1374" t="s">
        <v>31</v>
      </c>
      <c r="U1374">
        <v>3</v>
      </c>
      <c r="V1374" t="s">
        <v>44</v>
      </c>
      <c r="W1374" t="str">
        <f>IF(HR_Data[[#This Row],[age]]&lt;25,"Under 25",IF(HR_Data[[#This Row],[age]]&lt;35,"25-34",IF(HR_Data[[#This Row],[age]]&lt;45,"35-44",IF(HR_Data[[#This Row],[age]]&lt;55,"45-54","55+"))))</f>
        <v>35-44</v>
      </c>
      <c r="X1374" t="str">
        <f t="shared" si="21"/>
        <v>5,000-7,999</v>
      </c>
    </row>
    <row r="1375" spans="1:24" x14ac:dyDescent="0.3">
      <c r="A1375">
        <v>1937</v>
      </c>
      <c r="B1375">
        <v>38</v>
      </c>
      <c r="C1375" t="s">
        <v>36</v>
      </c>
      <c r="D1375" t="s">
        <v>37</v>
      </c>
      <c r="E1375" t="s">
        <v>38</v>
      </c>
      <c r="F1375">
        <v>8</v>
      </c>
      <c r="G1375" t="s">
        <v>50</v>
      </c>
      <c r="H1375" t="s">
        <v>48</v>
      </c>
      <c r="I1375" t="s">
        <v>31</v>
      </c>
      <c r="J1375" t="s">
        <v>28</v>
      </c>
      <c r="K1375" t="s">
        <v>27</v>
      </c>
      <c r="L1375" t="s">
        <v>41</v>
      </c>
      <c r="M1375" t="s">
        <v>27</v>
      </c>
      <c r="N1375" t="s">
        <v>51</v>
      </c>
      <c r="O1375">
        <v>2133</v>
      </c>
      <c r="P1375">
        <v>1</v>
      </c>
      <c r="Q1375" t="s">
        <v>22</v>
      </c>
      <c r="R1375">
        <v>16</v>
      </c>
      <c r="S1375" t="s">
        <v>33</v>
      </c>
      <c r="T1375" t="s">
        <v>29</v>
      </c>
      <c r="U1375">
        <v>3</v>
      </c>
      <c r="V1375" t="s">
        <v>44</v>
      </c>
      <c r="W1375" t="str">
        <f>IF(HR_Data[[#This Row],[age]]&lt;25,"Under 25",IF(HR_Data[[#This Row],[age]]&lt;35,"25-34",IF(HR_Data[[#This Row],[age]]&lt;45,"35-44",IF(HR_Data[[#This Row],[age]]&lt;55,"45-54","55+"))))</f>
        <v>35-44</v>
      </c>
      <c r="X1375" t="str">
        <f t="shared" si="21"/>
        <v>Below 3,000</v>
      </c>
    </row>
    <row r="1376" spans="1:24" x14ac:dyDescent="0.3">
      <c r="A1376">
        <v>1938</v>
      </c>
      <c r="B1376">
        <v>58</v>
      </c>
      <c r="C1376" t="s">
        <v>36</v>
      </c>
      <c r="D1376" t="s">
        <v>23</v>
      </c>
      <c r="E1376" t="s">
        <v>24</v>
      </c>
      <c r="F1376">
        <v>21</v>
      </c>
      <c r="G1376" t="s">
        <v>50</v>
      </c>
      <c r="H1376" t="s">
        <v>26</v>
      </c>
      <c r="I1376" t="s">
        <v>31</v>
      </c>
      <c r="J1376" t="s">
        <v>28</v>
      </c>
      <c r="K1376" t="s">
        <v>29</v>
      </c>
      <c r="L1376" t="s">
        <v>55</v>
      </c>
      <c r="M1376" t="s">
        <v>31</v>
      </c>
      <c r="N1376" t="s">
        <v>42</v>
      </c>
      <c r="O1376">
        <v>17875</v>
      </c>
      <c r="P1376">
        <v>4</v>
      </c>
      <c r="Q1376" t="s">
        <v>22</v>
      </c>
      <c r="R1376">
        <v>13</v>
      </c>
      <c r="S1376" t="s">
        <v>33</v>
      </c>
      <c r="T1376" t="s">
        <v>29</v>
      </c>
      <c r="U1376">
        <v>2</v>
      </c>
      <c r="V1376" t="s">
        <v>49</v>
      </c>
      <c r="W1376" t="str">
        <f>IF(HR_Data[[#This Row],[age]]&lt;25,"Under 25",IF(HR_Data[[#This Row],[age]]&lt;35,"25-34",IF(HR_Data[[#This Row],[age]]&lt;45,"35-44",IF(HR_Data[[#This Row],[age]]&lt;55,"45-54","55+"))))</f>
        <v>55+</v>
      </c>
      <c r="X1376" t="str">
        <f t="shared" si="21"/>
        <v>8,000+</v>
      </c>
    </row>
    <row r="1377" spans="1:24" x14ac:dyDescent="0.3">
      <c r="A1377">
        <v>1939</v>
      </c>
      <c r="B1377">
        <v>32</v>
      </c>
      <c r="C1377" t="s">
        <v>22</v>
      </c>
      <c r="D1377" t="s">
        <v>37</v>
      </c>
      <c r="E1377" t="s">
        <v>38</v>
      </c>
      <c r="F1377">
        <v>5</v>
      </c>
      <c r="G1377" t="s">
        <v>25</v>
      </c>
      <c r="H1377" t="s">
        <v>26</v>
      </c>
      <c r="I1377" t="s">
        <v>34</v>
      </c>
      <c r="J1377" t="s">
        <v>28</v>
      </c>
      <c r="K1377" t="s">
        <v>31</v>
      </c>
      <c r="L1377" t="s">
        <v>41</v>
      </c>
      <c r="M1377" t="s">
        <v>29</v>
      </c>
      <c r="N1377" t="s">
        <v>32</v>
      </c>
      <c r="O1377">
        <v>2432</v>
      </c>
      <c r="P1377">
        <v>3</v>
      </c>
      <c r="Q1377" t="s">
        <v>22</v>
      </c>
      <c r="R1377">
        <v>14</v>
      </c>
      <c r="S1377" t="s">
        <v>33</v>
      </c>
      <c r="T1377" t="s">
        <v>34</v>
      </c>
      <c r="U1377">
        <v>2</v>
      </c>
      <c r="V1377" t="s">
        <v>44</v>
      </c>
      <c r="W1377" t="str">
        <f>IF(HR_Data[[#This Row],[age]]&lt;25,"Under 25",IF(HR_Data[[#This Row],[age]]&lt;35,"25-34",IF(HR_Data[[#This Row],[age]]&lt;45,"35-44",IF(HR_Data[[#This Row],[age]]&lt;55,"45-54","55+"))))</f>
        <v>25-34</v>
      </c>
      <c r="X1377" t="str">
        <f t="shared" si="21"/>
        <v>Below 3,000</v>
      </c>
    </row>
    <row r="1378" spans="1:24" x14ac:dyDescent="0.3">
      <c r="A1378">
        <v>1940</v>
      </c>
      <c r="B1378">
        <v>38</v>
      </c>
      <c r="C1378" t="s">
        <v>36</v>
      </c>
      <c r="D1378" t="s">
        <v>23</v>
      </c>
      <c r="E1378" t="s">
        <v>38</v>
      </c>
      <c r="F1378">
        <v>9</v>
      </c>
      <c r="G1378" t="s">
        <v>25</v>
      </c>
      <c r="H1378" t="s">
        <v>26</v>
      </c>
      <c r="I1378" t="s">
        <v>27</v>
      </c>
      <c r="J1378" t="s">
        <v>40</v>
      </c>
      <c r="K1378" t="s">
        <v>29</v>
      </c>
      <c r="L1378" t="s">
        <v>41</v>
      </c>
      <c r="M1378" t="s">
        <v>31</v>
      </c>
      <c r="N1378" t="s">
        <v>51</v>
      </c>
      <c r="O1378">
        <v>4771</v>
      </c>
      <c r="P1378">
        <v>2</v>
      </c>
      <c r="Q1378" t="s">
        <v>36</v>
      </c>
      <c r="R1378">
        <v>19</v>
      </c>
      <c r="S1378" t="s">
        <v>33</v>
      </c>
      <c r="T1378" t="s">
        <v>31</v>
      </c>
      <c r="U1378">
        <v>0</v>
      </c>
      <c r="V1378" t="s">
        <v>59</v>
      </c>
      <c r="W1378" t="str">
        <f>IF(HR_Data[[#This Row],[age]]&lt;25,"Under 25",IF(HR_Data[[#This Row],[age]]&lt;35,"25-34",IF(HR_Data[[#This Row],[age]]&lt;45,"35-44",IF(HR_Data[[#This Row],[age]]&lt;55,"45-54","55+"))))</f>
        <v>35-44</v>
      </c>
      <c r="X1378" t="str">
        <f t="shared" si="21"/>
        <v>3,000-4,999</v>
      </c>
    </row>
    <row r="1379" spans="1:24" x14ac:dyDescent="0.3">
      <c r="A1379">
        <v>1941</v>
      </c>
      <c r="B1379">
        <v>49</v>
      </c>
      <c r="C1379" t="s">
        <v>36</v>
      </c>
      <c r="D1379" t="s">
        <v>37</v>
      </c>
      <c r="E1379" t="s">
        <v>38</v>
      </c>
      <c r="F1379">
        <v>2</v>
      </c>
      <c r="G1379" t="s">
        <v>39</v>
      </c>
      <c r="H1379" t="s">
        <v>26</v>
      </c>
      <c r="I1379" t="s">
        <v>27</v>
      </c>
      <c r="J1379" t="s">
        <v>40</v>
      </c>
      <c r="K1379" t="s">
        <v>29</v>
      </c>
      <c r="L1379" t="s">
        <v>57</v>
      </c>
      <c r="M1379" t="s">
        <v>31</v>
      </c>
      <c r="N1379" t="s">
        <v>42</v>
      </c>
      <c r="O1379">
        <v>19161</v>
      </c>
      <c r="P1379">
        <v>3</v>
      </c>
      <c r="Q1379" t="s">
        <v>36</v>
      </c>
      <c r="R1379">
        <v>15</v>
      </c>
      <c r="S1379" t="s">
        <v>33</v>
      </c>
      <c r="T1379" t="s">
        <v>31</v>
      </c>
      <c r="U1379">
        <v>3</v>
      </c>
      <c r="V1379" t="s">
        <v>44</v>
      </c>
      <c r="W1379" t="str">
        <f>IF(HR_Data[[#This Row],[age]]&lt;25,"Under 25",IF(HR_Data[[#This Row],[age]]&lt;35,"25-34",IF(HR_Data[[#This Row],[age]]&lt;45,"35-44",IF(HR_Data[[#This Row],[age]]&lt;55,"45-54","55+"))))</f>
        <v>45-54</v>
      </c>
      <c r="X1379" t="str">
        <f t="shared" si="21"/>
        <v>8,000+</v>
      </c>
    </row>
    <row r="1380" spans="1:24" x14ac:dyDescent="0.3">
      <c r="A1380">
        <v>1943</v>
      </c>
      <c r="B1380">
        <v>42</v>
      </c>
      <c r="C1380" t="s">
        <v>36</v>
      </c>
      <c r="D1380" t="s">
        <v>23</v>
      </c>
      <c r="E1380" t="s">
        <v>24</v>
      </c>
      <c r="F1380">
        <v>12</v>
      </c>
      <c r="G1380" t="s">
        <v>47</v>
      </c>
      <c r="H1380" t="s">
        <v>58</v>
      </c>
      <c r="I1380" t="s">
        <v>27</v>
      </c>
      <c r="J1380" t="s">
        <v>40</v>
      </c>
      <c r="K1380" t="s">
        <v>29</v>
      </c>
      <c r="L1380" t="s">
        <v>30</v>
      </c>
      <c r="M1380" t="s">
        <v>31</v>
      </c>
      <c r="N1380" t="s">
        <v>51</v>
      </c>
      <c r="O1380">
        <v>5087</v>
      </c>
      <c r="P1380">
        <v>3</v>
      </c>
      <c r="Q1380" t="s">
        <v>22</v>
      </c>
      <c r="R1380">
        <v>12</v>
      </c>
      <c r="S1380" t="s">
        <v>33</v>
      </c>
      <c r="T1380" t="s">
        <v>29</v>
      </c>
      <c r="U1380">
        <v>4</v>
      </c>
      <c r="V1380" t="s">
        <v>44</v>
      </c>
      <c r="W1380" t="str">
        <f>IF(HR_Data[[#This Row],[age]]&lt;25,"Under 25",IF(HR_Data[[#This Row],[age]]&lt;35,"25-34",IF(HR_Data[[#This Row],[age]]&lt;45,"35-44",IF(HR_Data[[#This Row],[age]]&lt;55,"45-54","55+"))))</f>
        <v>35-44</v>
      </c>
      <c r="X1380" t="str">
        <f t="shared" si="21"/>
        <v>5,000-7,999</v>
      </c>
    </row>
    <row r="1381" spans="1:24" x14ac:dyDescent="0.3">
      <c r="A1381">
        <v>1944</v>
      </c>
      <c r="B1381">
        <v>27</v>
      </c>
      <c r="C1381" t="s">
        <v>22</v>
      </c>
      <c r="D1381" t="s">
        <v>37</v>
      </c>
      <c r="E1381" t="s">
        <v>62</v>
      </c>
      <c r="F1381">
        <v>22</v>
      </c>
      <c r="G1381" t="s">
        <v>50</v>
      </c>
      <c r="H1381" t="s">
        <v>62</v>
      </c>
      <c r="I1381" t="s">
        <v>34</v>
      </c>
      <c r="J1381" t="s">
        <v>28</v>
      </c>
      <c r="K1381" t="s">
        <v>27</v>
      </c>
      <c r="L1381" t="s">
        <v>62</v>
      </c>
      <c r="M1381" t="s">
        <v>27</v>
      </c>
      <c r="N1381" t="s">
        <v>42</v>
      </c>
      <c r="O1381">
        <v>2863</v>
      </c>
      <c r="P1381">
        <v>1</v>
      </c>
      <c r="Q1381" t="s">
        <v>36</v>
      </c>
      <c r="R1381">
        <v>12</v>
      </c>
      <c r="S1381" t="s">
        <v>33</v>
      </c>
      <c r="T1381" t="s">
        <v>34</v>
      </c>
      <c r="U1381">
        <v>2</v>
      </c>
      <c r="V1381" t="s">
        <v>44</v>
      </c>
      <c r="W1381" t="str">
        <f>IF(HR_Data[[#This Row],[age]]&lt;25,"Under 25",IF(HR_Data[[#This Row],[age]]&lt;35,"25-34",IF(HR_Data[[#This Row],[age]]&lt;45,"35-44",IF(HR_Data[[#This Row],[age]]&lt;55,"45-54","55+"))))</f>
        <v>25-34</v>
      </c>
      <c r="X1381" t="str">
        <f t="shared" si="21"/>
        <v>Below 3,000</v>
      </c>
    </row>
    <row r="1382" spans="1:24" x14ac:dyDescent="0.3">
      <c r="A1382">
        <v>1945</v>
      </c>
      <c r="B1382">
        <v>35</v>
      </c>
      <c r="C1382" t="s">
        <v>36</v>
      </c>
      <c r="D1382" t="s">
        <v>23</v>
      </c>
      <c r="E1382" t="s">
        <v>24</v>
      </c>
      <c r="F1382">
        <v>18</v>
      </c>
      <c r="G1382" t="s">
        <v>47</v>
      </c>
      <c r="H1382" t="s">
        <v>48</v>
      </c>
      <c r="I1382" t="s">
        <v>27</v>
      </c>
      <c r="J1382" t="s">
        <v>40</v>
      </c>
      <c r="K1382" t="s">
        <v>29</v>
      </c>
      <c r="L1382" t="s">
        <v>30</v>
      </c>
      <c r="M1382" t="s">
        <v>34</v>
      </c>
      <c r="N1382" t="s">
        <v>42</v>
      </c>
      <c r="O1382">
        <v>5561</v>
      </c>
      <c r="P1382">
        <v>0</v>
      </c>
      <c r="Q1382" t="s">
        <v>36</v>
      </c>
      <c r="R1382">
        <v>16</v>
      </c>
      <c r="S1382" t="s">
        <v>33</v>
      </c>
      <c r="T1382" t="s">
        <v>31</v>
      </c>
      <c r="U1382">
        <v>2</v>
      </c>
      <c r="V1382" t="s">
        <v>35</v>
      </c>
      <c r="W1382" t="str">
        <f>IF(HR_Data[[#This Row],[age]]&lt;25,"Under 25",IF(HR_Data[[#This Row],[age]]&lt;35,"25-34",IF(HR_Data[[#This Row],[age]]&lt;45,"35-44",IF(HR_Data[[#This Row],[age]]&lt;55,"45-54","55+"))))</f>
        <v>35-44</v>
      </c>
      <c r="X1382" t="str">
        <f t="shared" si="21"/>
        <v>5,000-7,999</v>
      </c>
    </row>
    <row r="1383" spans="1:24" x14ac:dyDescent="0.3">
      <c r="A1383">
        <v>1947</v>
      </c>
      <c r="B1383">
        <v>28</v>
      </c>
      <c r="C1383" t="s">
        <v>36</v>
      </c>
      <c r="D1383" t="s">
        <v>54</v>
      </c>
      <c r="E1383" t="s">
        <v>38</v>
      </c>
      <c r="F1383">
        <v>16</v>
      </c>
      <c r="G1383" t="s">
        <v>50</v>
      </c>
      <c r="H1383" t="s">
        <v>48</v>
      </c>
      <c r="I1383" t="s">
        <v>29</v>
      </c>
      <c r="J1383" t="s">
        <v>40</v>
      </c>
      <c r="K1383" t="s">
        <v>29</v>
      </c>
      <c r="L1383" t="s">
        <v>41</v>
      </c>
      <c r="M1383" t="s">
        <v>29</v>
      </c>
      <c r="N1383" t="s">
        <v>32</v>
      </c>
      <c r="O1383">
        <v>2144</v>
      </c>
      <c r="P1383">
        <v>1</v>
      </c>
      <c r="Q1383" t="s">
        <v>36</v>
      </c>
      <c r="R1383">
        <v>14</v>
      </c>
      <c r="S1383" t="s">
        <v>33</v>
      </c>
      <c r="T1383" t="s">
        <v>29</v>
      </c>
      <c r="U1383">
        <v>3</v>
      </c>
      <c r="V1383" t="s">
        <v>49</v>
      </c>
      <c r="W1383" t="str">
        <f>IF(HR_Data[[#This Row],[age]]&lt;25,"Under 25",IF(HR_Data[[#This Row],[age]]&lt;35,"25-34",IF(HR_Data[[#This Row],[age]]&lt;45,"35-44",IF(HR_Data[[#This Row],[age]]&lt;55,"45-54","55+"))))</f>
        <v>25-34</v>
      </c>
      <c r="X1383" t="str">
        <f t="shared" si="21"/>
        <v>Below 3,000</v>
      </c>
    </row>
    <row r="1384" spans="1:24" x14ac:dyDescent="0.3">
      <c r="A1384">
        <v>1948</v>
      </c>
      <c r="B1384">
        <v>31</v>
      </c>
      <c r="C1384" t="s">
        <v>36</v>
      </c>
      <c r="D1384" t="s">
        <v>54</v>
      </c>
      <c r="E1384" t="s">
        <v>38</v>
      </c>
      <c r="F1384">
        <v>3</v>
      </c>
      <c r="G1384" t="s">
        <v>25</v>
      </c>
      <c r="H1384" t="s">
        <v>48</v>
      </c>
      <c r="I1384" t="s">
        <v>29</v>
      </c>
      <c r="J1384" t="s">
        <v>40</v>
      </c>
      <c r="K1384" t="s">
        <v>29</v>
      </c>
      <c r="L1384" t="s">
        <v>41</v>
      </c>
      <c r="M1384" t="s">
        <v>34</v>
      </c>
      <c r="N1384" t="s">
        <v>51</v>
      </c>
      <c r="O1384">
        <v>3065</v>
      </c>
      <c r="P1384">
        <v>1</v>
      </c>
      <c r="Q1384" t="s">
        <v>22</v>
      </c>
      <c r="R1384">
        <v>13</v>
      </c>
      <c r="S1384" t="s">
        <v>33</v>
      </c>
      <c r="T1384" t="s">
        <v>31</v>
      </c>
      <c r="U1384">
        <v>3</v>
      </c>
      <c r="V1384" t="s">
        <v>59</v>
      </c>
      <c r="W1384" t="str">
        <f>IF(HR_Data[[#This Row],[age]]&lt;25,"Under 25",IF(HR_Data[[#This Row],[age]]&lt;35,"25-34",IF(HR_Data[[#This Row],[age]]&lt;45,"35-44",IF(HR_Data[[#This Row],[age]]&lt;55,"45-54","55+"))))</f>
        <v>25-34</v>
      </c>
      <c r="X1384" t="str">
        <f t="shared" si="21"/>
        <v>3,000-4,999</v>
      </c>
    </row>
    <row r="1385" spans="1:24" x14ac:dyDescent="0.3">
      <c r="A1385">
        <v>1949</v>
      </c>
      <c r="B1385">
        <v>36</v>
      </c>
      <c r="C1385" t="s">
        <v>36</v>
      </c>
      <c r="D1385" t="s">
        <v>54</v>
      </c>
      <c r="E1385" t="s">
        <v>38</v>
      </c>
      <c r="F1385">
        <v>9</v>
      </c>
      <c r="G1385" t="s">
        <v>47</v>
      </c>
      <c r="H1385" t="s">
        <v>26</v>
      </c>
      <c r="I1385" t="s">
        <v>34</v>
      </c>
      <c r="J1385" t="s">
        <v>40</v>
      </c>
      <c r="K1385" t="s">
        <v>31</v>
      </c>
      <c r="L1385" t="s">
        <v>46</v>
      </c>
      <c r="M1385" t="s">
        <v>27</v>
      </c>
      <c r="N1385" t="s">
        <v>42</v>
      </c>
      <c r="O1385">
        <v>2810</v>
      </c>
      <c r="P1385">
        <v>1</v>
      </c>
      <c r="Q1385" t="s">
        <v>36</v>
      </c>
      <c r="R1385">
        <v>22</v>
      </c>
      <c r="S1385" t="s">
        <v>43</v>
      </c>
      <c r="T1385" t="s">
        <v>27</v>
      </c>
      <c r="U1385">
        <v>3</v>
      </c>
      <c r="V1385" t="s">
        <v>44</v>
      </c>
      <c r="W1385" t="str">
        <f>IF(HR_Data[[#This Row],[age]]&lt;25,"Under 25",IF(HR_Data[[#This Row],[age]]&lt;35,"25-34",IF(HR_Data[[#This Row],[age]]&lt;45,"35-44",IF(HR_Data[[#This Row],[age]]&lt;55,"45-54","55+"))))</f>
        <v>35-44</v>
      </c>
      <c r="X1385" t="str">
        <f t="shared" si="21"/>
        <v>Below 3,000</v>
      </c>
    </row>
    <row r="1386" spans="1:24" x14ac:dyDescent="0.3">
      <c r="A1386">
        <v>1950</v>
      </c>
      <c r="B1386">
        <v>34</v>
      </c>
      <c r="C1386" t="s">
        <v>36</v>
      </c>
      <c r="D1386" t="s">
        <v>23</v>
      </c>
      <c r="E1386" t="s">
        <v>24</v>
      </c>
      <c r="F1386">
        <v>1</v>
      </c>
      <c r="G1386" t="s">
        <v>50</v>
      </c>
      <c r="H1386" t="s">
        <v>58</v>
      </c>
      <c r="I1386" t="s">
        <v>34</v>
      </c>
      <c r="J1386" t="s">
        <v>40</v>
      </c>
      <c r="K1386" t="s">
        <v>29</v>
      </c>
      <c r="L1386" t="s">
        <v>30</v>
      </c>
      <c r="M1386" t="s">
        <v>31</v>
      </c>
      <c r="N1386" t="s">
        <v>32</v>
      </c>
      <c r="O1386">
        <v>9888</v>
      </c>
      <c r="P1386">
        <v>1</v>
      </c>
      <c r="Q1386" t="s">
        <v>36</v>
      </c>
      <c r="R1386">
        <v>21</v>
      </c>
      <c r="S1386" t="s">
        <v>43</v>
      </c>
      <c r="T1386" t="s">
        <v>34</v>
      </c>
      <c r="U1386">
        <v>3</v>
      </c>
      <c r="V1386" t="s">
        <v>49</v>
      </c>
      <c r="W1386" t="str">
        <f>IF(HR_Data[[#This Row],[age]]&lt;25,"Under 25",IF(HR_Data[[#This Row],[age]]&lt;35,"25-34",IF(HR_Data[[#This Row],[age]]&lt;45,"35-44",IF(HR_Data[[#This Row],[age]]&lt;55,"45-54","55+"))))</f>
        <v>25-34</v>
      </c>
      <c r="X1386" t="str">
        <f t="shared" si="21"/>
        <v>8,000+</v>
      </c>
    </row>
    <row r="1387" spans="1:24" x14ac:dyDescent="0.3">
      <c r="A1387">
        <v>1951</v>
      </c>
      <c r="B1387">
        <v>34</v>
      </c>
      <c r="C1387" t="s">
        <v>36</v>
      </c>
      <c r="D1387" t="s">
        <v>23</v>
      </c>
      <c r="E1387" t="s">
        <v>24</v>
      </c>
      <c r="F1387">
        <v>13</v>
      </c>
      <c r="G1387" t="s">
        <v>47</v>
      </c>
      <c r="H1387" t="s">
        <v>48</v>
      </c>
      <c r="I1387" t="s">
        <v>31</v>
      </c>
      <c r="J1387" t="s">
        <v>40</v>
      </c>
      <c r="K1387" t="s">
        <v>29</v>
      </c>
      <c r="L1387" t="s">
        <v>30</v>
      </c>
      <c r="M1387" t="s">
        <v>29</v>
      </c>
      <c r="N1387" t="s">
        <v>51</v>
      </c>
      <c r="O1387">
        <v>8628</v>
      </c>
      <c r="P1387">
        <v>1</v>
      </c>
      <c r="Q1387" t="s">
        <v>36</v>
      </c>
      <c r="R1387">
        <v>18</v>
      </c>
      <c r="S1387" t="s">
        <v>33</v>
      </c>
      <c r="T1387" t="s">
        <v>29</v>
      </c>
      <c r="U1387">
        <v>2</v>
      </c>
      <c r="V1387" t="s">
        <v>49</v>
      </c>
      <c r="W1387" t="str">
        <f>IF(HR_Data[[#This Row],[age]]&lt;25,"Under 25",IF(HR_Data[[#This Row],[age]]&lt;35,"25-34",IF(HR_Data[[#This Row],[age]]&lt;45,"35-44",IF(HR_Data[[#This Row],[age]]&lt;55,"45-54","55+"))))</f>
        <v>25-34</v>
      </c>
      <c r="X1387" t="str">
        <f t="shared" si="21"/>
        <v>8,000+</v>
      </c>
    </row>
    <row r="1388" spans="1:24" x14ac:dyDescent="0.3">
      <c r="A1388">
        <v>1952</v>
      </c>
      <c r="B1388">
        <v>26</v>
      </c>
      <c r="C1388" t="s">
        <v>36</v>
      </c>
      <c r="D1388" t="s">
        <v>23</v>
      </c>
      <c r="E1388" t="s">
        <v>38</v>
      </c>
      <c r="F1388">
        <v>1</v>
      </c>
      <c r="G1388" t="s">
        <v>50</v>
      </c>
      <c r="H1388" t="s">
        <v>48</v>
      </c>
      <c r="I1388" t="s">
        <v>29</v>
      </c>
      <c r="J1388" t="s">
        <v>40</v>
      </c>
      <c r="K1388" t="s">
        <v>29</v>
      </c>
      <c r="L1388" t="s">
        <v>46</v>
      </c>
      <c r="M1388" t="s">
        <v>34</v>
      </c>
      <c r="N1388" t="s">
        <v>32</v>
      </c>
      <c r="O1388">
        <v>2867</v>
      </c>
      <c r="P1388">
        <v>0</v>
      </c>
      <c r="Q1388" t="s">
        <v>36</v>
      </c>
      <c r="R1388">
        <v>13</v>
      </c>
      <c r="S1388" t="s">
        <v>33</v>
      </c>
      <c r="T1388" t="s">
        <v>31</v>
      </c>
      <c r="U1388">
        <v>6</v>
      </c>
      <c r="V1388" t="s">
        <v>49</v>
      </c>
      <c r="W1388" t="str">
        <f>IF(HR_Data[[#This Row],[age]]&lt;25,"Under 25",IF(HR_Data[[#This Row],[age]]&lt;35,"25-34",IF(HR_Data[[#This Row],[age]]&lt;45,"35-44",IF(HR_Data[[#This Row],[age]]&lt;55,"45-54","55+"))))</f>
        <v>25-34</v>
      </c>
      <c r="X1388" t="str">
        <f t="shared" si="21"/>
        <v>Below 3,000</v>
      </c>
    </row>
    <row r="1389" spans="1:24" x14ac:dyDescent="0.3">
      <c r="A1389">
        <v>1954</v>
      </c>
      <c r="B1389">
        <v>29</v>
      </c>
      <c r="C1389" t="s">
        <v>36</v>
      </c>
      <c r="D1389" t="s">
        <v>23</v>
      </c>
      <c r="E1389" t="s">
        <v>38</v>
      </c>
      <c r="F1389">
        <v>1</v>
      </c>
      <c r="G1389" t="s">
        <v>50</v>
      </c>
      <c r="H1389" t="s">
        <v>26</v>
      </c>
      <c r="I1389" t="s">
        <v>34</v>
      </c>
      <c r="J1389" t="s">
        <v>40</v>
      </c>
      <c r="K1389" t="s">
        <v>29</v>
      </c>
      <c r="L1389" t="s">
        <v>53</v>
      </c>
      <c r="M1389" t="s">
        <v>34</v>
      </c>
      <c r="N1389" t="s">
        <v>42</v>
      </c>
      <c r="O1389">
        <v>5373</v>
      </c>
      <c r="P1389">
        <v>0</v>
      </c>
      <c r="Q1389" t="s">
        <v>36</v>
      </c>
      <c r="R1389">
        <v>12</v>
      </c>
      <c r="S1389" t="s">
        <v>33</v>
      </c>
      <c r="T1389" t="s">
        <v>34</v>
      </c>
      <c r="U1389">
        <v>5</v>
      </c>
      <c r="V1389" t="s">
        <v>49</v>
      </c>
      <c r="W1389" t="str">
        <f>IF(HR_Data[[#This Row],[age]]&lt;25,"Under 25",IF(HR_Data[[#This Row],[age]]&lt;35,"25-34",IF(HR_Data[[#This Row],[age]]&lt;45,"35-44",IF(HR_Data[[#This Row],[age]]&lt;55,"45-54","55+"))))</f>
        <v>25-34</v>
      </c>
      <c r="X1389" t="str">
        <f t="shared" si="21"/>
        <v>5,000-7,999</v>
      </c>
    </row>
    <row r="1390" spans="1:24" x14ac:dyDescent="0.3">
      <c r="A1390">
        <v>1955</v>
      </c>
      <c r="B1390">
        <v>32</v>
      </c>
      <c r="C1390" t="s">
        <v>36</v>
      </c>
      <c r="D1390" t="s">
        <v>54</v>
      </c>
      <c r="E1390" t="s">
        <v>38</v>
      </c>
      <c r="F1390">
        <v>15</v>
      </c>
      <c r="G1390" t="s">
        <v>47</v>
      </c>
      <c r="H1390" t="s">
        <v>48</v>
      </c>
      <c r="I1390" t="s">
        <v>29</v>
      </c>
      <c r="J1390" t="s">
        <v>28</v>
      </c>
      <c r="K1390" t="s">
        <v>29</v>
      </c>
      <c r="L1390" t="s">
        <v>53</v>
      </c>
      <c r="M1390" t="s">
        <v>31</v>
      </c>
      <c r="N1390" t="s">
        <v>51</v>
      </c>
      <c r="O1390">
        <v>6667</v>
      </c>
      <c r="P1390">
        <v>5</v>
      </c>
      <c r="Q1390" t="s">
        <v>36</v>
      </c>
      <c r="R1390">
        <v>18</v>
      </c>
      <c r="S1390" t="s">
        <v>33</v>
      </c>
      <c r="T1390" t="s">
        <v>27</v>
      </c>
      <c r="U1390">
        <v>6</v>
      </c>
      <c r="V1390" t="s">
        <v>44</v>
      </c>
      <c r="W1390" t="str">
        <f>IF(HR_Data[[#This Row],[age]]&lt;25,"Under 25",IF(HR_Data[[#This Row],[age]]&lt;35,"25-34",IF(HR_Data[[#This Row],[age]]&lt;45,"35-44",IF(HR_Data[[#This Row],[age]]&lt;55,"45-54","55+"))))</f>
        <v>25-34</v>
      </c>
      <c r="X1390" t="str">
        <f t="shared" si="21"/>
        <v>5,000-7,999</v>
      </c>
    </row>
    <row r="1391" spans="1:24" x14ac:dyDescent="0.3">
      <c r="A1391">
        <v>1956</v>
      </c>
      <c r="B1391">
        <v>31</v>
      </c>
      <c r="C1391" t="s">
        <v>36</v>
      </c>
      <c r="D1391" t="s">
        <v>37</v>
      </c>
      <c r="E1391" t="s">
        <v>38</v>
      </c>
      <c r="F1391">
        <v>1</v>
      </c>
      <c r="G1391" t="s">
        <v>50</v>
      </c>
      <c r="H1391" t="s">
        <v>26</v>
      </c>
      <c r="I1391" t="s">
        <v>31</v>
      </c>
      <c r="J1391" t="s">
        <v>40</v>
      </c>
      <c r="K1391" t="s">
        <v>34</v>
      </c>
      <c r="L1391" t="s">
        <v>41</v>
      </c>
      <c r="M1391" t="s">
        <v>34</v>
      </c>
      <c r="N1391" t="s">
        <v>42</v>
      </c>
      <c r="O1391">
        <v>5003</v>
      </c>
      <c r="P1391">
        <v>1</v>
      </c>
      <c r="Q1391" t="s">
        <v>36</v>
      </c>
      <c r="R1391">
        <v>21</v>
      </c>
      <c r="S1391" t="s">
        <v>43</v>
      </c>
      <c r="T1391" t="s">
        <v>27</v>
      </c>
      <c r="U1391">
        <v>6</v>
      </c>
      <c r="V1391" t="s">
        <v>44</v>
      </c>
      <c r="W1391" t="str">
        <f>IF(HR_Data[[#This Row],[age]]&lt;25,"Under 25",IF(HR_Data[[#This Row],[age]]&lt;35,"25-34",IF(HR_Data[[#This Row],[age]]&lt;45,"35-44",IF(HR_Data[[#This Row],[age]]&lt;55,"45-54","55+"))))</f>
        <v>25-34</v>
      </c>
      <c r="X1391" t="str">
        <f t="shared" si="21"/>
        <v>5,000-7,999</v>
      </c>
    </row>
    <row r="1392" spans="1:24" x14ac:dyDescent="0.3">
      <c r="A1392">
        <v>1960</v>
      </c>
      <c r="B1392">
        <v>28</v>
      </c>
      <c r="C1392" t="s">
        <v>22</v>
      </c>
      <c r="D1392" t="s">
        <v>23</v>
      </c>
      <c r="E1392" t="s">
        <v>38</v>
      </c>
      <c r="F1392">
        <v>17</v>
      </c>
      <c r="G1392" t="s">
        <v>50</v>
      </c>
      <c r="H1392" t="s">
        <v>60</v>
      </c>
      <c r="I1392" t="s">
        <v>29</v>
      </c>
      <c r="J1392" t="s">
        <v>40</v>
      </c>
      <c r="K1392" t="s">
        <v>27</v>
      </c>
      <c r="L1392" t="s">
        <v>46</v>
      </c>
      <c r="M1392" t="s">
        <v>31</v>
      </c>
      <c r="N1392" t="s">
        <v>51</v>
      </c>
      <c r="O1392">
        <v>2367</v>
      </c>
      <c r="P1392">
        <v>5</v>
      </c>
      <c r="Q1392" t="s">
        <v>36</v>
      </c>
      <c r="R1392">
        <v>12</v>
      </c>
      <c r="S1392" t="s">
        <v>33</v>
      </c>
      <c r="T1392" t="s">
        <v>34</v>
      </c>
      <c r="U1392">
        <v>2</v>
      </c>
      <c r="V1392" t="s">
        <v>49</v>
      </c>
      <c r="W1392" t="str">
        <f>IF(HR_Data[[#This Row],[age]]&lt;25,"Under 25",IF(HR_Data[[#This Row],[age]]&lt;35,"25-34",IF(HR_Data[[#This Row],[age]]&lt;45,"35-44",IF(HR_Data[[#This Row],[age]]&lt;55,"45-54","55+"))))</f>
        <v>25-34</v>
      </c>
      <c r="X1392" t="str">
        <f t="shared" si="21"/>
        <v>Below 3,000</v>
      </c>
    </row>
    <row r="1393" spans="1:24" x14ac:dyDescent="0.3">
      <c r="A1393">
        <v>1961</v>
      </c>
      <c r="B1393">
        <v>38</v>
      </c>
      <c r="C1393" t="s">
        <v>36</v>
      </c>
      <c r="D1393" t="s">
        <v>23</v>
      </c>
      <c r="E1393" t="s">
        <v>24</v>
      </c>
      <c r="F1393">
        <v>1</v>
      </c>
      <c r="G1393" t="s">
        <v>50</v>
      </c>
      <c r="H1393" t="s">
        <v>26</v>
      </c>
      <c r="I1393" t="s">
        <v>34</v>
      </c>
      <c r="J1393" t="s">
        <v>40</v>
      </c>
      <c r="K1393" t="s">
        <v>27</v>
      </c>
      <c r="L1393" t="s">
        <v>56</v>
      </c>
      <c r="M1393" t="s">
        <v>34</v>
      </c>
      <c r="N1393" t="s">
        <v>32</v>
      </c>
      <c r="O1393">
        <v>2858</v>
      </c>
      <c r="P1393">
        <v>4</v>
      </c>
      <c r="Q1393" t="s">
        <v>36</v>
      </c>
      <c r="R1393">
        <v>14</v>
      </c>
      <c r="S1393" t="s">
        <v>33</v>
      </c>
      <c r="T1393" t="s">
        <v>34</v>
      </c>
      <c r="U1393">
        <v>3</v>
      </c>
      <c r="V1393" t="s">
        <v>49</v>
      </c>
      <c r="W1393" t="str">
        <f>IF(HR_Data[[#This Row],[age]]&lt;25,"Under 25",IF(HR_Data[[#This Row],[age]]&lt;35,"25-34",IF(HR_Data[[#This Row],[age]]&lt;45,"35-44",IF(HR_Data[[#This Row],[age]]&lt;55,"45-54","55+"))))</f>
        <v>35-44</v>
      </c>
      <c r="X1393" t="str">
        <f t="shared" si="21"/>
        <v>Below 3,000</v>
      </c>
    </row>
    <row r="1394" spans="1:24" x14ac:dyDescent="0.3">
      <c r="A1394">
        <v>1962</v>
      </c>
      <c r="B1394">
        <v>35</v>
      </c>
      <c r="C1394" t="s">
        <v>36</v>
      </c>
      <c r="D1394" t="s">
        <v>23</v>
      </c>
      <c r="E1394" t="s">
        <v>24</v>
      </c>
      <c r="F1394">
        <v>7</v>
      </c>
      <c r="G1394" t="s">
        <v>47</v>
      </c>
      <c r="H1394" t="s">
        <v>26</v>
      </c>
      <c r="I1394" t="s">
        <v>29</v>
      </c>
      <c r="J1394" t="s">
        <v>28</v>
      </c>
      <c r="K1394" t="s">
        <v>29</v>
      </c>
      <c r="L1394" t="s">
        <v>30</v>
      </c>
      <c r="M1394" t="s">
        <v>31</v>
      </c>
      <c r="N1394" t="s">
        <v>42</v>
      </c>
      <c r="O1394">
        <v>5204</v>
      </c>
      <c r="P1394">
        <v>1</v>
      </c>
      <c r="Q1394" t="s">
        <v>22</v>
      </c>
      <c r="R1394">
        <v>11</v>
      </c>
      <c r="S1394" t="s">
        <v>33</v>
      </c>
      <c r="T1394" t="s">
        <v>31</v>
      </c>
      <c r="U1394">
        <v>2</v>
      </c>
      <c r="V1394" t="s">
        <v>44</v>
      </c>
      <c r="W1394" t="str">
        <f>IF(HR_Data[[#This Row],[age]]&lt;25,"Under 25",IF(HR_Data[[#This Row],[age]]&lt;35,"25-34",IF(HR_Data[[#This Row],[age]]&lt;45,"35-44",IF(HR_Data[[#This Row],[age]]&lt;55,"45-54","55+"))))</f>
        <v>35-44</v>
      </c>
      <c r="X1394" t="str">
        <f t="shared" si="21"/>
        <v>5,000-7,999</v>
      </c>
    </row>
    <row r="1395" spans="1:24" x14ac:dyDescent="0.3">
      <c r="A1395">
        <v>1965</v>
      </c>
      <c r="B1395">
        <v>27</v>
      </c>
      <c r="C1395" t="s">
        <v>36</v>
      </c>
      <c r="D1395" t="s">
        <v>23</v>
      </c>
      <c r="E1395" t="s">
        <v>24</v>
      </c>
      <c r="F1395">
        <v>9</v>
      </c>
      <c r="G1395" t="s">
        <v>50</v>
      </c>
      <c r="H1395" t="s">
        <v>58</v>
      </c>
      <c r="I1395" t="s">
        <v>31</v>
      </c>
      <c r="J1395" t="s">
        <v>40</v>
      </c>
      <c r="K1395" t="s">
        <v>29</v>
      </c>
      <c r="L1395" t="s">
        <v>30</v>
      </c>
      <c r="M1395" t="s">
        <v>31</v>
      </c>
      <c r="N1395" t="s">
        <v>32</v>
      </c>
      <c r="O1395">
        <v>4105</v>
      </c>
      <c r="P1395">
        <v>1</v>
      </c>
      <c r="Q1395" t="s">
        <v>36</v>
      </c>
      <c r="R1395">
        <v>14</v>
      </c>
      <c r="S1395" t="s">
        <v>33</v>
      </c>
      <c r="T1395" t="s">
        <v>34</v>
      </c>
      <c r="U1395">
        <v>5</v>
      </c>
      <c r="V1395" t="s">
        <v>44</v>
      </c>
      <c r="W1395" t="str">
        <f>IF(HR_Data[[#This Row],[age]]&lt;25,"Under 25",IF(HR_Data[[#This Row],[age]]&lt;35,"25-34",IF(HR_Data[[#This Row],[age]]&lt;45,"35-44",IF(HR_Data[[#This Row],[age]]&lt;55,"45-54","55+"))))</f>
        <v>25-34</v>
      </c>
      <c r="X1395" t="str">
        <f t="shared" si="21"/>
        <v>3,000-4,999</v>
      </c>
    </row>
    <row r="1396" spans="1:24" x14ac:dyDescent="0.3">
      <c r="A1396">
        <v>1966</v>
      </c>
      <c r="B1396">
        <v>32</v>
      </c>
      <c r="C1396" t="s">
        <v>36</v>
      </c>
      <c r="D1396" t="s">
        <v>23</v>
      </c>
      <c r="E1396" t="s">
        <v>38</v>
      </c>
      <c r="F1396">
        <v>5</v>
      </c>
      <c r="G1396" t="s">
        <v>47</v>
      </c>
      <c r="H1396" t="s">
        <v>26</v>
      </c>
      <c r="I1396" t="s">
        <v>31</v>
      </c>
      <c r="J1396" t="s">
        <v>40</v>
      </c>
      <c r="K1396" t="s">
        <v>27</v>
      </c>
      <c r="L1396" t="s">
        <v>52</v>
      </c>
      <c r="M1396" t="s">
        <v>31</v>
      </c>
      <c r="N1396" t="s">
        <v>32</v>
      </c>
      <c r="O1396">
        <v>9679</v>
      </c>
      <c r="P1396">
        <v>8</v>
      </c>
      <c r="Q1396" t="s">
        <v>36</v>
      </c>
      <c r="R1396">
        <v>24</v>
      </c>
      <c r="S1396" t="s">
        <v>43</v>
      </c>
      <c r="T1396" t="s">
        <v>27</v>
      </c>
      <c r="U1396">
        <v>1</v>
      </c>
      <c r="V1396" t="s">
        <v>44</v>
      </c>
      <c r="W1396" t="str">
        <f>IF(HR_Data[[#This Row],[age]]&lt;25,"Under 25",IF(HR_Data[[#This Row],[age]]&lt;35,"25-34",IF(HR_Data[[#This Row],[age]]&lt;45,"35-44",IF(HR_Data[[#This Row],[age]]&lt;55,"45-54","55+"))))</f>
        <v>25-34</v>
      </c>
      <c r="X1396" t="str">
        <f t="shared" si="21"/>
        <v>8,000+</v>
      </c>
    </row>
    <row r="1397" spans="1:24" x14ac:dyDescent="0.3">
      <c r="A1397">
        <v>1967</v>
      </c>
      <c r="B1397">
        <v>31</v>
      </c>
      <c r="C1397" t="s">
        <v>22</v>
      </c>
      <c r="D1397" t="s">
        <v>37</v>
      </c>
      <c r="E1397" t="s">
        <v>24</v>
      </c>
      <c r="F1397">
        <v>26</v>
      </c>
      <c r="G1397" t="s">
        <v>47</v>
      </c>
      <c r="H1397" t="s">
        <v>58</v>
      </c>
      <c r="I1397" t="s">
        <v>34</v>
      </c>
      <c r="J1397" t="s">
        <v>40</v>
      </c>
      <c r="K1397" t="s">
        <v>29</v>
      </c>
      <c r="L1397" t="s">
        <v>30</v>
      </c>
      <c r="M1397" t="s">
        <v>31</v>
      </c>
      <c r="N1397" t="s">
        <v>42</v>
      </c>
      <c r="O1397">
        <v>5617</v>
      </c>
      <c r="P1397">
        <v>1</v>
      </c>
      <c r="Q1397" t="s">
        <v>22</v>
      </c>
      <c r="R1397">
        <v>11</v>
      </c>
      <c r="S1397" t="s">
        <v>33</v>
      </c>
      <c r="T1397" t="s">
        <v>29</v>
      </c>
      <c r="U1397">
        <v>4</v>
      </c>
      <c r="V1397" t="s">
        <v>44</v>
      </c>
      <c r="W1397" t="str">
        <f>IF(HR_Data[[#This Row],[age]]&lt;25,"Under 25",IF(HR_Data[[#This Row],[age]]&lt;35,"25-34",IF(HR_Data[[#This Row],[age]]&lt;45,"35-44",IF(HR_Data[[#This Row],[age]]&lt;55,"45-54","55+"))))</f>
        <v>25-34</v>
      </c>
      <c r="X1397" t="str">
        <f t="shared" si="21"/>
        <v>5,000-7,999</v>
      </c>
    </row>
    <row r="1398" spans="1:24" x14ac:dyDescent="0.3">
      <c r="A1398">
        <v>1968</v>
      </c>
      <c r="B1398">
        <v>53</v>
      </c>
      <c r="C1398" t="s">
        <v>22</v>
      </c>
      <c r="D1398" t="s">
        <v>23</v>
      </c>
      <c r="E1398" t="s">
        <v>24</v>
      </c>
      <c r="F1398">
        <v>24</v>
      </c>
      <c r="G1398" t="s">
        <v>47</v>
      </c>
      <c r="H1398" t="s">
        <v>26</v>
      </c>
      <c r="I1398" t="s">
        <v>34</v>
      </c>
      <c r="J1398" t="s">
        <v>40</v>
      </c>
      <c r="K1398" t="s">
        <v>29</v>
      </c>
      <c r="L1398" t="s">
        <v>30</v>
      </c>
      <c r="M1398" t="s">
        <v>34</v>
      </c>
      <c r="N1398" t="s">
        <v>32</v>
      </c>
      <c r="O1398">
        <v>10448</v>
      </c>
      <c r="P1398">
        <v>6</v>
      </c>
      <c r="Q1398" t="s">
        <v>22</v>
      </c>
      <c r="R1398">
        <v>13</v>
      </c>
      <c r="S1398" t="s">
        <v>33</v>
      </c>
      <c r="T1398" t="s">
        <v>27</v>
      </c>
      <c r="U1398">
        <v>2</v>
      </c>
      <c r="V1398" t="s">
        <v>49</v>
      </c>
      <c r="W1398" t="str">
        <f>IF(HR_Data[[#This Row],[age]]&lt;25,"Under 25",IF(HR_Data[[#This Row],[age]]&lt;35,"25-34",IF(HR_Data[[#This Row],[age]]&lt;45,"35-44",IF(HR_Data[[#This Row],[age]]&lt;55,"45-54","55+"))))</f>
        <v>45-54</v>
      </c>
      <c r="X1398" t="str">
        <f t="shared" si="21"/>
        <v>8,000+</v>
      </c>
    </row>
    <row r="1399" spans="1:24" x14ac:dyDescent="0.3">
      <c r="A1399">
        <v>1969</v>
      </c>
      <c r="B1399">
        <v>54</v>
      </c>
      <c r="C1399" t="s">
        <v>36</v>
      </c>
      <c r="D1399" t="s">
        <v>23</v>
      </c>
      <c r="E1399" t="s">
        <v>38</v>
      </c>
      <c r="F1399">
        <v>9</v>
      </c>
      <c r="G1399" t="s">
        <v>25</v>
      </c>
      <c r="H1399" t="s">
        <v>26</v>
      </c>
      <c r="I1399" t="s">
        <v>34</v>
      </c>
      <c r="J1399" t="s">
        <v>28</v>
      </c>
      <c r="K1399" t="s">
        <v>29</v>
      </c>
      <c r="L1399" t="s">
        <v>41</v>
      </c>
      <c r="M1399" t="s">
        <v>29</v>
      </c>
      <c r="N1399" t="s">
        <v>42</v>
      </c>
      <c r="O1399">
        <v>2897</v>
      </c>
      <c r="P1399">
        <v>3</v>
      </c>
      <c r="Q1399" t="s">
        <v>36</v>
      </c>
      <c r="R1399">
        <v>11</v>
      </c>
      <c r="S1399" t="s">
        <v>33</v>
      </c>
      <c r="T1399" t="s">
        <v>29</v>
      </c>
      <c r="U1399">
        <v>6</v>
      </c>
      <c r="V1399" t="s">
        <v>49</v>
      </c>
      <c r="W1399" t="str">
        <f>IF(HR_Data[[#This Row],[age]]&lt;25,"Under 25",IF(HR_Data[[#This Row],[age]]&lt;35,"25-34",IF(HR_Data[[#This Row],[age]]&lt;45,"35-44",IF(HR_Data[[#This Row],[age]]&lt;55,"45-54","55+"))))</f>
        <v>45-54</v>
      </c>
      <c r="X1399" t="str">
        <f t="shared" si="21"/>
        <v>Below 3,000</v>
      </c>
    </row>
    <row r="1400" spans="1:24" x14ac:dyDescent="0.3">
      <c r="A1400">
        <v>1970</v>
      </c>
      <c r="B1400">
        <v>33</v>
      </c>
      <c r="C1400" t="s">
        <v>36</v>
      </c>
      <c r="D1400" t="s">
        <v>37</v>
      </c>
      <c r="E1400" t="s">
        <v>38</v>
      </c>
      <c r="F1400">
        <v>7</v>
      </c>
      <c r="G1400" t="s">
        <v>25</v>
      </c>
      <c r="H1400" t="s">
        <v>26</v>
      </c>
      <c r="I1400" t="s">
        <v>31</v>
      </c>
      <c r="J1400" t="s">
        <v>40</v>
      </c>
      <c r="K1400" t="s">
        <v>29</v>
      </c>
      <c r="L1400" t="s">
        <v>53</v>
      </c>
      <c r="M1400" t="s">
        <v>29</v>
      </c>
      <c r="N1400" t="s">
        <v>51</v>
      </c>
      <c r="O1400">
        <v>5968</v>
      </c>
      <c r="P1400">
        <v>1</v>
      </c>
      <c r="Q1400" t="s">
        <v>36</v>
      </c>
      <c r="R1400">
        <v>20</v>
      </c>
      <c r="S1400" t="s">
        <v>43</v>
      </c>
      <c r="T1400" t="s">
        <v>29</v>
      </c>
      <c r="U1400">
        <v>2</v>
      </c>
      <c r="V1400" t="s">
        <v>44</v>
      </c>
      <c r="W1400" t="str">
        <f>IF(HR_Data[[#This Row],[age]]&lt;25,"Under 25",IF(HR_Data[[#This Row],[age]]&lt;35,"25-34",IF(HR_Data[[#This Row],[age]]&lt;45,"35-44",IF(HR_Data[[#This Row],[age]]&lt;55,"45-54","55+"))))</f>
        <v>25-34</v>
      </c>
      <c r="X1400" t="str">
        <f t="shared" si="21"/>
        <v>5,000-7,999</v>
      </c>
    </row>
    <row r="1401" spans="1:24" x14ac:dyDescent="0.3">
      <c r="A1401">
        <v>1971</v>
      </c>
      <c r="B1401">
        <v>43</v>
      </c>
      <c r="C1401" t="s">
        <v>36</v>
      </c>
      <c r="D1401" t="s">
        <v>23</v>
      </c>
      <c r="E1401" t="s">
        <v>38</v>
      </c>
      <c r="F1401">
        <v>11</v>
      </c>
      <c r="G1401" t="s">
        <v>50</v>
      </c>
      <c r="H1401" t="s">
        <v>26</v>
      </c>
      <c r="I1401" t="s">
        <v>34</v>
      </c>
      <c r="J1401" t="s">
        <v>40</v>
      </c>
      <c r="K1401" t="s">
        <v>29</v>
      </c>
      <c r="L1401" t="s">
        <v>53</v>
      </c>
      <c r="M1401" t="s">
        <v>29</v>
      </c>
      <c r="N1401" t="s">
        <v>42</v>
      </c>
      <c r="O1401">
        <v>7510</v>
      </c>
      <c r="P1401">
        <v>1</v>
      </c>
      <c r="Q1401" t="s">
        <v>36</v>
      </c>
      <c r="R1401">
        <v>17</v>
      </c>
      <c r="S1401" t="s">
        <v>33</v>
      </c>
      <c r="T1401" t="s">
        <v>27</v>
      </c>
      <c r="U1401">
        <v>1</v>
      </c>
      <c r="V1401" t="s">
        <v>44</v>
      </c>
      <c r="W1401" t="str">
        <f>IF(HR_Data[[#This Row],[age]]&lt;25,"Under 25",IF(HR_Data[[#This Row],[age]]&lt;35,"25-34",IF(HR_Data[[#This Row],[age]]&lt;45,"35-44",IF(HR_Data[[#This Row],[age]]&lt;55,"45-54","55+"))))</f>
        <v>35-44</v>
      </c>
      <c r="X1401" t="str">
        <f t="shared" si="21"/>
        <v>5,000-7,999</v>
      </c>
    </row>
    <row r="1402" spans="1:24" x14ac:dyDescent="0.3">
      <c r="A1402">
        <v>1972</v>
      </c>
      <c r="B1402">
        <v>38</v>
      </c>
      <c r="C1402" t="s">
        <v>36</v>
      </c>
      <c r="D1402" t="s">
        <v>37</v>
      </c>
      <c r="E1402" t="s">
        <v>62</v>
      </c>
      <c r="F1402">
        <v>1</v>
      </c>
      <c r="G1402" t="s">
        <v>47</v>
      </c>
      <c r="H1402" t="s">
        <v>45</v>
      </c>
      <c r="I1402" t="s">
        <v>31</v>
      </c>
      <c r="J1402" t="s">
        <v>40</v>
      </c>
      <c r="K1402" t="s">
        <v>29</v>
      </c>
      <c r="L1402" t="s">
        <v>62</v>
      </c>
      <c r="M1402" t="s">
        <v>27</v>
      </c>
      <c r="N1402" t="s">
        <v>42</v>
      </c>
      <c r="O1402">
        <v>2991</v>
      </c>
      <c r="P1402">
        <v>0</v>
      </c>
      <c r="Q1402" t="s">
        <v>22</v>
      </c>
      <c r="R1402">
        <v>11</v>
      </c>
      <c r="S1402" t="s">
        <v>33</v>
      </c>
      <c r="T1402" t="s">
        <v>27</v>
      </c>
      <c r="U1402">
        <v>2</v>
      </c>
      <c r="V1402" t="s">
        <v>44</v>
      </c>
      <c r="W1402" t="str">
        <f>IF(HR_Data[[#This Row],[age]]&lt;25,"Under 25",IF(HR_Data[[#This Row],[age]]&lt;35,"25-34",IF(HR_Data[[#This Row],[age]]&lt;45,"35-44",IF(HR_Data[[#This Row],[age]]&lt;55,"45-54","55+"))))</f>
        <v>35-44</v>
      </c>
      <c r="X1402" t="str">
        <f t="shared" si="21"/>
        <v>Below 3,000</v>
      </c>
    </row>
    <row r="1403" spans="1:24" x14ac:dyDescent="0.3">
      <c r="A1403">
        <v>1973</v>
      </c>
      <c r="B1403">
        <v>55</v>
      </c>
      <c r="C1403" t="s">
        <v>36</v>
      </c>
      <c r="D1403" t="s">
        <v>23</v>
      </c>
      <c r="E1403" t="s">
        <v>62</v>
      </c>
      <c r="F1403">
        <v>26</v>
      </c>
      <c r="G1403" t="s">
        <v>47</v>
      </c>
      <c r="H1403" t="s">
        <v>62</v>
      </c>
      <c r="I1403" t="s">
        <v>29</v>
      </c>
      <c r="J1403" t="s">
        <v>40</v>
      </c>
      <c r="K1403" t="s">
        <v>31</v>
      </c>
      <c r="L1403" t="s">
        <v>55</v>
      </c>
      <c r="M1403" t="s">
        <v>27</v>
      </c>
      <c r="N1403" t="s">
        <v>42</v>
      </c>
      <c r="O1403">
        <v>19636</v>
      </c>
      <c r="P1403">
        <v>4</v>
      </c>
      <c r="Q1403" t="s">
        <v>22</v>
      </c>
      <c r="R1403">
        <v>18</v>
      </c>
      <c r="S1403" t="s">
        <v>33</v>
      </c>
      <c r="T1403" t="s">
        <v>34</v>
      </c>
      <c r="U1403">
        <v>0</v>
      </c>
      <c r="V1403" t="s">
        <v>44</v>
      </c>
      <c r="W1403" t="str">
        <f>IF(HR_Data[[#This Row],[age]]&lt;25,"Under 25",IF(HR_Data[[#This Row],[age]]&lt;35,"25-34",IF(HR_Data[[#This Row],[age]]&lt;45,"35-44",IF(HR_Data[[#This Row],[age]]&lt;55,"45-54","55+"))))</f>
        <v>55+</v>
      </c>
      <c r="X1403" t="str">
        <f t="shared" si="21"/>
        <v>8,000+</v>
      </c>
    </row>
    <row r="1404" spans="1:24" x14ac:dyDescent="0.3">
      <c r="A1404">
        <v>1974</v>
      </c>
      <c r="B1404">
        <v>31</v>
      </c>
      <c r="C1404" t="s">
        <v>36</v>
      </c>
      <c r="D1404" t="s">
        <v>23</v>
      </c>
      <c r="E1404" t="s">
        <v>38</v>
      </c>
      <c r="F1404">
        <v>2</v>
      </c>
      <c r="G1404" t="s">
        <v>39</v>
      </c>
      <c r="H1404" t="s">
        <v>48</v>
      </c>
      <c r="I1404" t="s">
        <v>31</v>
      </c>
      <c r="J1404" t="s">
        <v>28</v>
      </c>
      <c r="K1404" t="s">
        <v>34</v>
      </c>
      <c r="L1404" t="s">
        <v>46</v>
      </c>
      <c r="M1404" t="s">
        <v>31</v>
      </c>
      <c r="N1404" t="s">
        <v>51</v>
      </c>
      <c r="O1404">
        <v>1129</v>
      </c>
      <c r="P1404">
        <v>1</v>
      </c>
      <c r="Q1404" t="s">
        <v>22</v>
      </c>
      <c r="R1404">
        <v>11</v>
      </c>
      <c r="S1404" t="s">
        <v>33</v>
      </c>
      <c r="T1404" t="s">
        <v>29</v>
      </c>
      <c r="U1404">
        <v>4</v>
      </c>
      <c r="V1404" t="s">
        <v>44</v>
      </c>
      <c r="W1404" t="str">
        <f>IF(HR_Data[[#This Row],[age]]&lt;25,"Under 25",IF(HR_Data[[#This Row],[age]]&lt;35,"25-34",IF(HR_Data[[#This Row],[age]]&lt;45,"35-44",IF(HR_Data[[#This Row],[age]]&lt;55,"45-54","55+"))))</f>
        <v>25-34</v>
      </c>
      <c r="X1404" t="str">
        <f t="shared" si="21"/>
        <v>Below 3,000</v>
      </c>
    </row>
    <row r="1405" spans="1:24" x14ac:dyDescent="0.3">
      <c r="A1405">
        <v>1975</v>
      </c>
      <c r="B1405">
        <v>39</v>
      </c>
      <c r="C1405" t="s">
        <v>36</v>
      </c>
      <c r="D1405" t="s">
        <v>23</v>
      </c>
      <c r="E1405" t="s">
        <v>24</v>
      </c>
      <c r="F1405">
        <v>15</v>
      </c>
      <c r="G1405" t="s">
        <v>47</v>
      </c>
      <c r="H1405" t="s">
        <v>58</v>
      </c>
      <c r="I1405" t="s">
        <v>27</v>
      </c>
      <c r="J1405" t="s">
        <v>40</v>
      </c>
      <c r="K1405" t="s">
        <v>29</v>
      </c>
      <c r="L1405" t="s">
        <v>30</v>
      </c>
      <c r="M1405" t="s">
        <v>34</v>
      </c>
      <c r="N1405" t="s">
        <v>32</v>
      </c>
      <c r="O1405">
        <v>13341</v>
      </c>
      <c r="P1405">
        <v>0</v>
      </c>
      <c r="Q1405" t="s">
        <v>36</v>
      </c>
      <c r="R1405">
        <v>12</v>
      </c>
      <c r="S1405" t="s">
        <v>33</v>
      </c>
      <c r="T1405" t="s">
        <v>34</v>
      </c>
      <c r="U1405">
        <v>3</v>
      </c>
      <c r="V1405" t="s">
        <v>44</v>
      </c>
      <c r="W1405" t="str">
        <f>IF(HR_Data[[#This Row],[age]]&lt;25,"Under 25",IF(HR_Data[[#This Row],[age]]&lt;35,"25-34",IF(HR_Data[[#This Row],[age]]&lt;45,"35-44",IF(HR_Data[[#This Row],[age]]&lt;55,"45-54","55+"))))</f>
        <v>35-44</v>
      </c>
      <c r="X1405" t="str">
        <f t="shared" si="21"/>
        <v>8,000+</v>
      </c>
    </row>
    <row r="1406" spans="1:24" x14ac:dyDescent="0.3">
      <c r="A1406">
        <v>1976</v>
      </c>
      <c r="B1406">
        <v>42</v>
      </c>
      <c r="C1406" t="s">
        <v>36</v>
      </c>
      <c r="D1406" t="s">
        <v>54</v>
      </c>
      <c r="E1406" t="s">
        <v>38</v>
      </c>
      <c r="F1406">
        <v>23</v>
      </c>
      <c r="G1406" t="s">
        <v>25</v>
      </c>
      <c r="H1406" t="s">
        <v>26</v>
      </c>
      <c r="I1406" t="s">
        <v>31</v>
      </c>
      <c r="J1406" t="s">
        <v>40</v>
      </c>
      <c r="K1406" t="s">
        <v>27</v>
      </c>
      <c r="L1406" t="s">
        <v>41</v>
      </c>
      <c r="M1406" t="s">
        <v>29</v>
      </c>
      <c r="N1406" t="s">
        <v>32</v>
      </c>
      <c r="O1406">
        <v>4332</v>
      </c>
      <c r="P1406">
        <v>1</v>
      </c>
      <c r="Q1406" t="s">
        <v>36</v>
      </c>
      <c r="R1406">
        <v>12</v>
      </c>
      <c r="S1406" t="s">
        <v>33</v>
      </c>
      <c r="T1406" t="s">
        <v>31</v>
      </c>
      <c r="U1406">
        <v>2</v>
      </c>
      <c r="V1406" t="s">
        <v>44</v>
      </c>
      <c r="W1406" t="str">
        <f>IF(HR_Data[[#This Row],[age]]&lt;25,"Under 25",IF(HR_Data[[#This Row],[age]]&lt;35,"25-34",IF(HR_Data[[#This Row],[age]]&lt;45,"35-44",IF(HR_Data[[#This Row],[age]]&lt;55,"45-54","55+"))))</f>
        <v>35-44</v>
      </c>
      <c r="X1406" t="str">
        <f t="shared" si="21"/>
        <v>3,000-4,999</v>
      </c>
    </row>
    <row r="1407" spans="1:24" x14ac:dyDescent="0.3">
      <c r="A1407">
        <v>1979</v>
      </c>
      <c r="B1407">
        <v>31</v>
      </c>
      <c r="C1407" t="s">
        <v>36</v>
      </c>
      <c r="D1407" t="s">
        <v>54</v>
      </c>
      <c r="E1407" t="s">
        <v>38</v>
      </c>
      <c r="F1407">
        <v>10</v>
      </c>
      <c r="G1407" t="s">
        <v>50</v>
      </c>
      <c r="H1407" t="s">
        <v>48</v>
      </c>
      <c r="I1407" t="s">
        <v>29</v>
      </c>
      <c r="J1407" t="s">
        <v>28</v>
      </c>
      <c r="K1407" t="s">
        <v>29</v>
      </c>
      <c r="L1407" t="s">
        <v>57</v>
      </c>
      <c r="M1407" t="s">
        <v>29</v>
      </c>
      <c r="N1407" t="s">
        <v>42</v>
      </c>
      <c r="O1407">
        <v>11031</v>
      </c>
      <c r="P1407">
        <v>4</v>
      </c>
      <c r="Q1407" t="s">
        <v>36</v>
      </c>
      <c r="R1407">
        <v>20</v>
      </c>
      <c r="S1407" t="s">
        <v>43</v>
      </c>
      <c r="T1407" t="s">
        <v>29</v>
      </c>
      <c r="U1407">
        <v>2</v>
      </c>
      <c r="V1407" t="s">
        <v>59</v>
      </c>
      <c r="W1407" t="str">
        <f>IF(HR_Data[[#This Row],[age]]&lt;25,"Under 25",IF(HR_Data[[#This Row],[age]]&lt;35,"25-34",IF(HR_Data[[#This Row],[age]]&lt;45,"35-44",IF(HR_Data[[#This Row],[age]]&lt;55,"45-54","55+"))))</f>
        <v>25-34</v>
      </c>
      <c r="X1407" t="str">
        <f t="shared" si="21"/>
        <v>8,000+</v>
      </c>
    </row>
    <row r="1408" spans="1:24" x14ac:dyDescent="0.3">
      <c r="A1408">
        <v>1980</v>
      </c>
      <c r="B1408">
        <v>54</v>
      </c>
      <c r="C1408" t="s">
        <v>36</v>
      </c>
      <c r="D1408" t="s">
        <v>23</v>
      </c>
      <c r="E1408" t="s">
        <v>38</v>
      </c>
      <c r="F1408">
        <v>10</v>
      </c>
      <c r="G1408" t="s">
        <v>50</v>
      </c>
      <c r="H1408" t="s">
        <v>48</v>
      </c>
      <c r="I1408" t="s">
        <v>29</v>
      </c>
      <c r="J1408" t="s">
        <v>28</v>
      </c>
      <c r="K1408" t="s">
        <v>29</v>
      </c>
      <c r="L1408" t="s">
        <v>52</v>
      </c>
      <c r="M1408" t="s">
        <v>34</v>
      </c>
      <c r="N1408" t="s">
        <v>32</v>
      </c>
      <c r="O1408">
        <v>4440</v>
      </c>
      <c r="P1408">
        <v>6</v>
      </c>
      <c r="Q1408" t="s">
        <v>22</v>
      </c>
      <c r="R1408">
        <v>19</v>
      </c>
      <c r="S1408" t="s">
        <v>33</v>
      </c>
      <c r="T1408" t="s">
        <v>31</v>
      </c>
      <c r="U1408">
        <v>3</v>
      </c>
      <c r="V1408" t="s">
        <v>44</v>
      </c>
      <c r="W1408" t="str">
        <f>IF(HR_Data[[#This Row],[age]]&lt;25,"Under 25",IF(HR_Data[[#This Row],[age]]&lt;35,"25-34",IF(HR_Data[[#This Row],[age]]&lt;45,"35-44",IF(HR_Data[[#This Row],[age]]&lt;55,"45-54","55+"))))</f>
        <v>45-54</v>
      </c>
      <c r="X1408" t="str">
        <f t="shared" si="21"/>
        <v>3,000-4,999</v>
      </c>
    </row>
    <row r="1409" spans="1:24" x14ac:dyDescent="0.3">
      <c r="A1409">
        <v>1981</v>
      </c>
      <c r="B1409">
        <v>24</v>
      </c>
      <c r="C1409" t="s">
        <v>36</v>
      </c>
      <c r="D1409" t="s">
        <v>23</v>
      </c>
      <c r="E1409" t="s">
        <v>38</v>
      </c>
      <c r="F1409">
        <v>1</v>
      </c>
      <c r="G1409" t="s">
        <v>25</v>
      </c>
      <c r="H1409" t="s">
        <v>26</v>
      </c>
      <c r="I1409" t="s">
        <v>27</v>
      </c>
      <c r="J1409" t="s">
        <v>40</v>
      </c>
      <c r="K1409" t="s">
        <v>27</v>
      </c>
      <c r="L1409" t="s">
        <v>53</v>
      </c>
      <c r="M1409" t="s">
        <v>29</v>
      </c>
      <c r="N1409" t="s">
        <v>32</v>
      </c>
      <c r="O1409">
        <v>4617</v>
      </c>
      <c r="P1409">
        <v>1</v>
      </c>
      <c r="Q1409" t="s">
        <v>36</v>
      </c>
      <c r="R1409">
        <v>12</v>
      </c>
      <c r="S1409" t="s">
        <v>33</v>
      </c>
      <c r="T1409" t="s">
        <v>27</v>
      </c>
      <c r="U1409">
        <v>2</v>
      </c>
      <c r="V1409" t="s">
        <v>49</v>
      </c>
      <c r="W1409" t="str">
        <f>IF(HR_Data[[#This Row],[age]]&lt;25,"Under 25",IF(HR_Data[[#This Row],[age]]&lt;35,"25-34",IF(HR_Data[[#This Row],[age]]&lt;45,"35-44",IF(HR_Data[[#This Row],[age]]&lt;55,"45-54","55+"))))</f>
        <v>Under 25</v>
      </c>
      <c r="X1409" t="str">
        <f t="shared" si="21"/>
        <v>3,000-4,999</v>
      </c>
    </row>
    <row r="1410" spans="1:24" x14ac:dyDescent="0.3">
      <c r="A1410">
        <v>1982</v>
      </c>
      <c r="B1410">
        <v>23</v>
      </c>
      <c r="C1410" t="s">
        <v>36</v>
      </c>
      <c r="D1410" t="s">
        <v>23</v>
      </c>
      <c r="E1410" t="s">
        <v>38</v>
      </c>
      <c r="F1410">
        <v>12</v>
      </c>
      <c r="G1410" t="s">
        <v>25</v>
      </c>
      <c r="H1410" t="s">
        <v>45</v>
      </c>
      <c r="I1410" t="s">
        <v>31</v>
      </c>
      <c r="J1410" t="s">
        <v>40</v>
      </c>
      <c r="K1410" t="s">
        <v>29</v>
      </c>
      <c r="L1410" t="s">
        <v>46</v>
      </c>
      <c r="M1410" t="s">
        <v>31</v>
      </c>
      <c r="N1410" t="s">
        <v>32</v>
      </c>
      <c r="O1410">
        <v>2647</v>
      </c>
      <c r="P1410">
        <v>1</v>
      </c>
      <c r="Q1410" t="s">
        <v>36</v>
      </c>
      <c r="R1410">
        <v>13</v>
      </c>
      <c r="S1410" t="s">
        <v>33</v>
      </c>
      <c r="T1410" t="s">
        <v>29</v>
      </c>
      <c r="U1410">
        <v>6</v>
      </c>
      <c r="V1410" t="s">
        <v>59</v>
      </c>
      <c r="W1410" t="str">
        <f>IF(HR_Data[[#This Row],[age]]&lt;25,"Under 25",IF(HR_Data[[#This Row],[age]]&lt;35,"25-34",IF(HR_Data[[#This Row],[age]]&lt;45,"35-44",IF(HR_Data[[#This Row],[age]]&lt;55,"45-54","55+"))))</f>
        <v>Under 25</v>
      </c>
      <c r="X1410" t="str">
        <f t="shared" si="21"/>
        <v>Below 3,000</v>
      </c>
    </row>
    <row r="1411" spans="1:24" x14ac:dyDescent="0.3">
      <c r="A1411">
        <v>1985</v>
      </c>
      <c r="B1411">
        <v>40</v>
      </c>
      <c r="C1411" t="s">
        <v>36</v>
      </c>
      <c r="D1411" t="s">
        <v>37</v>
      </c>
      <c r="E1411" t="s">
        <v>38</v>
      </c>
      <c r="F1411">
        <v>11</v>
      </c>
      <c r="G1411" t="s">
        <v>50</v>
      </c>
      <c r="H1411" t="s">
        <v>60</v>
      </c>
      <c r="I1411" t="s">
        <v>31</v>
      </c>
      <c r="J1411" t="s">
        <v>28</v>
      </c>
      <c r="K1411" t="s">
        <v>29</v>
      </c>
      <c r="L1411" t="s">
        <v>46</v>
      </c>
      <c r="M1411" t="s">
        <v>29</v>
      </c>
      <c r="N1411" t="s">
        <v>42</v>
      </c>
      <c r="O1411">
        <v>6323</v>
      </c>
      <c r="P1411">
        <v>1</v>
      </c>
      <c r="Q1411" t="s">
        <v>36</v>
      </c>
      <c r="R1411">
        <v>11</v>
      </c>
      <c r="S1411" t="s">
        <v>33</v>
      </c>
      <c r="T1411" t="s">
        <v>34</v>
      </c>
      <c r="U1411">
        <v>2</v>
      </c>
      <c r="V1411" t="s">
        <v>59</v>
      </c>
      <c r="W1411" t="str">
        <f>IF(HR_Data[[#This Row],[age]]&lt;25,"Under 25",IF(HR_Data[[#This Row],[age]]&lt;35,"25-34",IF(HR_Data[[#This Row],[age]]&lt;45,"35-44",IF(HR_Data[[#This Row],[age]]&lt;55,"45-54","55+"))))</f>
        <v>35-44</v>
      </c>
      <c r="X1411" t="str">
        <f t="shared" ref="X1411:X1471" si="22">IF(O1411&lt;3000,"Below 3,000",IF(O1411&lt;5000,"3,000-4,999",IF(O1411&lt;8000,"5,000-7,999","8,000+")))</f>
        <v>5,000-7,999</v>
      </c>
    </row>
    <row r="1412" spans="1:24" x14ac:dyDescent="0.3">
      <c r="A1412">
        <v>1986</v>
      </c>
      <c r="B1412">
        <v>40</v>
      </c>
      <c r="C1412" t="s">
        <v>36</v>
      </c>
      <c r="D1412" t="s">
        <v>23</v>
      </c>
      <c r="E1412" t="s">
        <v>24</v>
      </c>
      <c r="F1412">
        <v>2</v>
      </c>
      <c r="G1412" t="s">
        <v>25</v>
      </c>
      <c r="H1412" t="s">
        <v>58</v>
      </c>
      <c r="I1412" t="s">
        <v>27</v>
      </c>
      <c r="J1412" t="s">
        <v>28</v>
      </c>
      <c r="K1412" t="s">
        <v>29</v>
      </c>
      <c r="L1412" t="s">
        <v>30</v>
      </c>
      <c r="M1412" t="s">
        <v>27</v>
      </c>
      <c r="N1412" t="s">
        <v>42</v>
      </c>
      <c r="O1412">
        <v>5677</v>
      </c>
      <c r="P1412">
        <v>3</v>
      </c>
      <c r="Q1412" t="s">
        <v>36</v>
      </c>
      <c r="R1412">
        <v>14</v>
      </c>
      <c r="S1412" t="s">
        <v>33</v>
      </c>
      <c r="T1412" t="s">
        <v>29</v>
      </c>
      <c r="U1412">
        <v>4</v>
      </c>
      <c r="V1412" t="s">
        <v>44</v>
      </c>
      <c r="W1412" t="str">
        <f>IF(HR_Data[[#This Row],[age]]&lt;25,"Under 25",IF(HR_Data[[#This Row],[age]]&lt;35,"25-34",IF(HR_Data[[#This Row],[age]]&lt;45,"35-44",IF(HR_Data[[#This Row],[age]]&lt;55,"45-54","55+"))))</f>
        <v>35-44</v>
      </c>
      <c r="X1412" t="str">
        <f t="shared" si="22"/>
        <v>5,000-7,999</v>
      </c>
    </row>
    <row r="1413" spans="1:24" x14ac:dyDescent="0.3">
      <c r="A1413">
        <v>1987</v>
      </c>
      <c r="B1413">
        <v>25</v>
      </c>
      <c r="C1413" t="s">
        <v>36</v>
      </c>
      <c r="D1413" t="s">
        <v>23</v>
      </c>
      <c r="E1413" t="s">
        <v>62</v>
      </c>
      <c r="F1413">
        <v>2</v>
      </c>
      <c r="G1413" t="s">
        <v>50</v>
      </c>
      <c r="H1413" t="s">
        <v>62</v>
      </c>
      <c r="I1413" t="s">
        <v>29</v>
      </c>
      <c r="J1413" t="s">
        <v>28</v>
      </c>
      <c r="K1413" t="s">
        <v>29</v>
      </c>
      <c r="L1413" t="s">
        <v>62</v>
      </c>
      <c r="M1413" t="s">
        <v>27</v>
      </c>
      <c r="N1413" t="s">
        <v>42</v>
      </c>
      <c r="O1413">
        <v>2187</v>
      </c>
      <c r="P1413">
        <v>4</v>
      </c>
      <c r="Q1413" t="s">
        <v>36</v>
      </c>
      <c r="R1413">
        <v>14</v>
      </c>
      <c r="S1413" t="s">
        <v>33</v>
      </c>
      <c r="T1413" t="s">
        <v>29</v>
      </c>
      <c r="U1413">
        <v>3</v>
      </c>
      <c r="V1413" t="s">
        <v>44</v>
      </c>
      <c r="W1413" t="str">
        <f>IF(HR_Data[[#This Row],[age]]&lt;25,"Under 25",IF(HR_Data[[#This Row],[age]]&lt;35,"25-34",IF(HR_Data[[#This Row],[age]]&lt;45,"35-44",IF(HR_Data[[#This Row],[age]]&lt;55,"45-54","55+"))))</f>
        <v>25-34</v>
      </c>
      <c r="X1413" t="str">
        <f t="shared" si="22"/>
        <v>Below 3,000</v>
      </c>
    </row>
    <row r="1414" spans="1:24" x14ac:dyDescent="0.3">
      <c r="A1414">
        <v>1989</v>
      </c>
      <c r="B1414">
        <v>30</v>
      </c>
      <c r="C1414" t="s">
        <v>36</v>
      </c>
      <c r="D1414" t="s">
        <v>23</v>
      </c>
      <c r="E1414" t="s">
        <v>38</v>
      </c>
      <c r="F1414">
        <v>1</v>
      </c>
      <c r="G1414" t="s">
        <v>25</v>
      </c>
      <c r="H1414" t="s">
        <v>48</v>
      </c>
      <c r="I1414" t="s">
        <v>31</v>
      </c>
      <c r="J1414" t="s">
        <v>40</v>
      </c>
      <c r="K1414" t="s">
        <v>29</v>
      </c>
      <c r="L1414" t="s">
        <v>46</v>
      </c>
      <c r="M1414" t="s">
        <v>27</v>
      </c>
      <c r="N1414" t="s">
        <v>42</v>
      </c>
      <c r="O1414">
        <v>3748</v>
      </c>
      <c r="P1414">
        <v>1</v>
      </c>
      <c r="Q1414" t="s">
        <v>36</v>
      </c>
      <c r="R1414">
        <v>13</v>
      </c>
      <c r="S1414" t="s">
        <v>33</v>
      </c>
      <c r="T1414" t="s">
        <v>29</v>
      </c>
      <c r="U1414">
        <v>6</v>
      </c>
      <c r="V1414" t="s">
        <v>49</v>
      </c>
      <c r="W1414" t="str">
        <f>IF(HR_Data[[#This Row],[age]]&lt;25,"Under 25",IF(HR_Data[[#This Row],[age]]&lt;35,"25-34",IF(HR_Data[[#This Row],[age]]&lt;45,"35-44",IF(HR_Data[[#This Row],[age]]&lt;55,"45-54","55+"))))</f>
        <v>25-34</v>
      </c>
      <c r="X1414" t="str">
        <f t="shared" si="22"/>
        <v>3,000-4,999</v>
      </c>
    </row>
    <row r="1415" spans="1:24" x14ac:dyDescent="0.3">
      <c r="A1415">
        <v>1992</v>
      </c>
      <c r="B1415">
        <v>25</v>
      </c>
      <c r="C1415" t="s">
        <v>36</v>
      </c>
      <c r="D1415" t="s">
        <v>23</v>
      </c>
      <c r="E1415" t="s">
        <v>38</v>
      </c>
      <c r="F1415">
        <v>2</v>
      </c>
      <c r="G1415" t="s">
        <v>39</v>
      </c>
      <c r="H1415" t="s">
        <v>45</v>
      </c>
      <c r="I1415" t="s">
        <v>31</v>
      </c>
      <c r="J1415" t="s">
        <v>40</v>
      </c>
      <c r="K1415" t="s">
        <v>29</v>
      </c>
      <c r="L1415" t="s">
        <v>46</v>
      </c>
      <c r="M1415" t="s">
        <v>29</v>
      </c>
      <c r="N1415" t="s">
        <v>51</v>
      </c>
      <c r="O1415">
        <v>3977</v>
      </c>
      <c r="P1415">
        <v>6</v>
      </c>
      <c r="Q1415" t="s">
        <v>22</v>
      </c>
      <c r="R1415">
        <v>19</v>
      </c>
      <c r="S1415" t="s">
        <v>33</v>
      </c>
      <c r="T1415" t="s">
        <v>29</v>
      </c>
      <c r="U1415">
        <v>2</v>
      </c>
      <c r="V1415" t="s">
        <v>49</v>
      </c>
      <c r="W1415" t="str">
        <f>IF(HR_Data[[#This Row],[age]]&lt;25,"Under 25",IF(HR_Data[[#This Row],[age]]&lt;35,"25-34",IF(HR_Data[[#This Row],[age]]&lt;45,"35-44",IF(HR_Data[[#This Row],[age]]&lt;55,"45-54","55+"))))</f>
        <v>25-34</v>
      </c>
      <c r="X1415" t="str">
        <f t="shared" si="22"/>
        <v>3,000-4,999</v>
      </c>
    </row>
    <row r="1416" spans="1:24" x14ac:dyDescent="0.3">
      <c r="A1416">
        <v>1993</v>
      </c>
      <c r="B1416">
        <v>47</v>
      </c>
      <c r="C1416" t="s">
        <v>36</v>
      </c>
      <c r="D1416" t="s">
        <v>23</v>
      </c>
      <c r="E1416" t="s">
        <v>38</v>
      </c>
      <c r="F1416">
        <v>25</v>
      </c>
      <c r="G1416" t="s">
        <v>50</v>
      </c>
      <c r="H1416" t="s">
        <v>48</v>
      </c>
      <c r="I1416" t="s">
        <v>34</v>
      </c>
      <c r="J1416" t="s">
        <v>40</v>
      </c>
      <c r="K1416" t="s">
        <v>29</v>
      </c>
      <c r="L1416" t="s">
        <v>53</v>
      </c>
      <c r="M1416" t="s">
        <v>29</v>
      </c>
      <c r="N1416" t="s">
        <v>32</v>
      </c>
      <c r="O1416">
        <v>8633</v>
      </c>
      <c r="P1416">
        <v>2</v>
      </c>
      <c r="Q1416" t="s">
        <v>36</v>
      </c>
      <c r="R1416">
        <v>23</v>
      </c>
      <c r="S1416" t="s">
        <v>43</v>
      </c>
      <c r="T1416" t="s">
        <v>27</v>
      </c>
      <c r="U1416">
        <v>3</v>
      </c>
      <c r="V1416" t="s">
        <v>44</v>
      </c>
      <c r="W1416" t="str">
        <f>IF(HR_Data[[#This Row],[age]]&lt;25,"Under 25",IF(HR_Data[[#This Row],[age]]&lt;35,"25-34",IF(HR_Data[[#This Row],[age]]&lt;45,"35-44",IF(HR_Data[[#This Row],[age]]&lt;55,"45-54","55+"))))</f>
        <v>45-54</v>
      </c>
      <c r="X1416" t="str">
        <f t="shared" si="22"/>
        <v>8,000+</v>
      </c>
    </row>
    <row r="1417" spans="1:24" x14ac:dyDescent="0.3">
      <c r="A1417">
        <v>1994</v>
      </c>
      <c r="B1417">
        <v>33</v>
      </c>
      <c r="C1417" t="s">
        <v>36</v>
      </c>
      <c r="D1417" t="s">
        <v>54</v>
      </c>
      <c r="E1417" t="s">
        <v>38</v>
      </c>
      <c r="F1417">
        <v>1</v>
      </c>
      <c r="G1417" t="s">
        <v>25</v>
      </c>
      <c r="H1417" t="s">
        <v>48</v>
      </c>
      <c r="I1417" t="s">
        <v>27</v>
      </c>
      <c r="J1417" t="s">
        <v>40</v>
      </c>
      <c r="K1417" t="s">
        <v>27</v>
      </c>
      <c r="L1417" t="s">
        <v>46</v>
      </c>
      <c r="M1417" t="s">
        <v>29</v>
      </c>
      <c r="N1417" t="s">
        <v>51</v>
      </c>
      <c r="O1417">
        <v>2008</v>
      </c>
      <c r="P1417">
        <v>1</v>
      </c>
      <c r="Q1417" t="s">
        <v>36</v>
      </c>
      <c r="R1417">
        <v>12</v>
      </c>
      <c r="S1417" t="s">
        <v>33</v>
      </c>
      <c r="T1417" t="s">
        <v>29</v>
      </c>
      <c r="U1417">
        <v>2</v>
      </c>
      <c r="V1417" t="s">
        <v>49</v>
      </c>
      <c r="W1417" t="str">
        <f>IF(HR_Data[[#This Row],[age]]&lt;25,"Under 25",IF(HR_Data[[#This Row],[age]]&lt;35,"25-34",IF(HR_Data[[#This Row],[age]]&lt;45,"35-44",IF(HR_Data[[#This Row],[age]]&lt;55,"45-54","55+"))))</f>
        <v>25-34</v>
      </c>
      <c r="X1417" t="str">
        <f t="shared" si="22"/>
        <v>Below 3,000</v>
      </c>
    </row>
    <row r="1418" spans="1:24" x14ac:dyDescent="0.3">
      <c r="A1418">
        <v>1995</v>
      </c>
      <c r="B1418">
        <v>38</v>
      </c>
      <c r="C1418" t="s">
        <v>36</v>
      </c>
      <c r="D1418" t="s">
        <v>23</v>
      </c>
      <c r="E1418" t="s">
        <v>24</v>
      </c>
      <c r="F1418">
        <v>1</v>
      </c>
      <c r="G1418" t="s">
        <v>47</v>
      </c>
      <c r="H1418" t="s">
        <v>26</v>
      </c>
      <c r="I1418" t="s">
        <v>31</v>
      </c>
      <c r="J1418" t="s">
        <v>40</v>
      </c>
      <c r="K1418" t="s">
        <v>29</v>
      </c>
      <c r="L1418" t="s">
        <v>30</v>
      </c>
      <c r="M1418" t="s">
        <v>27</v>
      </c>
      <c r="N1418" t="s">
        <v>42</v>
      </c>
      <c r="O1418">
        <v>4440</v>
      </c>
      <c r="P1418">
        <v>0</v>
      </c>
      <c r="Q1418" t="s">
        <v>36</v>
      </c>
      <c r="R1418">
        <v>15</v>
      </c>
      <c r="S1418" t="s">
        <v>33</v>
      </c>
      <c r="T1418" t="s">
        <v>34</v>
      </c>
      <c r="U1418">
        <v>3</v>
      </c>
      <c r="V1418" t="s">
        <v>44</v>
      </c>
      <c r="W1418" t="str">
        <f>IF(HR_Data[[#This Row],[age]]&lt;25,"Under 25",IF(HR_Data[[#This Row],[age]]&lt;35,"25-34",IF(HR_Data[[#This Row],[age]]&lt;45,"35-44",IF(HR_Data[[#This Row],[age]]&lt;55,"45-54","55+"))))</f>
        <v>35-44</v>
      </c>
      <c r="X1418" t="str">
        <f t="shared" si="22"/>
        <v>3,000-4,999</v>
      </c>
    </row>
    <row r="1419" spans="1:24" x14ac:dyDescent="0.3">
      <c r="A1419">
        <v>1996</v>
      </c>
      <c r="B1419">
        <v>31</v>
      </c>
      <c r="C1419" t="s">
        <v>36</v>
      </c>
      <c r="D1419" t="s">
        <v>23</v>
      </c>
      <c r="E1419" t="s">
        <v>24</v>
      </c>
      <c r="F1419">
        <v>2</v>
      </c>
      <c r="G1419" t="s">
        <v>25</v>
      </c>
      <c r="H1419" t="s">
        <v>26</v>
      </c>
      <c r="I1419" t="s">
        <v>34</v>
      </c>
      <c r="J1419" t="s">
        <v>40</v>
      </c>
      <c r="K1419" t="s">
        <v>29</v>
      </c>
      <c r="L1419" t="s">
        <v>56</v>
      </c>
      <c r="M1419" t="s">
        <v>29</v>
      </c>
      <c r="N1419" t="s">
        <v>42</v>
      </c>
      <c r="O1419">
        <v>3067</v>
      </c>
      <c r="P1419">
        <v>0</v>
      </c>
      <c r="Q1419" t="s">
        <v>36</v>
      </c>
      <c r="R1419">
        <v>19</v>
      </c>
      <c r="S1419" t="s">
        <v>33</v>
      </c>
      <c r="T1419" t="s">
        <v>29</v>
      </c>
      <c r="U1419">
        <v>1</v>
      </c>
      <c r="V1419" t="s">
        <v>44</v>
      </c>
      <c r="W1419" t="str">
        <f>IF(HR_Data[[#This Row],[age]]&lt;25,"Under 25",IF(HR_Data[[#This Row],[age]]&lt;35,"25-34",IF(HR_Data[[#This Row],[age]]&lt;45,"35-44",IF(HR_Data[[#This Row],[age]]&lt;55,"45-54","55+"))))</f>
        <v>25-34</v>
      </c>
      <c r="X1419" t="str">
        <f t="shared" si="22"/>
        <v>3,000-4,999</v>
      </c>
    </row>
    <row r="1420" spans="1:24" x14ac:dyDescent="0.3">
      <c r="A1420">
        <v>1997</v>
      </c>
      <c r="B1420">
        <v>38</v>
      </c>
      <c r="C1420" t="s">
        <v>36</v>
      </c>
      <c r="D1420" t="s">
        <v>37</v>
      </c>
      <c r="E1420" t="s">
        <v>38</v>
      </c>
      <c r="F1420">
        <v>6</v>
      </c>
      <c r="G1420" t="s">
        <v>47</v>
      </c>
      <c r="H1420" t="s">
        <v>26</v>
      </c>
      <c r="I1420" t="s">
        <v>34</v>
      </c>
      <c r="J1420" t="s">
        <v>40</v>
      </c>
      <c r="K1420" t="s">
        <v>27</v>
      </c>
      <c r="L1420" t="s">
        <v>52</v>
      </c>
      <c r="M1420" t="s">
        <v>29</v>
      </c>
      <c r="N1420" t="s">
        <v>42</v>
      </c>
      <c r="O1420">
        <v>5321</v>
      </c>
      <c r="P1420">
        <v>2</v>
      </c>
      <c r="Q1420" t="s">
        <v>36</v>
      </c>
      <c r="R1420">
        <v>11</v>
      </c>
      <c r="S1420" t="s">
        <v>33</v>
      </c>
      <c r="T1420" t="s">
        <v>31</v>
      </c>
      <c r="U1420">
        <v>1</v>
      </c>
      <c r="V1420" t="s">
        <v>44</v>
      </c>
      <c r="W1420" t="str">
        <f>IF(HR_Data[[#This Row],[age]]&lt;25,"Under 25",IF(HR_Data[[#This Row],[age]]&lt;35,"25-34",IF(HR_Data[[#This Row],[age]]&lt;45,"35-44",IF(HR_Data[[#This Row],[age]]&lt;55,"45-54","55+"))))</f>
        <v>35-44</v>
      </c>
      <c r="X1420" t="str">
        <f t="shared" si="22"/>
        <v>5,000-7,999</v>
      </c>
    </row>
    <row r="1421" spans="1:24" x14ac:dyDescent="0.3">
      <c r="A1421">
        <v>1998</v>
      </c>
      <c r="B1421">
        <v>42</v>
      </c>
      <c r="C1421" t="s">
        <v>36</v>
      </c>
      <c r="D1421" t="s">
        <v>23</v>
      </c>
      <c r="E1421" t="s">
        <v>38</v>
      </c>
      <c r="F1421">
        <v>18</v>
      </c>
      <c r="G1421" t="s">
        <v>47</v>
      </c>
      <c r="H1421" t="s">
        <v>26</v>
      </c>
      <c r="I1421" t="s">
        <v>31</v>
      </c>
      <c r="J1421" t="s">
        <v>40</v>
      </c>
      <c r="K1421" t="s">
        <v>29</v>
      </c>
      <c r="L1421" t="s">
        <v>41</v>
      </c>
      <c r="M1421" t="s">
        <v>34</v>
      </c>
      <c r="N1421" t="s">
        <v>51</v>
      </c>
      <c r="O1421">
        <v>5410</v>
      </c>
      <c r="P1421">
        <v>6</v>
      </c>
      <c r="Q1421" t="s">
        <v>22</v>
      </c>
      <c r="R1421">
        <v>17</v>
      </c>
      <c r="S1421" t="s">
        <v>33</v>
      </c>
      <c r="T1421" t="s">
        <v>29</v>
      </c>
      <c r="U1421">
        <v>3</v>
      </c>
      <c r="V1421" t="s">
        <v>49</v>
      </c>
      <c r="W1421" t="str">
        <f>IF(HR_Data[[#This Row],[age]]&lt;25,"Under 25",IF(HR_Data[[#This Row],[age]]&lt;35,"25-34",IF(HR_Data[[#This Row],[age]]&lt;45,"35-44",IF(HR_Data[[#This Row],[age]]&lt;55,"45-54","55+"))))</f>
        <v>35-44</v>
      </c>
      <c r="X1421" t="str">
        <f t="shared" si="22"/>
        <v>5,000-7,999</v>
      </c>
    </row>
    <row r="1422" spans="1:24" x14ac:dyDescent="0.3">
      <c r="A1422">
        <v>1999</v>
      </c>
      <c r="B1422">
        <v>41</v>
      </c>
      <c r="C1422" t="s">
        <v>36</v>
      </c>
      <c r="D1422" t="s">
        <v>23</v>
      </c>
      <c r="E1422" t="s">
        <v>38</v>
      </c>
      <c r="F1422">
        <v>1</v>
      </c>
      <c r="G1422" t="s">
        <v>50</v>
      </c>
      <c r="H1422" t="s">
        <v>26</v>
      </c>
      <c r="I1422" t="s">
        <v>31</v>
      </c>
      <c r="J1422" t="s">
        <v>40</v>
      </c>
      <c r="K1422" t="s">
        <v>29</v>
      </c>
      <c r="L1422" t="s">
        <v>41</v>
      </c>
      <c r="M1422" t="s">
        <v>31</v>
      </c>
      <c r="N1422" t="s">
        <v>42</v>
      </c>
      <c r="O1422">
        <v>2782</v>
      </c>
      <c r="P1422">
        <v>3</v>
      </c>
      <c r="Q1422" t="s">
        <v>36</v>
      </c>
      <c r="R1422">
        <v>22</v>
      </c>
      <c r="S1422" t="s">
        <v>43</v>
      </c>
      <c r="T1422" t="s">
        <v>34</v>
      </c>
      <c r="U1422">
        <v>3</v>
      </c>
      <c r="V1422" t="s">
        <v>44</v>
      </c>
      <c r="W1422" t="str">
        <f>IF(HR_Data[[#This Row],[age]]&lt;25,"Under 25",IF(HR_Data[[#This Row],[age]]&lt;35,"25-34",IF(HR_Data[[#This Row],[age]]&lt;45,"35-44",IF(HR_Data[[#This Row],[age]]&lt;55,"45-54","55+"))))</f>
        <v>35-44</v>
      </c>
      <c r="X1422" t="str">
        <f t="shared" si="22"/>
        <v>Below 3,000</v>
      </c>
    </row>
    <row r="1423" spans="1:24" x14ac:dyDescent="0.3">
      <c r="A1423">
        <v>2000</v>
      </c>
      <c r="B1423">
        <v>47</v>
      </c>
      <c r="C1423" t="s">
        <v>36</v>
      </c>
      <c r="D1423" t="s">
        <v>54</v>
      </c>
      <c r="E1423" t="s">
        <v>38</v>
      </c>
      <c r="F1423">
        <v>1</v>
      </c>
      <c r="G1423" t="s">
        <v>39</v>
      </c>
      <c r="H1423" t="s">
        <v>48</v>
      </c>
      <c r="I1423" t="s">
        <v>29</v>
      </c>
      <c r="J1423" t="s">
        <v>28</v>
      </c>
      <c r="K1423" t="s">
        <v>29</v>
      </c>
      <c r="L1423" t="s">
        <v>57</v>
      </c>
      <c r="M1423" t="s">
        <v>27</v>
      </c>
      <c r="N1423" t="s">
        <v>42</v>
      </c>
      <c r="O1423">
        <v>11957</v>
      </c>
      <c r="P1423">
        <v>0</v>
      </c>
      <c r="Q1423" t="s">
        <v>36</v>
      </c>
      <c r="R1423">
        <v>18</v>
      </c>
      <c r="S1423" t="s">
        <v>33</v>
      </c>
      <c r="T1423" t="s">
        <v>34</v>
      </c>
      <c r="U1423">
        <v>3</v>
      </c>
      <c r="V1423" t="s">
        <v>35</v>
      </c>
      <c r="W1423" t="str">
        <f>IF(HR_Data[[#This Row],[age]]&lt;25,"Under 25",IF(HR_Data[[#This Row],[age]]&lt;35,"25-34",IF(HR_Data[[#This Row],[age]]&lt;45,"35-44",IF(HR_Data[[#This Row],[age]]&lt;55,"45-54","55+"))))</f>
        <v>45-54</v>
      </c>
      <c r="X1423" t="str">
        <f t="shared" si="22"/>
        <v>8,000+</v>
      </c>
    </row>
    <row r="1424" spans="1:24" x14ac:dyDescent="0.3">
      <c r="A1424">
        <v>2003</v>
      </c>
      <c r="B1424">
        <v>35</v>
      </c>
      <c r="C1424" t="s">
        <v>36</v>
      </c>
      <c r="D1424" t="s">
        <v>23</v>
      </c>
      <c r="E1424" t="s">
        <v>38</v>
      </c>
      <c r="F1424">
        <v>11</v>
      </c>
      <c r="G1424" t="s">
        <v>47</v>
      </c>
      <c r="H1424" t="s">
        <v>48</v>
      </c>
      <c r="I1424" t="s">
        <v>31</v>
      </c>
      <c r="J1424" t="s">
        <v>40</v>
      </c>
      <c r="K1424" t="s">
        <v>29</v>
      </c>
      <c r="L1424" t="s">
        <v>46</v>
      </c>
      <c r="M1424" t="s">
        <v>29</v>
      </c>
      <c r="N1424" t="s">
        <v>42</v>
      </c>
      <c r="O1424">
        <v>2660</v>
      </c>
      <c r="P1424">
        <v>7</v>
      </c>
      <c r="Q1424" t="s">
        <v>22</v>
      </c>
      <c r="R1424">
        <v>11</v>
      </c>
      <c r="S1424" t="s">
        <v>33</v>
      </c>
      <c r="T1424" t="s">
        <v>29</v>
      </c>
      <c r="U1424">
        <v>3</v>
      </c>
      <c r="V1424" t="s">
        <v>44</v>
      </c>
      <c r="W1424" t="str">
        <f>IF(HR_Data[[#This Row],[age]]&lt;25,"Under 25",IF(HR_Data[[#This Row],[age]]&lt;35,"25-34",IF(HR_Data[[#This Row],[age]]&lt;45,"35-44",IF(HR_Data[[#This Row],[age]]&lt;55,"45-54","55+"))))</f>
        <v>35-44</v>
      </c>
      <c r="X1424" t="str">
        <f t="shared" si="22"/>
        <v>Below 3,000</v>
      </c>
    </row>
    <row r="1425" spans="1:24" x14ac:dyDescent="0.3">
      <c r="A1425">
        <v>2007</v>
      </c>
      <c r="B1425">
        <v>22</v>
      </c>
      <c r="C1425" t="s">
        <v>36</v>
      </c>
      <c r="D1425" t="s">
        <v>23</v>
      </c>
      <c r="E1425" t="s">
        <v>38</v>
      </c>
      <c r="F1425">
        <v>1</v>
      </c>
      <c r="G1425" t="s">
        <v>25</v>
      </c>
      <c r="H1425" t="s">
        <v>26</v>
      </c>
      <c r="I1425" t="s">
        <v>31</v>
      </c>
      <c r="J1425" t="s">
        <v>40</v>
      </c>
      <c r="K1425" t="s">
        <v>29</v>
      </c>
      <c r="L1425" t="s">
        <v>41</v>
      </c>
      <c r="M1425" t="s">
        <v>29</v>
      </c>
      <c r="N1425" t="s">
        <v>32</v>
      </c>
      <c r="O1425">
        <v>3375</v>
      </c>
      <c r="P1425">
        <v>0</v>
      </c>
      <c r="Q1425" t="s">
        <v>36</v>
      </c>
      <c r="R1425">
        <v>12</v>
      </c>
      <c r="S1425" t="s">
        <v>33</v>
      </c>
      <c r="T1425" t="s">
        <v>31</v>
      </c>
      <c r="U1425">
        <v>2</v>
      </c>
      <c r="V1425" t="s">
        <v>59</v>
      </c>
      <c r="W1425" t="str">
        <f>IF(HR_Data[[#This Row],[age]]&lt;25,"Under 25",IF(HR_Data[[#This Row],[age]]&lt;35,"25-34",IF(HR_Data[[#This Row],[age]]&lt;45,"35-44",IF(HR_Data[[#This Row],[age]]&lt;55,"45-54","55+"))))</f>
        <v>Under 25</v>
      </c>
      <c r="X1425" t="str">
        <f t="shared" si="22"/>
        <v>3,000-4,999</v>
      </c>
    </row>
    <row r="1426" spans="1:24" x14ac:dyDescent="0.3">
      <c r="A1426">
        <v>2008</v>
      </c>
      <c r="B1426">
        <v>35</v>
      </c>
      <c r="C1426" t="s">
        <v>36</v>
      </c>
      <c r="D1426" t="s">
        <v>23</v>
      </c>
      <c r="E1426" t="s">
        <v>38</v>
      </c>
      <c r="F1426">
        <v>9</v>
      </c>
      <c r="G1426" t="s">
        <v>47</v>
      </c>
      <c r="H1426" t="s">
        <v>48</v>
      </c>
      <c r="I1426" t="s">
        <v>27</v>
      </c>
      <c r="J1426" t="s">
        <v>40</v>
      </c>
      <c r="K1426" t="s">
        <v>29</v>
      </c>
      <c r="L1426" t="s">
        <v>41</v>
      </c>
      <c r="M1426" t="s">
        <v>29</v>
      </c>
      <c r="N1426" t="s">
        <v>32</v>
      </c>
      <c r="O1426">
        <v>5098</v>
      </c>
      <c r="P1426">
        <v>1</v>
      </c>
      <c r="Q1426" t="s">
        <v>36</v>
      </c>
      <c r="R1426">
        <v>19</v>
      </c>
      <c r="S1426" t="s">
        <v>33</v>
      </c>
      <c r="T1426" t="s">
        <v>27</v>
      </c>
      <c r="U1426">
        <v>5</v>
      </c>
      <c r="V1426" t="s">
        <v>44</v>
      </c>
      <c r="W1426" t="str">
        <f>IF(HR_Data[[#This Row],[age]]&lt;25,"Under 25",IF(HR_Data[[#This Row],[age]]&lt;35,"25-34",IF(HR_Data[[#This Row],[age]]&lt;45,"35-44",IF(HR_Data[[#This Row],[age]]&lt;55,"45-54","55+"))))</f>
        <v>35-44</v>
      </c>
      <c r="X1426" t="str">
        <f t="shared" si="22"/>
        <v>5,000-7,999</v>
      </c>
    </row>
    <row r="1427" spans="1:24" x14ac:dyDescent="0.3">
      <c r="A1427">
        <v>2009</v>
      </c>
      <c r="B1427">
        <v>33</v>
      </c>
      <c r="C1427" t="s">
        <v>36</v>
      </c>
      <c r="D1427" t="s">
        <v>23</v>
      </c>
      <c r="E1427" t="s">
        <v>38</v>
      </c>
      <c r="F1427">
        <v>15</v>
      </c>
      <c r="G1427" t="s">
        <v>25</v>
      </c>
      <c r="H1427" t="s">
        <v>48</v>
      </c>
      <c r="I1427" t="s">
        <v>27</v>
      </c>
      <c r="J1427" t="s">
        <v>28</v>
      </c>
      <c r="K1427" t="s">
        <v>29</v>
      </c>
      <c r="L1427" t="s">
        <v>53</v>
      </c>
      <c r="M1427" t="s">
        <v>31</v>
      </c>
      <c r="N1427" t="s">
        <v>42</v>
      </c>
      <c r="O1427">
        <v>4878</v>
      </c>
      <c r="P1427">
        <v>0</v>
      </c>
      <c r="Q1427" t="s">
        <v>22</v>
      </c>
      <c r="R1427">
        <v>13</v>
      </c>
      <c r="S1427" t="s">
        <v>33</v>
      </c>
      <c r="T1427" t="s">
        <v>34</v>
      </c>
      <c r="U1427">
        <v>6</v>
      </c>
      <c r="V1427" t="s">
        <v>44</v>
      </c>
      <c r="W1427" t="str">
        <f>IF(HR_Data[[#This Row],[age]]&lt;25,"Under 25",IF(HR_Data[[#This Row],[age]]&lt;35,"25-34",IF(HR_Data[[#This Row],[age]]&lt;45,"35-44",IF(HR_Data[[#This Row],[age]]&lt;55,"45-54","55+"))))</f>
        <v>25-34</v>
      </c>
      <c r="X1427" t="str">
        <f t="shared" si="22"/>
        <v>3,000-4,999</v>
      </c>
    </row>
    <row r="1428" spans="1:24" x14ac:dyDescent="0.3">
      <c r="A1428">
        <v>2010</v>
      </c>
      <c r="B1428">
        <v>32</v>
      </c>
      <c r="C1428" t="s">
        <v>36</v>
      </c>
      <c r="D1428" t="s">
        <v>23</v>
      </c>
      <c r="E1428" t="s">
        <v>38</v>
      </c>
      <c r="F1428">
        <v>29</v>
      </c>
      <c r="G1428" t="s">
        <v>47</v>
      </c>
      <c r="H1428" t="s">
        <v>26</v>
      </c>
      <c r="I1428" t="s">
        <v>29</v>
      </c>
      <c r="J1428" t="s">
        <v>28</v>
      </c>
      <c r="K1428" t="s">
        <v>27</v>
      </c>
      <c r="L1428" t="s">
        <v>46</v>
      </c>
      <c r="M1428" t="s">
        <v>27</v>
      </c>
      <c r="N1428" t="s">
        <v>32</v>
      </c>
      <c r="O1428">
        <v>2837</v>
      </c>
      <c r="P1428">
        <v>1</v>
      </c>
      <c r="Q1428" t="s">
        <v>36</v>
      </c>
      <c r="R1428">
        <v>13</v>
      </c>
      <c r="S1428" t="s">
        <v>33</v>
      </c>
      <c r="T1428" t="s">
        <v>29</v>
      </c>
      <c r="U1428">
        <v>3</v>
      </c>
      <c r="V1428" t="s">
        <v>44</v>
      </c>
      <c r="W1428" t="str">
        <f>IF(HR_Data[[#This Row],[age]]&lt;25,"Under 25",IF(HR_Data[[#This Row],[age]]&lt;35,"25-34",IF(HR_Data[[#This Row],[age]]&lt;45,"35-44",IF(HR_Data[[#This Row],[age]]&lt;55,"45-54","55+"))))</f>
        <v>25-34</v>
      </c>
      <c r="X1428" t="str">
        <f t="shared" si="22"/>
        <v>Below 3,000</v>
      </c>
    </row>
    <row r="1429" spans="1:24" x14ac:dyDescent="0.3">
      <c r="A1429">
        <v>2012</v>
      </c>
      <c r="B1429">
        <v>40</v>
      </c>
      <c r="C1429" t="s">
        <v>36</v>
      </c>
      <c r="D1429" t="s">
        <v>23</v>
      </c>
      <c r="E1429" t="s">
        <v>38</v>
      </c>
      <c r="F1429">
        <v>1</v>
      </c>
      <c r="G1429" t="s">
        <v>47</v>
      </c>
      <c r="H1429" t="s">
        <v>26</v>
      </c>
      <c r="I1429" t="s">
        <v>34</v>
      </c>
      <c r="J1429" t="s">
        <v>40</v>
      </c>
      <c r="K1429" t="s">
        <v>29</v>
      </c>
      <c r="L1429" t="s">
        <v>46</v>
      </c>
      <c r="M1429" t="s">
        <v>31</v>
      </c>
      <c r="N1429" t="s">
        <v>42</v>
      </c>
      <c r="O1429">
        <v>2406</v>
      </c>
      <c r="P1429">
        <v>8</v>
      </c>
      <c r="Q1429" t="s">
        <v>36</v>
      </c>
      <c r="R1429">
        <v>19</v>
      </c>
      <c r="S1429" t="s">
        <v>33</v>
      </c>
      <c r="T1429" t="s">
        <v>29</v>
      </c>
      <c r="U1429">
        <v>3</v>
      </c>
      <c r="V1429" t="s">
        <v>49</v>
      </c>
      <c r="W1429" t="str">
        <f>IF(HR_Data[[#This Row],[age]]&lt;25,"Under 25",IF(HR_Data[[#This Row],[age]]&lt;35,"25-34",IF(HR_Data[[#This Row],[age]]&lt;45,"35-44",IF(HR_Data[[#This Row],[age]]&lt;55,"45-54","55+"))))</f>
        <v>35-44</v>
      </c>
      <c r="X1429" t="str">
        <f t="shared" si="22"/>
        <v>Below 3,000</v>
      </c>
    </row>
    <row r="1430" spans="1:24" x14ac:dyDescent="0.3">
      <c r="A1430">
        <v>2013</v>
      </c>
      <c r="B1430">
        <v>32</v>
      </c>
      <c r="C1430" t="s">
        <v>36</v>
      </c>
      <c r="D1430" t="s">
        <v>23</v>
      </c>
      <c r="E1430" t="s">
        <v>24</v>
      </c>
      <c r="F1430">
        <v>1</v>
      </c>
      <c r="G1430" t="s">
        <v>47</v>
      </c>
      <c r="H1430" t="s">
        <v>48</v>
      </c>
      <c r="I1430" t="s">
        <v>27</v>
      </c>
      <c r="J1430" t="s">
        <v>40</v>
      </c>
      <c r="K1430" t="s">
        <v>27</v>
      </c>
      <c r="L1430" t="s">
        <v>56</v>
      </c>
      <c r="M1430" t="s">
        <v>27</v>
      </c>
      <c r="N1430" t="s">
        <v>42</v>
      </c>
      <c r="O1430">
        <v>2269</v>
      </c>
      <c r="P1430">
        <v>0</v>
      </c>
      <c r="Q1430" t="s">
        <v>36</v>
      </c>
      <c r="R1430">
        <v>14</v>
      </c>
      <c r="S1430" t="s">
        <v>33</v>
      </c>
      <c r="T1430" t="s">
        <v>27</v>
      </c>
      <c r="U1430">
        <v>2</v>
      </c>
      <c r="V1430" t="s">
        <v>44</v>
      </c>
      <c r="W1430" t="str">
        <f>IF(HR_Data[[#This Row],[age]]&lt;25,"Under 25",IF(HR_Data[[#This Row],[age]]&lt;35,"25-34",IF(HR_Data[[#This Row],[age]]&lt;45,"35-44",IF(HR_Data[[#This Row],[age]]&lt;55,"45-54","55+"))))</f>
        <v>25-34</v>
      </c>
      <c r="X1430" t="str">
        <f t="shared" si="22"/>
        <v>Below 3,000</v>
      </c>
    </row>
    <row r="1431" spans="1:24" x14ac:dyDescent="0.3">
      <c r="A1431">
        <v>2014</v>
      </c>
      <c r="B1431">
        <v>39</v>
      </c>
      <c r="C1431" t="s">
        <v>36</v>
      </c>
      <c r="D1431" t="s">
        <v>23</v>
      </c>
      <c r="E1431" t="s">
        <v>38</v>
      </c>
      <c r="F1431">
        <v>24</v>
      </c>
      <c r="G1431" t="s">
        <v>39</v>
      </c>
      <c r="H1431" t="s">
        <v>26</v>
      </c>
      <c r="I1431" t="s">
        <v>34</v>
      </c>
      <c r="J1431" t="s">
        <v>40</v>
      </c>
      <c r="K1431" t="s">
        <v>29</v>
      </c>
      <c r="L1431" t="s">
        <v>41</v>
      </c>
      <c r="M1431" t="s">
        <v>31</v>
      </c>
      <c r="N1431" t="s">
        <v>32</v>
      </c>
      <c r="O1431">
        <v>4108</v>
      </c>
      <c r="P1431">
        <v>7</v>
      </c>
      <c r="Q1431" t="s">
        <v>36</v>
      </c>
      <c r="R1431">
        <v>13</v>
      </c>
      <c r="S1431" t="s">
        <v>33</v>
      </c>
      <c r="T1431" t="s">
        <v>34</v>
      </c>
      <c r="U1431">
        <v>2</v>
      </c>
      <c r="V1431" t="s">
        <v>44</v>
      </c>
      <c r="W1431" t="str">
        <f>IF(HR_Data[[#This Row],[age]]&lt;25,"Under 25",IF(HR_Data[[#This Row],[age]]&lt;35,"25-34",IF(HR_Data[[#This Row],[age]]&lt;45,"35-44",IF(HR_Data[[#This Row],[age]]&lt;55,"45-54","55+"))))</f>
        <v>35-44</v>
      </c>
      <c r="X1431" t="str">
        <f t="shared" si="22"/>
        <v>3,000-4,999</v>
      </c>
    </row>
    <row r="1432" spans="1:24" x14ac:dyDescent="0.3">
      <c r="A1432">
        <v>2015</v>
      </c>
      <c r="B1432">
        <v>38</v>
      </c>
      <c r="C1432" t="s">
        <v>36</v>
      </c>
      <c r="D1432" t="s">
        <v>23</v>
      </c>
      <c r="E1432" t="s">
        <v>38</v>
      </c>
      <c r="F1432">
        <v>10</v>
      </c>
      <c r="G1432" t="s">
        <v>50</v>
      </c>
      <c r="H1432" t="s">
        <v>48</v>
      </c>
      <c r="I1432" t="s">
        <v>27</v>
      </c>
      <c r="J1432" t="s">
        <v>28</v>
      </c>
      <c r="K1432" t="s">
        <v>34</v>
      </c>
      <c r="L1432" t="s">
        <v>57</v>
      </c>
      <c r="M1432" t="s">
        <v>29</v>
      </c>
      <c r="N1432" t="s">
        <v>42</v>
      </c>
      <c r="O1432">
        <v>13206</v>
      </c>
      <c r="P1432">
        <v>3</v>
      </c>
      <c r="Q1432" t="s">
        <v>36</v>
      </c>
      <c r="R1432">
        <v>12</v>
      </c>
      <c r="S1432" t="s">
        <v>33</v>
      </c>
      <c r="T1432" t="s">
        <v>34</v>
      </c>
      <c r="U1432">
        <v>3</v>
      </c>
      <c r="V1432" t="s">
        <v>44</v>
      </c>
      <c r="W1432" t="str">
        <f>IF(HR_Data[[#This Row],[age]]&lt;25,"Under 25",IF(HR_Data[[#This Row],[age]]&lt;35,"25-34",IF(HR_Data[[#This Row],[age]]&lt;45,"35-44",IF(HR_Data[[#This Row],[age]]&lt;55,"45-54","55+"))))</f>
        <v>35-44</v>
      </c>
      <c r="X1432" t="str">
        <f t="shared" si="22"/>
        <v>8,000+</v>
      </c>
    </row>
    <row r="1433" spans="1:24" x14ac:dyDescent="0.3">
      <c r="A1433">
        <v>2016</v>
      </c>
      <c r="B1433">
        <v>32</v>
      </c>
      <c r="C1433" t="s">
        <v>36</v>
      </c>
      <c r="D1433" t="s">
        <v>23</v>
      </c>
      <c r="E1433" t="s">
        <v>24</v>
      </c>
      <c r="F1433">
        <v>1</v>
      </c>
      <c r="G1433" t="s">
        <v>47</v>
      </c>
      <c r="H1433" t="s">
        <v>58</v>
      </c>
      <c r="I1433" t="s">
        <v>29</v>
      </c>
      <c r="J1433" t="s">
        <v>28</v>
      </c>
      <c r="K1433" t="s">
        <v>29</v>
      </c>
      <c r="L1433" t="s">
        <v>30</v>
      </c>
      <c r="M1433" t="s">
        <v>31</v>
      </c>
      <c r="N1433" t="s">
        <v>42</v>
      </c>
      <c r="O1433">
        <v>10422</v>
      </c>
      <c r="P1433">
        <v>1</v>
      </c>
      <c r="Q1433" t="s">
        <v>36</v>
      </c>
      <c r="R1433">
        <v>19</v>
      </c>
      <c r="S1433" t="s">
        <v>33</v>
      </c>
      <c r="T1433" t="s">
        <v>29</v>
      </c>
      <c r="U1433">
        <v>3</v>
      </c>
      <c r="V1433" t="s">
        <v>44</v>
      </c>
      <c r="W1433" t="str">
        <f>IF(HR_Data[[#This Row],[age]]&lt;25,"Under 25",IF(HR_Data[[#This Row],[age]]&lt;35,"25-34",IF(HR_Data[[#This Row],[age]]&lt;45,"35-44",IF(HR_Data[[#This Row],[age]]&lt;55,"45-54","55+"))))</f>
        <v>25-34</v>
      </c>
      <c r="X1433" t="str">
        <f t="shared" si="22"/>
        <v>8,000+</v>
      </c>
    </row>
    <row r="1434" spans="1:24" x14ac:dyDescent="0.3">
      <c r="A1434">
        <v>2017</v>
      </c>
      <c r="B1434">
        <v>37</v>
      </c>
      <c r="C1434" t="s">
        <v>36</v>
      </c>
      <c r="D1434" t="s">
        <v>23</v>
      </c>
      <c r="E1434" t="s">
        <v>38</v>
      </c>
      <c r="F1434">
        <v>10</v>
      </c>
      <c r="G1434" t="s">
        <v>50</v>
      </c>
      <c r="H1434" t="s">
        <v>26</v>
      </c>
      <c r="I1434" t="s">
        <v>29</v>
      </c>
      <c r="J1434" t="s">
        <v>28</v>
      </c>
      <c r="K1434" t="s">
        <v>31</v>
      </c>
      <c r="L1434" t="s">
        <v>57</v>
      </c>
      <c r="M1434" t="s">
        <v>31</v>
      </c>
      <c r="N1434" t="s">
        <v>42</v>
      </c>
      <c r="O1434">
        <v>13744</v>
      </c>
      <c r="P1434">
        <v>1</v>
      </c>
      <c r="Q1434" t="s">
        <v>22</v>
      </c>
      <c r="R1434">
        <v>25</v>
      </c>
      <c r="S1434" t="s">
        <v>43</v>
      </c>
      <c r="T1434" t="s">
        <v>34</v>
      </c>
      <c r="U1434">
        <v>2</v>
      </c>
      <c r="V1434" t="s">
        <v>44</v>
      </c>
      <c r="W1434" t="str">
        <f>IF(HR_Data[[#This Row],[age]]&lt;25,"Under 25",IF(HR_Data[[#This Row],[age]]&lt;35,"25-34",IF(HR_Data[[#This Row],[age]]&lt;45,"35-44",IF(HR_Data[[#This Row],[age]]&lt;55,"45-54","55+"))))</f>
        <v>35-44</v>
      </c>
      <c r="X1434" t="str">
        <f t="shared" si="22"/>
        <v>8,000+</v>
      </c>
    </row>
    <row r="1435" spans="1:24" x14ac:dyDescent="0.3">
      <c r="A1435">
        <v>2018</v>
      </c>
      <c r="B1435">
        <v>25</v>
      </c>
      <c r="C1435" t="s">
        <v>36</v>
      </c>
      <c r="D1435" t="s">
        <v>23</v>
      </c>
      <c r="E1435" t="s">
        <v>24</v>
      </c>
      <c r="F1435">
        <v>8</v>
      </c>
      <c r="G1435" t="s">
        <v>25</v>
      </c>
      <c r="H1435" t="s">
        <v>45</v>
      </c>
      <c r="I1435" t="s">
        <v>34</v>
      </c>
      <c r="J1435" t="s">
        <v>28</v>
      </c>
      <c r="K1435" t="s">
        <v>29</v>
      </c>
      <c r="L1435" t="s">
        <v>30</v>
      </c>
      <c r="M1435" t="s">
        <v>29</v>
      </c>
      <c r="N1435" t="s">
        <v>51</v>
      </c>
      <c r="O1435">
        <v>4907</v>
      </c>
      <c r="P1435">
        <v>0</v>
      </c>
      <c r="Q1435" t="s">
        <v>22</v>
      </c>
      <c r="R1435">
        <v>22</v>
      </c>
      <c r="S1435" t="s">
        <v>43</v>
      </c>
      <c r="T1435" t="s">
        <v>27</v>
      </c>
      <c r="U1435">
        <v>3</v>
      </c>
      <c r="V1435" t="s">
        <v>49</v>
      </c>
      <c r="W1435" t="str">
        <f>IF(HR_Data[[#This Row],[age]]&lt;25,"Under 25",IF(HR_Data[[#This Row],[age]]&lt;35,"25-34",IF(HR_Data[[#This Row],[age]]&lt;45,"35-44",IF(HR_Data[[#This Row],[age]]&lt;55,"45-54","55+"))))</f>
        <v>25-34</v>
      </c>
      <c r="X1435" t="str">
        <f t="shared" si="22"/>
        <v>3,000-4,999</v>
      </c>
    </row>
    <row r="1436" spans="1:24" x14ac:dyDescent="0.3">
      <c r="A1436">
        <v>2019</v>
      </c>
      <c r="B1436">
        <v>52</v>
      </c>
      <c r="C1436" t="s">
        <v>36</v>
      </c>
      <c r="D1436" t="s">
        <v>54</v>
      </c>
      <c r="E1436" t="s">
        <v>24</v>
      </c>
      <c r="F1436">
        <v>29</v>
      </c>
      <c r="G1436" t="s">
        <v>47</v>
      </c>
      <c r="H1436" t="s">
        <v>26</v>
      </c>
      <c r="I1436" t="s">
        <v>34</v>
      </c>
      <c r="J1436" t="s">
        <v>40</v>
      </c>
      <c r="K1436" t="s">
        <v>29</v>
      </c>
      <c r="L1436" t="s">
        <v>56</v>
      </c>
      <c r="M1436" t="s">
        <v>31</v>
      </c>
      <c r="N1436" t="s">
        <v>51</v>
      </c>
      <c r="O1436">
        <v>3482</v>
      </c>
      <c r="P1436">
        <v>2</v>
      </c>
      <c r="Q1436" t="s">
        <v>36</v>
      </c>
      <c r="R1436">
        <v>15</v>
      </c>
      <c r="S1436" t="s">
        <v>33</v>
      </c>
      <c r="T1436" t="s">
        <v>27</v>
      </c>
      <c r="U1436">
        <v>3</v>
      </c>
      <c r="V1436" t="s">
        <v>49</v>
      </c>
      <c r="W1436" t="str">
        <f>IF(HR_Data[[#This Row],[age]]&lt;25,"Under 25",IF(HR_Data[[#This Row],[age]]&lt;35,"25-34",IF(HR_Data[[#This Row],[age]]&lt;45,"35-44",IF(HR_Data[[#This Row],[age]]&lt;55,"45-54","55+"))))</f>
        <v>45-54</v>
      </c>
      <c r="X1436" t="str">
        <f t="shared" si="22"/>
        <v>3,000-4,999</v>
      </c>
    </row>
    <row r="1437" spans="1:24" x14ac:dyDescent="0.3">
      <c r="A1437">
        <v>2020</v>
      </c>
      <c r="B1437">
        <v>44</v>
      </c>
      <c r="C1437" t="s">
        <v>36</v>
      </c>
      <c r="D1437" t="s">
        <v>23</v>
      </c>
      <c r="E1437" t="s">
        <v>38</v>
      </c>
      <c r="F1437">
        <v>1</v>
      </c>
      <c r="G1437" t="s">
        <v>50</v>
      </c>
      <c r="H1437" t="s">
        <v>48</v>
      </c>
      <c r="I1437" t="s">
        <v>27</v>
      </c>
      <c r="J1437" t="s">
        <v>40</v>
      </c>
      <c r="K1437" t="s">
        <v>29</v>
      </c>
      <c r="L1437" t="s">
        <v>41</v>
      </c>
      <c r="M1437" t="s">
        <v>31</v>
      </c>
      <c r="N1437" t="s">
        <v>32</v>
      </c>
      <c r="O1437">
        <v>2436</v>
      </c>
      <c r="P1437">
        <v>6</v>
      </c>
      <c r="Q1437" t="s">
        <v>22</v>
      </c>
      <c r="R1437">
        <v>12</v>
      </c>
      <c r="S1437" t="s">
        <v>33</v>
      </c>
      <c r="T1437" t="s">
        <v>29</v>
      </c>
      <c r="U1437">
        <v>2</v>
      </c>
      <c r="V1437" t="s">
        <v>44</v>
      </c>
      <c r="W1437" t="str">
        <f>IF(HR_Data[[#This Row],[age]]&lt;25,"Under 25",IF(HR_Data[[#This Row],[age]]&lt;35,"25-34",IF(HR_Data[[#This Row],[age]]&lt;45,"35-44",IF(HR_Data[[#This Row],[age]]&lt;55,"45-54","55+"))))</f>
        <v>35-44</v>
      </c>
      <c r="X1437" t="str">
        <f t="shared" si="22"/>
        <v>Below 3,000</v>
      </c>
    </row>
    <row r="1438" spans="1:24" x14ac:dyDescent="0.3">
      <c r="A1438">
        <v>2021</v>
      </c>
      <c r="B1438">
        <v>21</v>
      </c>
      <c r="C1438" t="s">
        <v>36</v>
      </c>
      <c r="D1438" t="s">
        <v>23</v>
      </c>
      <c r="E1438" t="s">
        <v>24</v>
      </c>
      <c r="F1438">
        <v>5</v>
      </c>
      <c r="G1438" t="s">
        <v>39</v>
      </c>
      <c r="H1438" t="s">
        <v>48</v>
      </c>
      <c r="I1438" t="s">
        <v>29</v>
      </c>
      <c r="J1438" t="s">
        <v>40</v>
      </c>
      <c r="K1438" t="s">
        <v>29</v>
      </c>
      <c r="L1438" t="s">
        <v>56</v>
      </c>
      <c r="M1438" t="s">
        <v>34</v>
      </c>
      <c r="N1438" t="s">
        <v>32</v>
      </c>
      <c r="O1438">
        <v>2380</v>
      </c>
      <c r="P1438">
        <v>1</v>
      </c>
      <c r="Q1438" t="s">
        <v>22</v>
      </c>
      <c r="R1438">
        <v>11</v>
      </c>
      <c r="S1438" t="s">
        <v>33</v>
      </c>
      <c r="T1438" t="s">
        <v>31</v>
      </c>
      <c r="U1438">
        <v>6</v>
      </c>
      <c r="V1438" t="s">
        <v>44</v>
      </c>
      <c r="W1438" t="str">
        <f>IF(HR_Data[[#This Row],[age]]&lt;25,"Under 25",IF(HR_Data[[#This Row],[age]]&lt;35,"25-34",IF(HR_Data[[#This Row],[age]]&lt;45,"35-44",IF(HR_Data[[#This Row],[age]]&lt;55,"45-54","55+"))))</f>
        <v>Under 25</v>
      </c>
      <c r="X1438" t="str">
        <f t="shared" si="22"/>
        <v>Below 3,000</v>
      </c>
    </row>
    <row r="1439" spans="1:24" x14ac:dyDescent="0.3">
      <c r="A1439">
        <v>2022</v>
      </c>
      <c r="B1439">
        <v>39</v>
      </c>
      <c r="C1439" t="s">
        <v>36</v>
      </c>
      <c r="D1439" t="s">
        <v>54</v>
      </c>
      <c r="E1439" t="s">
        <v>38</v>
      </c>
      <c r="F1439">
        <v>9</v>
      </c>
      <c r="G1439" t="s">
        <v>50</v>
      </c>
      <c r="H1439" t="s">
        <v>26</v>
      </c>
      <c r="I1439" t="s">
        <v>31</v>
      </c>
      <c r="J1439" t="s">
        <v>40</v>
      </c>
      <c r="K1439" t="s">
        <v>29</v>
      </c>
      <c r="L1439" t="s">
        <v>55</v>
      </c>
      <c r="M1439" t="s">
        <v>31</v>
      </c>
      <c r="N1439" t="s">
        <v>32</v>
      </c>
      <c r="O1439">
        <v>19431</v>
      </c>
      <c r="P1439">
        <v>2</v>
      </c>
      <c r="Q1439" t="s">
        <v>36</v>
      </c>
      <c r="R1439">
        <v>13</v>
      </c>
      <c r="S1439" t="s">
        <v>33</v>
      </c>
      <c r="T1439" t="s">
        <v>29</v>
      </c>
      <c r="U1439">
        <v>3</v>
      </c>
      <c r="V1439" t="s">
        <v>49</v>
      </c>
      <c r="W1439" t="str">
        <f>IF(HR_Data[[#This Row],[age]]&lt;25,"Under 25",IF(HR_Data[[#This Row],[age]]&lt;35,"25-34",IF(HR_Data[[#This Row],[age]]&lt;45,"35-44",IF(HR_Data[[#This Row],[age]]&lt;55,"45-54","55+"))))</f>
        <v>35-44</v>
      </c>
      <c r="X1439" t="str">
        <f t="shared" si="22"/>
        <v>8,000+</v>
      </c>
    </row>
    <row r="1440" spans="1:24" x14ac:dyDescent="0.3">
      <c r="A1440">
        <v>2023</v>
      </c>
      <c r="B1440">
        <v>23</v>
      </c>
      <c r="C1440" t="s">
        <v>22</v>
      </c>
      <c r="D1440" t="s">
        <v>37</v>
      </c>
      <c r="E1440" t="s">
        <v>24</v>
      </c>
      <c r="F1440">
        <v>9</v>
      </c>
      <c r="G1440" t="s">
        <v>50</v>
      </c>
      <c r="H1440" t="s">
        <v>58</v>
      </c>
      <c r="I1440" t="s">
        <v>31</v>
      </c>
      <c r="J1440" t="s">
        <v>40</v>
      </c>
      <c r="K1440" t="s">
        <v>29</v>
      </c>
      <c r="L1440" t="s">
        <v>56</v>
      </c>
      <c r="M1440" t="s">
        <v>34</v>
      </c>
      <c r="N1440" t="s">
        <v>42</v>
      </c>
      <c r="O1440">
        <v>1790</v>
      </c>
      <c r="P1440">
        <v>1</v>
      </c>
      <c r="Q1440" t="s">
        <v>36</v>
      </c>
      <c r="R1440">
        <v>19</v>
      </c>
      <c r="S1440" t="s">
        <v>33</v>
      </c>
      <c r="T1440" t="s">
        <v>34</v>
      </c>
      <c r="U1440">
        <v>3</v>
      </c>
      <c r="V1440" t="s">
        <v>49</v>
      </c>
      <c r="W1440" t="str">
        <f>IF(HR_Data[[#This Row],[age]]&lt;25,"Under 25",IF(HR_Data[[#This Row],[age]]&lt;35,"25-34",IF(HR_Data[[#This Row],[age]]&lt;45,"35-44",IF(HR_Data[[#This Row],[age]]&lt;55,"45-54","55+"))))</f>
        <v>Under 25</v>
      </c>
      <c r="X1440" t="str">
        <f t="shared" si="22"/>
        <v>Below 3,000</v>
      </c>
    </row>
    <row r="1441" spans="1:24" x14ac:dyDescent="0.3">
      <c r="A1441">
        <v>2024</v>
      </c>
      <c r="B1441">
        <v>36</v>
      </c>
      <c r="C1441" t="s">
        <v>36</v>
      </c>
      <c r="D1441" t="s">
        <v>23</v>
      </c>
      <c r="E1441" t="s">
        <v>24</v>
      </c>
      <c r="F1441">
        <v>3</v>
      </c>
      <c r="G1441" t="s">
        <v>50</v>
      </c>
      <c r="H1441" t="s">
        <v>48</v>
      </c>
      <c r="I1441" t="s">
        <v>34</v>
      </c>
      <c r="J1441" t="s">
        <v>28</v>
      </c>
      <c r="K1441" t="s">
        <v>27</v>
      </c>
      <c r="L1441" t="s">
        <v>30</v>
      </c>
      <c r="M1441" t="s">
        <v>31</v>
      </c>
      <c r="N1441" t="s">
        <v>42</v>
      </c>
      <c r="O1441">
        <v>7644</v>
      </c>
      <c r="P1441">
        <v>0</v>
      </c>
      <c r="Q1441" t="s">
        <v>36</v>
      </c>
      <c r="R1441">
        <v>19</v>
      </c>
      <c r="S1441" t="s">
        <v>33</v>
      </c>
      <c r="T1441" t="s">
        <v>29</v>
      </c>
      <c r="U1441">
        <v>2</v>
      </c>
      <c r="V1441" t="s">
        <v>44</v>
      </c>
      <c r="W1441" t="str">
        <f>IF(HR_Data[[#This Row],[age]]&lt;25,"Under 25",IF(HR_Data[[#This Row],[age]]&lt;35,"25-34",IF(HR_Data[[#This Row],[age]]&lt;45,"35-44",IF(HR_Data[[#This Row],[age]]&lt;55,"45-54","55+"))))</f>
        <v>35-44</v>
      </c>
      <c r="X1441" t="str">
        <f t="shared" si="22"/>
        <v>5,000-7,999</v>
      </c>
    </row>
    <row r="1442" spans="1:24" x14ac:dyDescent="0.3">
      <c r="A1442">
        <v>2025</v>
      </c>
      <c r="B1442">
        <v>36</v>
      </c>
      <c r="C1442" t="s">
        <v>36</v>
      </c>
      <c r="D1442" t="s">
        <v>37</v>
      </c>
      <c r="E1442" t="s">
        <v>38</v>
      </c>
      <c r="F1442">
        <v>4</v>
      </c>
      <c r="G1442" t="s">
        <v>25</v>
      </c>
      <c r="H1442" t="s">
        <v>26</v>
      </c>
      <c r="I1442" t="s">
        <v>31</v>
      </c>
      <c r="J1442" t="s">
        <v>28</v>
      </c>
      <c r="K1442" t="s">
        <v>29</v>
      </c>
      <c r="L1442" t="s">
        <v>52</v>
      </c>
      <c r="M1442" t="s">
        <v>27</v>
      </c>
      <c r="N1442" t="s">
        <v>51</v>
      </c>
      <c r="O1442">
        <v>5131</v>
      </c>
      <c r="P1442">
        <v>7</v>
      </c>
      <c r="Q1442" t="s">
        <v>36</v>
      </c>
      <c r="R1442">
        <v>13</v>
      </c>
      <c r="S1442" t="s">
        <v>33</v>
      </c>
      <c r="T1442" t="s">
        <v>27</v>
      </c>
      <c r="U1442">
        <v>3</v>
      </c>
      <c r="V1442" t="s">
        <v>44</v>
      </c>
      <c r="W1442" t="str">
        <f>IF(HR_Data[[#This Row],[age]]&lt;25,"Under 25",IF(HR_Data[[#This Row],[age]]&lt;35,"25-34",IF(HR_Data[[#This Row],[age]]&lt;45,"35-44",IF(HR_Data[[#This Row],[age]]&lt;55,"45-54","55+"))))</f>
        <v>35-44</v>
      </c>
      <c r="X1442" t="str">
        <f t="shared" si="22"/>
        <v>5,000-7,999</v>
      </c>
    </row>
    <row r="1443" spans="1:24" x14ac:dyDescent="0.3">
      <c r="A1443">
        <v>2026</v>
      </c>
      <c r="B1443">
        <v>56</v>
      </c>
      <c r="C1443" t="s">
        <v>36</v>
      </c>
      <c r="D1443" t="s">
        <v>54</v>
      </c>
      <c r="E1443" t="s">
        <v>38</v>
      </c>
      <c r="F1443">
        <v>1</v>
      </c>
      <c r="G1443" t="s">
        <v>47</v>
      </c>
      <c r="H1443" t="s">
        <v>26</v>
      </c>
      <c r="I1443" t="s">
        <v>29</v>
      </c>
      <c r="J1443" t="s">
        <v>40</v>
      </c>
      <c r="K1443" t="s">
        <v>29</v>
      </c>
      <c r="L1443" t="s">
        <v>53</v>
      </c>
      <c r="M1443" t="s">
        <v>29</v>
      </c>
      <c r="N1443" t="s">
        <v>51</v>
      </c>
      <c r="O1443">
        <v>6306</v>
      </c>
      <c r="P1443">
        <v>1</v>
      </c>
      <c r="Q1443" t="s">
        <v>36</v>
      </c>
      <c r="R1443">
        <v>21</v>
      </c>
      <c r="S1443" t="s">
        <v>43</v>
      </c>
      <c r="T1443" t="s">
        <v>34</v>
      </c>
      <c r="U1443">
        <v>2</v>
      </c>
      <c r="V1443" t="s">
        <v>49</v>
      </c>
      <c r="W1443" t="str">
        <f>IF(HR_Data[[#This Row],[age]]&lt;25,"Under 25",IF(HR_Data[[#This Row],[age]]&lt;35,"25-34",IF(HR_Data[[#This Row],[age]]&lt;45,"35-44",IF(HR_Data[[#This Row],[age]]&lt;55,"45-54","55+"))))</f>
        <v>55+</v>
      </c>
      <c r="X1443" t="str">
        <f t="shared" si="22"/>
        <v>5,000-7,999</v>
      </c>
    </row>
    <row r="1444" spans="1:24" x14ac:dyDescent="0.3">
      <c r="A1444">
        <v>2027</v>
      </c>
      <c r="B1444">
        <v>29</v>
      </c>
      <c r="C1444" t="s">
        <v>22</v>
      </c>
      <c r="D1444" t="s">
        <v>23</v>
      </c>
      <c r="E1444" t="s">
        <v>38</v>
      </c>
      <c r="F1444">
        <v>1</v>
      </c>
      <c r="G1444" t="s">
        <v>47</v>
      </c>
      <c r="H1444" t="s">
        <v>48</v>
      </c>
      <c r="I1444" t="s">
        <v>34</v>
      </c>
      <c r="J1444" t="s">
        <v>40</v>
      </c>
      <c r="K1444" t="s">
        <v>29</v>
      </c>
      <c r="L1444" t="s">
        <v>41</v>
      </c>
      <c r="M1444" t="s">
        <v>31</v>
      </c>
      <c r="N1444" t="s">
        <v>42</v>
      </c>
      <c r="O1444">
        <v>4787</v>
      </c>
      <c r="P1444">
        <v>9</v>
      </c>
      <c r="Q1444" t="s">
        <v>22</v>
      </c>
      <c r="R1444">
        <v>14</v>
      </c>
      <c r="S1444" t="s">
        <v>33</v>
      </c>
      <c r="T1444" t="s">
        <v>27</v>
      </c>
      <c r="U1444">
        <v>3</v>
      </c>
      <c r="V1444" t="s">
        <v>59</v>
      </c>
      <c r="W1444" t="str">
        <f>IF(HR_Data[[#This Row],[age]]&lt;25,"Under 25",IF(HR_Data[[#This Row],[age]]&lt;35,"25-34",IF(HR_Data[[#This Row],[age]]&lt;45,"35-44",IF(HR_Data[[#This Row],[age]]&lt;55,"45-54","55+"))))</f>
        <v>25-34</v>
      </c>
      <c r="X1444" t="str">
        <f t="shared" si="22"/>
        <v>3,000-4,999</v>
      </c>
    </row>
    <row r="1445" spans="1:24" x14ac:dyDescent="0.3">
      <c r="A1445">
        <v>2031</v>
      </c>
      <c r="B1445">
        <v>42</v>
      </c>
      <c r="C1445" t="s">
        <v>36</v>
      </c>
      <c r="D1445" t="s">
        <v>23</v>
      </c>
      <c r="E1445" t="s">
        <v>38</v>
      </c>
      <c r="F1445">
        <v>2</v>
      </c>
      <c r="G1445" t="s">
        <v>50</v>
      </c>
      <c r="H1445" t="s">
        <v>26</v>
      </c>
      <c r="I1445" t="s">
        <v>34</v>
      </c>
      <c r="J1445" t="s">
        <v>40</v>
      </c>
      <c r="K1445" t="s">
        <v>29</v>
      </c>
      <c r="L1445" t="s">
        <v>55</v>
      </c>
      <c r="M1445" t="s">
        <v>29</v>
      </c>
      <c r="N1445" t="s">
        <v>42</v>
      </c>
      <c r="O1445">
        <v>18880</v>
      </c>
      <c r="P1445">
        <v>5</v>
      </c>
      <c r="Q1445" t="s">
        <v>36</v>
      </c>
      <c r="R1445">
        <v>11</v>
      </c>
      <c r="S1445" t="s">
        <v>33</v>
      </c>
      <c r="T1445" t="s">
        <v>34</v>
      </c>
      <c r="U1445">
        <v>2</v>
      </c>
      <c r="V1445" t="s">
        <v>49</v>
      </c>
      <c r="W1445" t="str">
        <f>IF(HR_Data[[#This Row],[age]]&lt;25,"Under 25",IF(HR_Data[[#This Row],[age]]&lt;35,"25-34",IF(HR_Data[[#This Row],[age]]&lt;45,"35-44",IF(HR_Data[[#This Row],[age]]&lt;55,"45-54","55+"))))</f>
        <v>35-44</v>
      </c>
      <c r="X1445" t="str">
        <f t="shared" si="22"/>
        <v>8,000+</v>
      </c>
    </row>
    <row r="1446" spans="1:24" x14ac:dyDescent="0.3">
      <c r="A1446">
        <v>2032</v>
      </c>
      <c r="B1446">
        <v>56</v>
      </c>
      <c r="C1446" t="s">
        <v>22</v>
      </c>
      <c r="D1446" t="s">
        <v>23</v>
      </c>
      <c r="E1446" t="s">
        <v>38</v>
      </c>
      <c r="F1446">
        <v>7</v>
      </c>
      <c r="G1446" t="s">
        <v>25</v>
      </c>
      <c r="H1446" t="s">
        <v>60</v>
      </c>
      <c r="I1446" t="s">
        <v>31</v>
      </c>
      <c r="J1446" t="s">
        <v>40</v>
      </c>
      <c r="K1446" t="s">
        <v>29</v>
      </c>
      <c r="L1446" t="s">
        <v>46</v>
      </c>
      <c r="M1446" t="s">
        <v>29</v>
      </c>
      <c r="N1446" t="s">
        <v>42</v>
      </c>
      <c r="O1446">
        <v>2339</v>
      </c>
      <c r="P1446">
        <v>8</v>
      </c>
      <c r="Q1446" t="s">
        <v>36</v>
      </c>
      <c r="R1446">
        <v>11</v>
      </c>
      <c r="S1446" t="s">
        <v>33</v>
      </c>
      <c r="T1446" t="s">
        <v>31</v>
      </c>
      <c r="U1446">
        <v>4</v>
      </c>
      <c r="V1446" t="s">
        <v>35</v>
      </c>
      <c r="W1446" t="str">
        <f>IF(HR_Data[[#This Row],[age]]&lt;25,"Under 25",IF(HR_Data[[#This Row],[age]]&lt;35,"25-34",IF(HR_Data[[#This Row],[age]]&lt;45,"35-44",IF(HR_Data[[#This Row],[age]]&lt;55,"45-54","55+"))))</f>
        <v>55+</v>
      </c>
      <c r="X1446" t="str">
        <f t="shared" si="22"/>
        <v>Below 3,000</v>
      </c>
    </row>
    <row r="1447" spans="1:24" x14ac:dyDescent="0.3">
      <c r="A1447">
        <v>2034</v>
      </c>
      <c r="B1447">
        <v>41</v>
      </c>
      <c r="C1447" t="s">
        <v>36</v>
      </c>
      <c r="D1447" t="s">
        <v>23</v>
      </c>
      <c r="E1447" t="s">
        <v>38</v>
      </c>
      <c r="F1447">
        <v>28</v>
      </c>
      <c r="G1447" t="s">
        <v>47</v>
      </c>
      <c r="H1447" t="s">
        <v>26</v>
      </c>
      <c r="I1447" t="s">
        <v>34</v>
      </c>
      <c r="J1447" t="s">
        <v>28</v>
      </c>
      <c r="K1447" t="s">
        <v>27</v>
      </c>
      <c r="L1447" t="s">
        <v>52</v>
      </c>
      <c r="M1447" t="s">
        <v>27</v>
      </c>
      <c r="N1447" t="s">
        <v>42</v>
      </c>
      <c r="O1447">
        <v>13570</v>
      </c>
      <c r="P1447">
        <v>0</v>
      </c>
      <c r="Q1447" t="s">
        <v>36</v>
      </c>
      <c r="R1447">
        <v>23</v>
      </c>
      <c r="S1447" t="s">
        <v>43</v>
      </c>
      <c r="T1447" t="s">
        <v>29</v>
      </c>
      <c r="U1447">
        <v>3</v>
      </c>
      <c r="V1447" t="s">
        <v>44</v>
      </c>
      <c r="W1447" t="str">
        <f>IF(HR_Data[[#This Row],[age]]&lt;25,"Under 25",IF(HR_Data[[#This Row],[age]]&lt;35,"25-34",IF(HR_Data[[#This Row],[age]]&lt;45,"35-44",IF(HR_Data[[#This Row],[age]]&lt;55,"45-54","55+"))))</f>
        <v>35-44</v>
      </c>
      <c r="X1447" t="str">
        <f t="shared" si="22"/>
        <v>8,000+</v>
      </c>
    </row>
    <row r="1448" spans="1:24" x14ac:dyDescent="0.3">
      <c r="A1448">
        <v>2035</v>
      </c>
      <c r="B1448">
        <v>34</v>
      </c>
      <c r="C1448" t="s">
        <v>36</v>
      </c>
      <c r="D1448" t="s">
        <v>23</v>
      </c>
      <c r="E1448" t="s">
        <v>24</v>
      </c>
      <c r="F1448">
        <v>28</v>
      </c>
      <c r="G1448" t="s">
        <v>50</v>
      </c>
      <c r="H1448" t="s">
        <v>58</v>
      </c>
      <c r="I1448" t="s">
        <v>31</v>
      </c>
      <c r="J1448" t="s">
        <v>28</v>
      </c>
      <c r="K1448" t="s">
        <v>27</v>
      </c>
      <c r="L1448" t="s">
        <v>30</v>
      </c>
      <c r="M1448" t="s">
        <v>29</v>
      </c>
      <c r="N1448" t="s">
        <v>42</v>
      </c>
      <c r="O1448">
        <v>6712</v>
      </c>
      <c r="P1448">
        <v>1</v>
      </c>
      <c r="Q1448" t="s">
        <v>36</v>
      </c>
      <c r="R1448">
        <v>21</v>
      </c>
      <c r="S1448" t="s">
        <v>43</v>
      </c>
      <c r="T1448" t="s">
        <v>31</v>
      </c>
      <c r="U1448">
        <v>2</v>
      </c>
      <c r="V1448" t="s">
        <v>44</v>
      </c>
      <c r="W1448" t="str">
        <f>IF(HR_Data[[#This Row],[age]]&lt;25,"Under 25",IF(HR_Data[[#This Row],[age]]&lt;35,"25-34",IF(HR_Data[[#This Row],[age]]&lt;45,"35-44",IF(HR_Data[[#This Row],[age]]&lt;55,"45-54","55+"))))</f>
        <v>25-34</v>
      </c>
      <c r="X1448" t="str">
        <f t="shared" si="22"/>
        <v>5,000-7,999</v>
      </c>
    </row>
    <row r="1449" spans="1:24" x14ac:dyDescent="0.3">
      <c r="A1449">
        <v>2036</v>
      </c>
      <c r="B1449">
        <v>36</v>
      </c>
      <c r="C1449" t="s">
        <v>36</v>
      </c>
      <c r="D1449" t="s">
        <v>54</v>
      </c>
      <c r="E1449" t="s">
        <v>24</v>
      </c>
      <c r="F1449">
        <v>15</v>
      </c>
      <c r="G1449" t="s">
        <v>47</v>
      </c>
      <c r="H1449" t="s">
        <v>58</v>
      </c>
      <c r="I1449" t="s">
        <v>31</v>
      </c>
      <c r="J1449" t="s">
        <v>40</v>
      </c>
      <c r="K1449" t="s">
        <v>34</v>
      </c>
      <c r="L1449" t="s">
        <v>30</v>
      </c>
      <c r="M1449" t="s">
        <v>31</v>
      </c>
      <c r="N1449" t="s">
        <v>51</v>
      </c>
      <c r="O1449">
        <v>5406</v>
      </c>
      <c r="P1449">
        <v>1</v>
      </c>
      <c r="Q1449" t="s">
        <v>36</v>
      </c>
      <c r="R1449">
        <v>24</v>
      </c>
      <c r="S1449" t="s">
        <v>43</v>
      </c>
      <c r="T1449" t="s">
        <v>34</v>
      </c>
      <c r="U1449">
        <v>4</v>
      </c>
      <c r="V1449" t="s">
        <v>49</v>
      </c>
      <c r="W1449" t="str">
        <f>IF(HR_Data[[#This Row],[age]]&lt;25,"Under 25",IF(HR_Data[[#This Row],[age]]&lt;35,"25-34",IF(HR_Data[[#This Row],[age]]&lt;45,"35-44",IF(HR_Data[[#This Row],[age]]&lt;55,"45-54","55+"))))</f>
        <v>35-44</v>
      </c>
      <c r="X1449" t="str">
        <f t="shared" si="22"/>
        <v>5,000-7,999</v>
      </c>
    </row>
    <row r="1450" spans="1:24" x14ac:dyDescent="0.3">
      <c r="A1450">
        <v>2037</v>
      </c>
      <c r="B1450">
        <v>41</v>
      </c>
      <c r="C1450" t="s">
        <v>36</v>
      </c>
      <c r="D1450" t="s">
        <v>23</v>
      </c>
      <c r="E1450" t="s">
        <v>24</v>
      </c>
      <c r="F1450">
        <v>3</v>
      </c>
      <c r="G1450" t="s">
        <v>50</v>
      </c>
      <c r="H1450" t="s">
        <v>26</v>
      </c>
      <c r="I1450" t="s">
        <v>29</v>
      </c>
      <c r="J1450" t="s">
        <v>40</v>
      </c>
      <c r="K1450" t="s">
        <v>27</v>
      </c>
      <c r="L1450" t="s">
        <v>30</v>
      </c>
      <c r="M1450" t="s">
        <v>27</v>
      </c>
      <c r="N1450" t="s">
        <v>51</v>
      </c>
      <c r="O1450">
        <v>8938</v>
      </c>
      <c r="P1450">
        <v>2</v>
      </c>
      <c r="Q1450" t="s">
        <v>36</v>
      </c>
      <c r="R1450">
        <v>11</v>
      </c>
      <c r="S1450" t="s">
        <v>33</v>
      </c>
      <c r="T1450" t="s">
        <v>29</v>
      </c>
      <c r="U1450">
        <v>5</v>
      </c>
      <c r="V1450" t="s">
        <v>44</v>
      </c>
      <c r="W1450" t="str">
        <f>IF(HR_Data[[#This Row],[age]]&lt;25,"Under 25",IF(HR_Data[[#This Row],[age]]&lt;35,"25-34",IF(HR_Data[[#This Row],[age]]&lt;45,"35-44",IF(HR_Data[[#This Row],[age]]&lt;55,"45-54","55+"))))</f>
        <v>35-44</v>
      </c>
      <c r="X1450" t="str">
        <f t="shared" si="22"/>
        <v>8,000+</v>
      </c>
    </row>
    <row r="1451" spans="1:24" x14ac:dyDescent="0.3">
      <c r="A1451">
        <v>2038</v>
      </c>
      <c r="B1451">
        <v>32</v>
      </c>
      <c r="C1451" t="s">
        <v>36</v>
      </c>
      <c r="D1451" t="s">
        <v>23</v>
      </c>
      <c r="E1451" t="s">
        <v>38</v>
      </c>
      <c r="F1451">
        <v>2</v>
      </c>
      <c r="G1451" t="s">
        <v>50</v>
      </c>
      <c r="H1451" t="s">
        <v>60</v>
      </c>
      <c r="I1451" t="s">
        <v>31</v>
      </c>
      <c r="J1451" t="s">
        <v>40</v>
      </c>
      <c r="K1451" t="s">
        <v>29</v>
      </c>
      <c r="L1451" t="s">
        <v>41</v>
      </c>
      <c r="M1451" t="s">
        <v>34</v>
      </c>
      <c r="N1451" t="s">
        <v>32</v>
      </c>
      <c r="O1451">
        <v>2439</v>
      </c>
      <c r="P1451">
        <v>1</v>
      </c>
      <c r="Q1451" t="s">
        <v>36</v>
      </c>
      <c r="R1451">
        <v>14</v>
      </c>
      <c r="S1451" t="s">
        <v>33</v>
      </c>
      <c r="T1451" t="s">
        <v>31</v>
      </c>
      <c r="U1451">
        <v>4</v>
      </c>
      <c r="V1451" t="s">
        <v>44</v>
      </c>
      <c r="W1451" t="str">
        <f>IF(HR_Data[[#This Row],[age]]&lt;25,"Under 25",IF(HR_Data[[#This Row],[age]]&lt;35,"25-34",IF(HR_Data[[#This Row],[age]]&lt;45,"35-44",IF(HR_Data[[#This Row],[age]]&lt;55,"45-54","55+"))))</f>
        <v>25-34</v>
      </c>
      <c r="X1451" t="str">
        <f t="shared" si="22"/>
        <v>Below 3,000</v>
      </c>
    </row>
    <row r="1452" spans="1:24" x14ac:dyDescent="0.3">
      <c r="A1452">
        <v>2040</v>
      </c>
      <c r="B1452">
        <v>35</v>
      </c>
      <c r="C1452" t="s">
        <v>36</v>
      </c>
      <c r="D1452" t="s">
        <v>23</v>
      </c>
      <c r="E1452" t="s">
        <v>62</v>
      </c>
      <c r="F1452">
        <v>26</v>
      </c>
      <c r="G1452" t="s">
        <v>47</v>
      </c>
      <c r="H1452" t="s">
        <v>26</v>
      </c>
      <c r="I1452" t="s">
        <v>29</v>
      </c>
      <c r="J1452" t="s">
        <v>28</v>
      </c>
      <c r="K1452" t="s">
        <v>29</v>
      </c>
      <c r="L1452" t="s">
        <v>62</v>
      </c>
      <c r="M1452" t="s">
        <v>31</v>
      </c>
      <c r="N1452" t="s">
        <v>32</v>
      </c>
      <c r="O1452">
        <v>8837</v>
      </c>
      <c r="P1452">
        <v>1</v>
      </c>
      <c r="Q1452" t="s">
        <v>22</v>
      </c>
      <c r="R1452">
        <v>16</v>
      </c>
      <c r="S1452" t="s">
        <v>33</v>
      </c>
      <c r="T1452" t="s">
        <v>29</v>
      </c>
      <c r="U1452">
        <v>2</v>
      </c>
      <c r="V1452" t="s">
        <v>44</v>
      </c>
      <c r="W1452" t="str">
        <f>IF(HR_Data[[#This Row],[age]]&lt;25,"Under 25",IF(HR_Data[[#This Row],[age]]&lt;35,"25-34",IF(HR_Data[[#This Row],[age]]&lt;45,"35-44",IF(HR_Data[[#This Row],[age]]&lt;55,"45-54","55+"))))</f>
        <v>35-44</v>
      </c>
      <c r="X1452" t="str">
        <f t="shared" si="22"/>
        <v>8,000+</v>
      </c>
    </row>
    <row r="1453" spans="1:24" x14ac:dyDescent="0.3">
      <c r="A1453">
        <v>2041</v>
      </c>
      <c r="B1453">
        <v>38</v>
      </c>
      <c r="C1453" t="s">
        <v>36</v>
      </c>
      <c r="D1453" t="s">
        <v>23</v>
      </c>
      <c r="E1453" t="s">
        <v>24</v>
      </c>
      <c r="F1453">
        <v>10</v>
      </c>
      <c r="G1453" t="s">
        <v>25</v>
      </c>
      <c r="H1453" t="s">
        <v>26</v>
      </c>
      <c r="I1453" t="s">
        <v>34</v>
      </c>
      <c r="J1453" t="s">
        <v>28</v>
      </c>
      <c r="K1453" t="s">
        <v>29</v>
      </c>
      <c r="L1453" t="s">
        <v>30</v>
      </c>
      <c r="M1453" t="s">
        <v>31</v>
      </c>
      <c r="N1453" t="s">
        <v>42</v>
      </c>
      <c r="O1453">
        <v>5343</v>
      </c>
      <c r="P1453">
        <v>1</v>
      </c>
      <c r="Q1453" t="s">
        <v>36</v>
      </c>
      <c r="R1453">
        <v>11</v>
      </c>
      <c r="S1453" t="s">
        <v>33</v>
      </c>
      <c r="T1453" t="s">
        <v>29</v>
      </c>
      <c r="U1453">
        <v>1</v>
      </c>
      <c r="V1453" t="s">
        <v>44</v>
      </c>
      <c r="W1453" t="str">
        <f>IF(HR_Data[[#This Row],[age]]&lt;25,"Under 25",IF(HR_Data[[#This Row],[age]]&lt;35,"25-34",IF(HR_Data[[#This Row],[age]]&lt;45,"35-44",IF(HR_Data[[#This Row],[age]]&lt;55,"45-54","55+"))))</f>
        <v>35-44</v>
      </c>
      <c r="X1453" t="str">
        <f t="shared" si="22"/>
        <v>5,000-7,999</v>
      </c>
    </row>
    <row r="1454" spans="1:24" x14ac:dyDescent="0.3">
      <c r="A1454">
        <v>2044</v>
      </c>
      <c r="B1454">
        <v>50</v>
      </c>
      <c r="C1454" t="s">
        <v>22</v>
      </c>
      <c r="D1454" t="s">
        <v>37</v>
      </c>
      <c r="E1454" t="s">
        <v>24</v>
      </c>
      <c r="F1454">
        <v>1</v>
      </c>
      <c r="G1454" t="s">
        <v>47</v>
      </c>
      <c r="H1454" t="s">
        <v>26</v>
      </c>
      <c r="I1454" t="s">
        <v>27</v>
      </c>
      <c r="J1454" t="s">
        <v>40</v>
      </c>
      <c r="K1454" t="s">
        <v>29</v>
      </c>
      <c r="L1454" t="s">
        <v>30</v>
      </c>
      <c r="M1454" t="s">
        <v>29</v>
      </c>
      <c r="N1454" t="s">
        <v>51</v>
      </c>
      <c r="O1454">
        <v>6728</v>
      </c>
      <c r="P1454">
        <v>7</v>
      </c>
      <c r="Q1454" t="s">
        <v>36</v>
      </c>
      <c r="R1454">
        <v>12</v>
      </c>
      <c r="S1454" t="s">
        <v>33</v>
      </c>
      <c r="T1454" t="s">
        <v>31</v>
      </c>
      <c r="U1454">
        <v>3</v>
      </c>
      <c r="V1454" t="s">
        <v>44</v>
      </c>
      <c r="W1454" t="str">
        <f>IF(HR_Data[[#This Row],[age]]&lt;25,"Under 25",IF(HR_Data[[#This Row],[age]]&lt;35,"25-34",IF(HR_Data[[#This Row],[age]]&lt;45,"35-44",IF(HR_Data[[#This Row],[age]]&lt;55,"45-54","55+"))))</f>
        <v>45-54</v>
      </c>
      <c r="X1454" t="str">
        <f t="shared" si="22"/>
        <v>5,000-7,999</v>
      </c>
    </row>
    <row r="1455" spans="1:24" x14ac:dyDescent="0.3">
      <c r="A1455">
        <v>2045</v>
      </c>
      <c r="B1455">
        <v>36</v>
      </c>
      <c r="C1455" t="s">
        <v>36</v>
      </c>
      <c r="D1455" t="s">
        <v>23</v>
      </c>
      <c r="E1455" t="s">
        <v>24</v>
      </c>
      <c r="F1455">
        <v>11</v>
      </c>
      <c r="G1455" t="s">
        <v>47</v>
      </c>
      <c r="H1455" t="s">
        <v>58</v>
      </c>
      <c r="I1455" t="s">
        <v>27</v>
      </c>
      <c r="J1455" t="s">
        <v>28</v>
      </c>
      <c r="K1455" t="s">
        <v>27</v>
      </c>
      <c r="L1455" t="s">
        <v>30</v>
      </c>
      <c r="M1455" t="s">
        <v>31</v>
      </c>
      <c r="N1455" t="s">
        <v>42</v>
      </c>
      <c r="O1455">
        <v>6652</v>
      </c>
      <c r="P1455">
        <v>4</v>
      </c>
      <c r="Q1455" t="s">
        <v>36</v>
      </c>
      <c r="R1455">
        <v>13</v>
      </c>
      <c r="S1455" t="s">
        <v>33</v>
      </c>
      <c r="T1455" t="s">
        <v>34</v>
      </c>
      <c r="U1455">
        <v>2</v>
      </c>
      <c r="V1455" t="s">
        <v>49</v>
      </c>
      <c r="W1455" t="str">
        <f>IF(HR_Data[[#This Row],[age]]&lt;25,"Under 25",IF(HR_Data[[#This Row],[age]]&lt;35,"25-34",IF(HR_Data[[#This Row],[age]]&lt;45,"35-44",IF(HR_Data[[#This Row],[age]]&lt;55,"45-54","55+"))))</f>
        <v>35-44</v>
      </c>
      <c r="X1455" t="str">
        <f t="shared" si="22"/>
        <v>5,000-7,999</v>
      </c>
    </row>
    <row r="1456" spans="1:24" x14ac:dyDescent="0.3">
      <c r="A1456">
        <v>2046</v>
      </c>
      <c r="B1456">
        <v>45</v>
      </c>
      <c r="C1456" t="s">
        <v>36</v>
      </c>
      <c r="D1456" t="s">
        <v>23</v>
      </c>
      <c r="E1456" t="s">
        <v>24</v>
      </c>
      <c r="F1456">
        <v>20</v>
      </c>
      <c r="G1456" t="s">
        <v>50</v>
      </c>
      <c r="H1456" t="s">
        <v>26</v>
      </c>
      <c r="I1456" t="s">
        <v>31</v>
      </c>
      <c r="J1456" t="s">
        <v>28</v>
      </c>
      <c r="K1456" t="s">
        <v>29</v>
      </c>
      <c r="L1456" t="s">
        <v>30</v>
      </c>
      <c r="M1456" t="s">
        <v>29</v>
      </c>
      <c r="N1456" t="s">
        <v>32</v>
      </c>
      <c r="O1456">
        <v>4850</v>
      </c>
      <c r="P1456">
        <v>8</v>
      </c>
      <c r="Q1456" t="s">
        <v>36</v>
      </c>
      <c r="R1456">
        <v>15</v>
      </c>
      <c r="S1456" t="s">
        <v>33</v>
      </c>
      <c r="T1456" t="s">
        <v>29</v>
      </c>
      <c r="U1456">
        <v>3</v>
      </c>
      <c r="V1456" t="s">
        <v>44</v>
      </c>
      <c r="W1456" t="str">
        <f>IF(HR_Data[[#This Row],[age]]&lt;25,"Under 25",IF(HR_Data[[#This Row],[age]]&lt;35,"25-34",IF(HR_Data[[#This Row],[age]]&lt;45,"35-44",IF(HR_Data[[#This Row],[age]]&lt;55,"45-54","55+"))))</f>
        <v>45-54</v>
      </c>
      <c r="X1456" t="str">
        <f t="shared" si="22"/>
        <v>3,000-4,999</v>
      </c>
    </row>
    <row r="1457" spans="1:24" x14ac:dyDescent="0.3">
      <c r="A1457">
        <v>2048</v>
      </c>
      <c r="B1457">
        <v>40</v>
      </c>
      <c r="C1457" t="s">
        <v>36</v>
      </c>
      <c r="D1457" t="s">
        <v>23</v>
      </c>
      <c r="E1457" t="s">
        <v>38</v>
      </c>
      <c r="F1457">
        <v>2</v>
      </c>
      <c r="G1457" t="s">
        <v>47</v>
      </c>
      <c r="H1457" t="s">
        <v>26</v>
      </c>
      <c r="I1457" t="s">
        <v>29</v>
      </c>
      <c r="J1457" t="s">
        <v>40</v>
      </c>
      <c r="K1457" t="s">
        <v>27</v>
      </c>
      <c r="L1457" t="s">
        <v>41</v>
      </c>
      <c r="M1457" t="s">
        <v>29</v>
      </c>
      <c r="N1457" t="s">
        <v>32</v>
      </c>
      <c r="O1457">
        <v>2809</v>
      </c>
      <c r="P1457">
        <v>2</v>
      </c>
      <c r="Q1457" t="s">
        <v>36</v>
      </c>
      <c r="R1457">
        <v>14</v>
      </c>
      <c r="S1457" t="s">
        <v>33</v>
      </c>
      <c r="T1457" t="s">
        <v>31</v>
      </c>
      <c r="U1457">
        <v>2</v>
      </c>
      <c r="V1457" t="s">
        <v>44</v>
      </c>
      <c r="W1457" t="str">
        <f>IF(HR_Data[[#This Row],[age]]&lt;25,"Under 25",IF(HR_Data[[#This Row],[age]]&lt;35,"25-34",IF(HR_Data[[#This Row],[age]]&lt;45,"35-44",IF(HR_Data[[#This Row],[age]]&lt;55,"45-54","55+"))))</f>
        <v>35-44</v>
      </c>
      <c r="X1457" t="str">
        <f t="shared" si="22"/>
        <v>Below 3,000</v>
      </c>
    </row>
    <row r="1458" spans="1:24" x14ac:dyDescent="0.3">
      <c r="A1458">
        <v>2049</v>
      </c>
      <c r="B1458">
        <v>35</v>
      </c>
      <c r="C1458" t="s">
        <v>36</v>
      </c>
      <c r="D1458" t="s">
        <v>37</v>
      </c>
      <c r="E1458" t="s">
        <v>38</v>
      </c>
      <c r="F1458">
        <v>18</v>
      </c>
      <c r="G1458" t="s">
        <v>47</v>
      </c>
      <c r="H1458" t="s">
        <v>26</v>
      </c>
      <c r="I1458" t="s">
        <v>29</v>
      </c>
      <c r="J1458" t="s">
        <v>40</v>
      </c>
      <c r="K1458" t="s">
        <v>29</v>
      </c>
      <c r="L1458" t="s">
        <v>53</v>
      </c>
      <c r="M1458" t="s">
        <v>29</v>
      </c>
      <c r="N1458" t="s">
        <v>42</v>
      </c>
      <c r="O1458">
        <v>5689</v>
      </c>
      <c r="P1458">
        <v>1</v>
      </c>
      <c r="Q1458" t="s">
        <v>22</v>
      </c>
      <c r="R1458">
        <v>14</v>
      </c>
      <c r="S1458" t="s">
        <v>33</v>
      </c>
      <c r="T1458" t="s">
        <v>31</v>
      </c>
      <c r="U1458">
        <v>2</v>
      </c>
      <c r="V1458" t="s">
        <v>59</v>
      </c>
      <c r="W1458" t="str">
        <f>IF(HR_Data[[#This Row],[age]]&lt;25,"Under 25",IF(HR_Data[[#This Row],[age]]&lt;35,"25-34",IF(HR_Data[[#This Row],[age]]&lt;45,"35-44",IF(HR_Data[[#This Row],[age]]&lt;55,"45-54","55+"))))</f>
        <v>35-44</v>
      </c>
      <c r="X1458" t="str">
        <f t="shared" si="22"/>
        <v>5,000-7,999</v>
      </c>
    </row>
    <row r="1459" spans="1:24" x14ac:dyDescent="0.3">
      <c r="A1459">
        <v>2051</v>
      </c>
      <c r="B1459">
        <v>40</v>
      </c>
      <c r="C1459" t="s">
        <v>36</v>
      </c>
      <c r="D1459" t="s">
        <v>23</v>
      </c>
      <c r="E1459" t="s">
        <v>38</v>
      </c>
      <c r="F1459">
        <v>2</v>
      </c>
      <c r="G1459" t="s">
        <v>47</v>
      </c>
      <c r="H1459" t="s">
        <v>48</v>
      </c>
      <c r="I1459" t="s">
        <v>29</v>
      </c>
      <c r="J1459" t="s">
        <v>28</v>
      </c>
      <c r="K1459" t="s">
        <v>29</v>
      </c>
      <c r="L1459" t="s">
        <v>41</v>
      </c>
      <c r="M1459" t="s">
        <v>29</v>
      </c>
      <c r="N1459" t="s">
        <v>42</v>
      </c>
      <c r="O1459">
        <v>2001</v>
      </c>
      <c r="P1459">
        <v>2</v>
      </c>
      <c r="Q1459" t="s">
        <v>36</v>
      </c>
      <c r="R1459">
        <v>14</v>
      </c>
      <c r="S1459" t="s">
        <v>33</v>
      </c>
      <c r="T1459" t="s">
        <v>27</v>
      </c>
      <c r="U1459">
        <v>2</v>
      </c>
      <c r="V1459" t="s">
        <v>44</v>
      </c>
      <c r="W1459" t="str">
        <f>IF(HR_Data[[#This Row],[age]]&lt;25,"Under 25",IF(HR_Data[[#This Row],[age]]&lt;35,"25-34",IF(HR_Data[[#This Row],[age]]&lt;45,"35-44",IF(HR_Data[[#This Row],[age]]&lt;55,"45-54","55+"))))</f>
        <v>35-44</v>
      </c>
      <c r="X1459" t="str">
        <f t="shared" si="22"/>
        <v>Below 3,000</v>
      </c>
    </row>
    <row r="1460" spans="1:24" x14ac:dyDescent="0.3">
      <c r="A1460">
        <v>2052</v>
      </c>
      <c r="B1460">
        <v>35</v>
      </c>
      <c r="C1460" t="s">
        <v>36</v>
      </c>
      <c r="D1460" t="s">
        <v>23</v>
      </c>
      <c r="E1460" t="s">
        <v>38</v>
      </c>
      <c r="F1460">
        <v>1</v>
      </c>
      <c r="G1460" t="s">
        <v>47</v>
      </c>
      <c r="H1460" t="s">
        <v>26</v>
      </c>
      <c r="I1460" t="s">
        <v>29</v>
      </c>
      <c r="J1460" t="s">
        <v>28</v>
      </c>
      <c r="K1460" t="s">
        <v>34</v>
      </c>
      <c r="L1460" t="s">
        <v>41</v>
      </c>
      <c r="M1460" t="s">
        <v>31</v>
      </c>
      <c r="N1460" t="s">
        <v>42</v>
      </c>
      <c r="O1460">
        <v>2977</v>
      </c>
      <c r="P1460">
        <v>1</v>
      </c>
      <c r="Q1460" t="s">
        <v>36</v>
      </c>
      <c r="R1460">
        <v>12</v>
      </c>
      <c r="S1460" t="s">
        <v>33</v>
      </c>
      <c r="T1460" t="s">
        <v>31</v>
      </c>
      <c r="U1460">
        <v>5</v>
      </c>
      <c r="V1460" t="s">
        <v>44</v>
      </c>
      <c r="W1460" t="str">
        <f>IF(HR_Data[[#This Row],[age]]&lt;25,"Under 25",IF(HR_Data[[#This Row],[age]]&lt;35,"25-34",IF(HR_Data[[#This Row],[age]]&lt;45,"35-44",IF(HR_Data[[#This Row],[age]]&lt;55,"45-54","55+"))))</f>
        <v>35-44</v>
      </c>
      <c r="X1460" t="str">
        <f t="shared" si="22"/>
        <v>Below 3,000</v>
      </c>
    </row>
    <row r="1461" spans="1:24" x14ac:dyDescent="0.3">
      <c r="A1461">
        <v>2053</v>
      </c>
      <c r="B1461">
        <v>29</v>
      </c>
      <c r="C1461" t="s">
        <v>36</v>
      </c>
      <c r="D1461" t="s">
        <v>23</v>
      </c>
      <c r="E1461" t="s">
        <v>38</v>
      </c>
      <c r="F1461">
        <v>13</v>
      </c>
      <c r="G1461" t="s">
        <v>25</v>
      </c>
      <c r="H1461" t="s">
        <v>45</v>
      </c>
      <c r="I1461" t="s">
        <v>31</v>
      </c>
      <c r="J1461" t="s">
        <v>40</v>
      </c>
      <c r="K1461" t="s">
        <v>27</v>
      </c>
      <c r="L1461" t="s">
        <v>46</v>
      </c>
      <c r="M1461" t="s">
        <v>27</v>
      </c>
      <c r="N1461" t="s">
        <v>42</v>
      </c>
      <c r="O1461">
        <v>4025</v>
      </c>
      <c r="P1461">
        <v>4</v>
      </c>
      <c r="Q1461" t="s">
        <v>22</v>
      </c>
      <c r="R1461">
        <v>13</v>
      </c>
      <c r="S1461" t="s">
        <v>33</v>
      </c>
      <c r="T1461" t="s">
        <v>34</v>
      </c>
      <c r="U1461">
        <v>2</v>
      </c>
      <c r="V1461" t="s">
        <v>44</v>
      </c>
      <c r="W1461" t="str">
        <f>IF(HR_Data[[#This Row],[age]]&lt;25,"Under 25",IF(HR_Data[[#This Row],[age]]&lt;35,"25-34",IF(HR_Data[[#This Row],[age]]&lt;45,"35-44",IF(HR_Data[[#This Row],[age]]&lt;55,"45-54","55+"))))</f>
        <v>25-34</v>
      </c>
      <c r="X1461" t="str">
        <f t="shared" si="22"/>
        <v>3,000-4,999</v>
      </c>
    </row>
    <row r="1462" spans="1:24" x14ac:dyDescent="0.3">
      <c r="A1462">
        <v>2054</v>
      </c>
      <c r="B1462">
        <v>29</v>
      </c>
      <c r="C1462" t="s">
        <v>36</v>
      </c>
      <c r="D1462" t="s">
        <v>23</v>
      </c>
      <c r="E1462" t="s">
        <v>38</v>
      </c>
      <c r="F1462">
        <v>28</v>
      </c>
      <c r="G1462" t="s">
        <v>47</v>
      </c>
      <c r="H1462" t="s">
        <v>48</v>
      </c>
      <c r="I1462" t="s">
        <v>31</v>
      </c>
      <c r="J1462" t="s">
        <v>28</v>
      </c>
      <c r="K1462" t="s">
        <v>27</v>
      </c>
      <c r="L1462" t="s">
        <v>41</v>
      </c>
      <c r="M1462" t="s">
        <v>34</v>
      </c>
      <c r="N1462" t="s">
        <v>32</v>
      </c>
      <c r="O1462">
        <v>3785</v>
      </c>
      <c r="P1462">
        <v>1</v>
      </c>
      <c r="Q1462" t="s">
        <v>36</v>
      </c>
      <c r="R1462">
        <v>14</v>
      </c>
      <c r="S1462" t="s">
        <v>33</v>
      </c>
      <c r="T1462" t="s">
        <v>27</v>
      </c>
      <c r="U1462">
        <v>3</v>
      </c>
      <c r="V1462" t="s">
        <v>35</v>
      </c>
      <c r="W1462" t="str">
        <f>IF(HR_Data[[#This Row],[age]]&lt;25,"Under 25",IF(HR_Data[[#This Row],[age]]&lt;35,"25-34",IF(HR_Data[[#This Row],[age]]&lt;45,"35-44",IF(HR_Data[[#This Row],[age]]&lt;55,"45-54","55+"))))</f>
        <v>25-34</v>
      </c>
      <c r="X1462" t="str">
        <f t="shared" si="22"/>
        <v>3,000-4,999</v>
      </c>
    </row>
    <row r="1463" spans="1:24" x14ac:dyDescent="0.3">
      <c r="A1463">
        <v>2055</v>
      </c>
      <c r="B1463">
        <v>50</v>
      </c>
      <c r="C1463" t="s">
        <v>22</v>
      </c>
      <c r="D1463" t="s">
        <v>23</v>
      </c>
      <c r="E1463" t="s">
        <v>24</v>
      </c>
      <c r="F1463">
        <v>28</v>
      </c>
      <c r="G1463" t="s">
        <v>50</v>
      </c>
      <c r="H1463" t="s">
        <v>58</v>
      </c>
      <c r="I1463" t="s">
        <v>31</v>
      </c>
      <c r="J1463" t="s">
        <v>40</v>
      </c>
      <c r="K1463" t="s">
        <v>27</v>
      </c>
      <c r="L1463" t="s">
        <v>30</v>
      </c>
      <c r="M1463" t="s">
        <v>34</v>
      </c>
      <c r="N1463" t="s">
        <v>51</v>
      </c>
      <c r="O1463">
        <v>10854</v>
      </c>
      <c r="P1463">
        <v>4</v>
      </c>
      <c r="Q1463" t="s">
        <v>22</v>
      </c>
      <c r="R1463">
        <v>13</v>
      </c>
      <c r="S1463" t="s">
        <v>33</v>
      </c>
      <c r="T1463" t="s">
        <v>27</v>
      </c>
      <c r="U1463">
        <v>3</v>
      </c>
      <c r="V1463" t="s">
        <v>44</v>
      </c>
      <c r="W1463" t="str">
        <f>IF(HR_Data[[#This Row],[age]]&lt;25,"Under 25",IF(HR_Data[[#This Row],[age]]&lt;35,"25-34",IF(HR_Data[[#This Row],[age]]&lt;45,"35-44",IF(HR_Data[[#This Row],[age]]&lt;55,"45-54","55+"))))</f>
        <v>45-54</v>
      </c>
      <c r="X1463" t="str">
        <f t="shared" si="22"/>
        <v>8,000+</v>
      </c>
    </row>
    <row r="1464" spans="1:24" x14ac:dyDescent="0.3">
      <c r="A1464">
        <v>2056</v>
      </c>
      <c r="B1464">
        <v>39</v>
      </c>
      <c r="C1464" t="s">
        <v>36</v>
      </c>
      <c r="D1464" t="s">
        <v>23</v>
      </c>
      <c r="E1464" t="s">
        <v>24</v>
      </c>
      <c r="F1464">
        <v>24</v>
      </c>
      <c r="G1464" t="s">
        <v>39</v>
      </c>
      <c r="H1464" t="s">
        <v>58</v>
      </c>
      <c r="I1464" t="s">
        <v>27</v>
      </c>
      <c r="J1464" t="s">
        <v>28</v>
      </c>
      <c r="K1464" t="s">
        <v>27</v>
      </c>
      <c r="L1464" t="s">
        <v>30</v>
      </c>
      <c r="M1464" t="s">
        <v>31</v>
      </c>
      <c r="N1464" t="s">
        <v>42</v>
      </c>
      <c r="O1464">
        <v>12031</v>
      </c>
      <c r="P1464">
        <v>0</v>
      </c>
      <c r="Q1464" t="s">
        <v>36</v>
      </c>
      <c r="R1464">
        <v>11</v>
      </c>
      <c r="S1464" t="s">
        <v>33</v>
      </c>
      <c r="T1464" t="s">
        <v>34</v>
      </c>
      <c r="U1464">
        <v>2</v>
      </c>
      <c r="V1464" t="s">
        <v>49</v>
      </c>
      <c r="W1464" t="str">
        <f>IF(HR_Data[[#This Row],[age]]&lt;25,"Under 25",IF(HR_Data[[#This Row],[age]]&lt;35,"25-34",IF(HR_Data[[#This Row],[age]]&lt;45,"35-44",IF(HR_Data[[#This Row],[age]]&lt;55,"45-54","55+"))))</f>
        <v>35-44</v>
      </c>
      <c r="X1464" t="str">
        <f t="shared" si="22"/>
        <v>8,000+</v>
      </c>
    </row>
    <row r="1465" spans="1:24" x14ac:dyDescent="0.3">
      <c r="A1465">
        <v>2057</v>
      </c>
      <c r="B1465">
        <v>31</v>
      </c>
      <c r="C1465" t="s">
        <v>36</v>
      </c>
      <c r="D1465" t="s">
        <v>54</v>
      </c>
      <c r="E1465" t="s">
        <v>38</v>
      </c>
      <c r="F1465">
        <v>5</v>
      </c>
      <c r="G1465" t="s">
        <v>50</v>
      </c>
      <c r="H1465" t="s">
        <v>48</v>
      </c>
      <c r="I1465" t="s">
        <v>27</v>
      </c>
      <c r="J1465" t="s">
        <v>40</v>
      </c>
      <c r="K1465" t="s">
        <v>29</v>
      </c>
      <c r="L1465" t="s">
        <v>52</v>
      </c>
      <c r="M1465" t="s">
        <v>34</v>
      </c>
      <c r="N1465" t="s">
        <v>32</v>
      </c>
      <c r="O1465">
        <v>9936</v>
      </c>
      <c r="P1465">
        <v>0</v>
      </c>
      <c r="Q1465" t="s">
        <v>36</v>
      </c>
      <c r="R1465">
        <v>19</v>
      </c>
      <c r="S1465" t="s">
        <v>33</v>
      </c>
      <c r="T1465" t="s">
        <v>27</v>
      </c>
      <c r="U1465">
        <v>2</v>
      </c>
      <c r="V1465" t="s">
        <v>44</v>
      </c>
      <c r="W1465" t="str">
        <f>IF(HR_Data[[#This Row],[age]]&lt;25,"Under 25",IF(HR_Data[[#This Row],[age]]&lt;35,"25-34",IF(HR_Data[[#This Row],[age]]&lt;45,"35-44",IF(HR_Data[[#This Row],[age]]&lt;55,"45-54","55+"))))</f>
        <v>25-34</v>
      </c>
      <c r="X1465" t="str">
        <f t="shared" si="22"/>
        <v>8,000+</v>
      </c>
    </row>
    <row r="1466" spans="1:24" x14ac:dyDescent="0.3">
      <c r="A1466">
        <v>2060</v>
      </c>
      <c r="B1466">
        <v>26</v>
      </c>
      <c r="C1466" t="s">
        <v>36</v>
      </c>
      <c r="D1466" t="s">
        <v>23</v>
      </c>
      <c r="E1466" t="s">
        <v>24</v>
      </c>
      <c r="F1466">
        <v>5</v>
      </c>
      <c r="G1466" t="s">
        <v>50</v>
      </c>
      <c r="H1466" t="s">
        <v>45</v>
      </c>
      <c r="I1466" t="s">
        <v>31</v>
      </c>
      <c r="J1466" t="s">
        <v>28</v>
      </c>
      <c r="K1466" t="s">
        <v>27</v>
      </c>
      <c r="L1466" t="s">
        <v>56</v>
      </c>
      <c r="M1466" t="s">
        <v>29</v>
      </c>
      <c r="N1466" t="s">
        <v>32</v>
      </c>
      <c r="O1466">
        <v>2966</v>
      </c>
      <c r="P1466">
        <v>0</v>
      </c>
      <c r="Q1466" t="s">
        <v>36</v>
      </c>
      <c r="R1466">
        <v>18</v>
      </c>
      <c r="S1466" t="s">
        <v>33</v>
      </c>
      <c r="T1466" t="s">
        <v>31</v>
      </c>
      <c r="U1466">
        <v>2</v>
      </c>
      <c r="V1466" t="s">
        <v>44</v>
      </c>
      <c r="W1466" t="str">
        <f>IF(HR_Data[[#This Row],[age]]&lt;25,"Under 25",IF(HR_Data[[#This Row],[age]]&lt;35,"25-34",IF(HR_Data[[#This Row],[age]]&lt;45,"35-44",IF(HR_Data[[#This Row],[age]]&lt;55,"45-54","55+"))))</f>
        <v>25-34</v>
      </c>
      <c r="X1466" t="str">
        <f t="shared" si="22"/>
        <v>Below 3,000</v>
      </c>
    </row>
    <row r="1467" spans="1:24" x14ac:dyDescent="0.3">
      <c r="A1467">
        <v>2061</v>
      </c>
      <c r="B1467">
        <v>36</v>
      </c>
      <c r="C1467" t="s">
        <v>36</v>
      </c>
      <c r="D1467" t="s">
        <v>37</v>
      </c>
      <c r="E1467" t="s">
        <v>38</v>
      </c>
      <c r="F1467">
        <v>23</v>
      </c>
      <c r="G1467" t="s">
        <v>25</v>
      </c>
      <c r="H1467" t="s">
        <v>48</v>
      </c>
      <c r="I1467" t="s">
        <v>29</v>
      </c>
      <c r="J1467" t="s">
        <v>40</v>
      </c>
      <c r="K1467" t="s">
        <v>31</v>
      </c>
      <c r="L1467" t="s">
        <v>46</v>
      </c>
      <c r="M1467" t="s">
        <v>31</v>
      </c>
      <c r="N1467" t="s">
        <v>42</v>
      </c>
      <c r="O1467">
        <v>2571</v>
      </c>
      <c r="P1467">
        <v>4</v>
      </c>
      <c r="Q1467" t="s">
        <v>36</v>
      </c>
      <c r="R1467">
        <v>17</v>
      </c>
      <c r="S1467" t="s">
        <v>33</v>
      </c>
      <c r="T1467" t="s">
        <v>29</v>
      </c>
      <c r="U1467">
        <v>3</v>
      </c>
      <c r="V1467" t="s">
        <v>44</v>
      </c>
      <c r="W1467" t="str">
        <f>IF(HR_Data[[#This Row],[age]]&lt;25,"Under 25",IF(HR_Data[[#This Row],[age]]&lt;35,"25-34",IF(HR_Data[[#This Row],[age]]&lt;45,"35-44",IF(HR_Data[[#This Row],[age]]&lt;55,"45-54","55+"))))</f>
        <v>35-44</v>
      </c>
      <c r="X1467" t="str">
        <f t="shared" si="22"/>
        <v>Below 3,000</v>
      </c>
    </row>
    <row r="1468" spans="1:24" x14ac:dyDescent="0.3">
      <c r="A1468">
        <v>2062</v>
      </c>
      <c r="B1468">
        <v>39</v>
      </c>
      <c r="C1468" t="s">
        <v>36</v>
      </c>
      <c r="D1468" t="s">
        <v>23</v>
      </c>
      <c r="E1468" t="s">
        <v>38</v>
      </c>
      <c r="F1468">
        <v>6</v>
      </c>
      <c r="G1468" t="s">
        <v>39</v>
      </c>
      <c r="H1468" t="s">
        <v>48</v>
      </c>
      <c r="I1468" t="s">
        <v>31</v>
      </c>
      <c r="J1468" t="s">
        <v>40</v>
      </c>
      <c r="K1468" t="s">
        <v>27</v>
      </c>
      <c r="L1468" t="s">
        <v>53</v>
      </c>
      <c r="M1468" t="s">
        <v>34</v>
      </c>
      <c r="N1468" t="s">
        <v>42</v>
      </c>
      <c r="O1468">
        <v>9991</v>
      </c>
      <c r="P1468">
        <v>4</v>
      </c>
      <c r="Q1468" t="s">
        <v>36</v>
      </c>
      <c r="R1468">
        <v>15</v>
      </c>
      <c r="S1468" t="s">
        <v>33</v>
      </c>
      <c r="T1468" t="s">
        <v>34</v>
      </c>
      <c r="U1468">
        <v>5</v>
      </c>
      <c r="V1468" t="s">
        <v>44</v>
      </c>
      <c r="W1468" t="str">
        <f>IF(HR_Data[[#This Row],[age]]&lt;25,"Under 25",IF(HR_Data[[#This Row],[age]]&lt;35,"25-34",IF(HR_Data[[#This Row],[age]]&lt;45,"35-44",IF(HR_Data[[#This Row],[age]]&lt;55,"45-54","55+"))))</f>
        <v>35-44</v>
      </c>
      <c r="X1468" t="str">
        <f t="shared" si="22"/>
        <v>8,000+</v>
      </c>
    </row>
    <row r="1469" spans="1:24" x14ac:dyDescent="0.3">
      <c r="A1469">
        <v>2064</v>
      </c>
      <c r="B1469">
        <v>27</v>
      </c>
      <c r="C1469" t="s">
        <v>36</v>
      </c>
      <c r="D1469" t="s">
        <v>23</v>
      </c>
      <c r="E1469" t="s">
        <v>38</v>
      </c>
      <c r="F1469">
        <v>4</v>
      </c>
      <c r="G1469" t="s">
        <v>50</v>
      </c>
      <c r="H1469" t="s">
        <v>26</v>
      </c>
      <c r="I1469" t="s">
        <v>27</v>
      </c>
      <c r="J1469" t="s">
        <v>40</v>
      </c>
      <c r="K1469" t="s">
        <v>31</v>
      </c>
      <c r="L1469" t="s">
        <v>52</v>
      </c>
      <c r="M1469" t="s">
        <v>27</v>
      </c>
      <c r="N1469" t="s">
        <v>42</v>
      </c>
      <c r="O1469">
        <v>6142</v>
      </c>
      <c r="P1469">
        <v>1</v>
      </c>
      <c r="Q1469" t="s">
        <v>22</v>
      </c>
      <c r="R1469">
        <v>20</v>
      </c>
      <c r="S1469" t="s">
        <v>43</v>
      </c>
      <c r="T1469" t="s">
        <v>27</v>
      </c>
      <c r="U1469">
        <v>0</v>
      </c>
      <c r="V1469" t="s">
        <v>44</v>
      </c>
      <c r="W1469" t="str">
        <f>IF(HR_Data[[#This Row],[age]]&lt;25,"Under 25",IF(HR_Data[[#This Row],[age]]&lt;35,"25-34",IF(HR_Data[[#This Row],[age]]&lt;45,"35-44",IF(HR_Data[[#This Row],[age]]&lt;55,"45-54","55+"))))</f>
        <v>25-34</v>
      </c>
      <c r="X1469" t="str">
        <f t="shared" si="22"/>
        <v>5,000-7,999</v>
      </c>
    </row>
    <row r="1470" spans="1:24" x14ac:dyDescent="0.3">
      <c r="A1470">
        <v>2065</v>
      </c>
      <c r="B1470">
        <v>49</v>
      </c>
      <c r="C1470" t="s">
        <v>36</v>
      </c>
      <c r="D1470" t="s">
        <v>37</v>
      </c>
      <c r="E1470" t="s">
        <v>24</v>
      </c>
      <c r="F1470">
        <v>2</v>
      </c>
      <c r="G1470" t="s">
        <v>50</v>
      </c>
      <c r="H1470" t="s">
        <v>48</v>
      </c>
      <c r="I1470" t="s">
        <v>31</v>
      </c>
      <c r="J1470" t="s">
        <v>40</v>
      </c>
      <c r="K1470" t="s">
        <v>27</v>
      </c>
      <c r="L1470" t="s">
        <v>30</v>
      </c>
      <c r="M1470" t="s">
        <v>27</v>
      </c>
      <c r="N1470" t="s">
        <v>42</v>
      </c>
      <c r="O1470">
        <v>5390</v>
      </c>
      <c r="P1470">
        <v>2</v>
      </c>
      <c r="Q1470" t="s">
        <v>36</v>
      </c>
      <c r="R1470">
        <v>14</v>
      </c>
      <c r="S1470" t="s">
        <v>33</v>
      </c>
      <c r="T1470" t="s">
        <v>31</v>
      </c>
      <c r="U1470">
        <v>3</v>
      </c>
      <c r="V1470" t="s">
        <v>49</v>
      </c>
      <c r="W1470" t="str">
        <f>IF(HR_Data[[#This Row],[age]]&lt;25,"Under 25",IF(HR_Data[[#This Row],[age]]&lt;35,"25-34",IF(HR_Data[[#This Row],[age]]&lt;45,"35-44",IF(HR_Data[[#This Row],[age]]&lt;55,"45-54","55+"))))</f>
        <v>45-54</v>
      </c>
      <c r="X1470" t="str">
        <f t="shared" si="22"/>
        <v>5,000-7,999</v>
      </c>
    </row>
    <row r="1471" spans="1:24" x14ac:dyDescent="0.3">
      <c r="A1471">
        <v>2068</v>
      </c>
      <c r="B1471">
        <v>34</v>
      </c>
      <c r="C1471" t="s">
        <v>36</v>
      </c>
      <c r="D1471" t="s">
        <v>23</v>
      </c>
      <c r="E1471" t="s">
        <v>38</v>
      </c>
      <c r="F1471">
        <v>8</v>
      </c>
      <c r="G1471" t="s">
        <v>50</v>
      </c>
      <c r="H1471" t="s">
        <v>48</v>
      </c>
      <c r="I1471" t="s">
        <v>27</v>
      </c>
      <c r="J1471" t="s">
        <v>40</v>
      </c>
      <c r="K1471" t="s">
        <v>31</v>
      </c>
      <c r="L1471" t="s">
        <v>46</v>
      </c>
      <c r="M1471" t="s">
        <v>29</v>
      </c>
      <c r="N1471" t="s">
        <v>42</v>
      </c>
      <c r="O1471">
        <v>4404</v>
      </c>
      <c r="P1471">
        <v>2</v>
      </c>
      <c r="Q1471" t="s">
        <v>36</v>
      </c>
      <c r="R1471">
        <v>12</v>
      </c>
      <c r="S1471" t="s">
        <v>33</v>
      </c>
      <c r="T1471" t="s">
        <v>34</v>
      </c>
      <c r="U1471">
        <v>3</v>
      </c>
      <c r="V1471" t="s">
        <v>59</v>
      </c>
      <c r="W1471" t="str">
        <f>IF(HR_Data[[#This Row],[age]]&lt;25,"Under 25",IF(HR_Data[[#This Row],[age]]&lt;35,"25-34",IF(HR_Data[[#This Row],[age]]&lt;45,"35-44",IF(HR_Data[[#This Row],[age]]&lt;55,"45-54","55+"))))</f>
        <v>25-34</v>
      </c>
      <c r="X1471" t="str">
        <f t="shared" si="22"/>
        <v>3,000-4,999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E2DF-D721-4D30-938C-3D3C764731A5}">
  <dimension ref="A1:B9"/>
  <sheetViews>
    <sheetView topLeftCell="A2" workbookViewId="0">
      <selection activeCell="B8" sqref="B8"/>
    </sheetView>
  </sheetViews>
  <sheetFormatPr defaultRowHeight="14.4" x14ac:dyDescent="0.3"/>
  <cols>
    <col min="1" max="1" width="34.33203125" bestFit="1" customWidth="1"/>
  </cols>
  <sheetData>
    <row r="1" spans="1:2" x14ac:dyDescent="0.3">
      <c r="A1" t="s">
        <v>63</v>
      </c>
    </row>
    <row r="3" spans="1:2" x14ac:dyDescent="0.3">
      <c r="A3" t="s">
        <v>64</v>
      </c>
      <c r="B3" t="s">
        <v>65</v>
      </c>
    </row>
    <row r="4" spans="1:2" x14ac:dyDescent="0.3">
      <c r="A4" t="s">
        <v>66</v>
      </c>
      <c r="B4">
        <f>ROWS(HR_Data[age])</f>
        <v>1470</v>
      </c>
    </row>
    <row r="5" spans="1:2" x14ac:dyDescent="0.3">
      <c r="A5" t="s">
        <v>67</v>
      </c>
      <c r="B5">
        <f>COUNTIF(HR_Data[attrition],"Yes")</f>
        <v>237</v>
      </c>
    </row>
    <row r="6" spans="1:2" x14ac:dyDescent="0.3">
      <c r="A6" t="s">
        <v>68</v>
      </c>
      <c r="B6" s="1">
        <f>B5/B4</f>
        <v>0.16122448979591836</v>
      </c>
    </row>
    <row r="7" spans="1:2" x14ac:dyDescent="0.3">
      <c r="A7" t="s">
        <v>69</v>
      </c>
      <c r="B7">
        <f>AVERAGE(HR_Data[age])</f>
        <v>36.923809523809524</v>
      </c>
    </row>
    <row r="8" spans="1:2" x14ac:dyDescent="0.3">
      <c r="A8" t="s">
        <v>70</v>
      </c>
      <c r="B8">
        <f>AVERAGE(HR_Data[monthly_income])</f>
        <v>6502.931292517007</v>
      </c>
    </row>
    <row r="9" spans="1:2" x14ac:dyDescent="0.3">
      <c r="A9" t="s">
        <v>71</v>
      </c>
      <c r="B9">
        <f>AVERAGE(HR_Data[num_companies_worked])</f>
        <v>2.6931972789115646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Tables</vt:lpstr>
      <vt:lpstr>HR Data</vt:lpstr>
      <vt:lpstr>AnalysisHR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khan mohd hassan</cp:lastModifiedBy>
  <dcterms:created xsi:type="dcterms:W3CDTF">2026-10-08T13:22:31Z</dcterms:created>
  <dcterms:modified xsi:type="dcterms:W3CDTF">2026-10-11T15:14:42Z</dcterms:modified>
</cp:coreProperties>
</file>